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a5f7718fb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说明与参数" sheetId="1" r:id="R3d439495125a4acd"/>
    <x:sheet xmlns:r="http://schemas.openxmlformats.org/officeDocument/2006/relationships" name="01-月结检查清单" sheetId="2" r:id="Rdebefc656630478f"/>
    <x:sheet xmlns:r="http://schemas.openxmlformats.org/officeDocument/2006/relationships" name="02-科目业务核对矩阵" sheetId="3" r:id="Rd5d5343dbb664021"/>
    <x:sheet xmlns:r="http://schemas.openxmlformats.org/officeDocument/2006/relationships" name="03-异常余额清单" sheetId="4" r:id="R4a873da9a3e3483f"/>
    <x:sheet xmlns:r="http://schemas.openxmlformats.org/officeDocument/2006/relationships" name="04-往来账龄分析" sheetId="5" r:id="R4dcbc953baf64535"/>
    <x:sheet xmlns:r="http://schemas.openxmlformats.org/officeDocument/2006/relationships" name="05-长期挂账清理" sheetId="6" r:id="Rb4ab0b6767394136"/>
    <x:sheet xmlns:r="http://schemas.openxmlformats.org/officeDocument/2006/relationships" name="06-暂估未冲台账" sheetId="7" r:id="R3be50d1265f94884"/>
    <x:sheet xmlns:r="http://schemas.openxmlformats.org/officeDocument/2006/relationships" name="07-银行余额调节" sheetId="8" r:id="R52019c1290884995"/>
    <x:sheet xmlns:r="http://schemas.openxmlformats.org/officeDocument/2006/relationships" name="08-存货成本差异" sheetId="9" r:id="Rfbe36b27e6bf4ce7"/>
    <x:sheet xmlns:r="http://schemas.openxmlformats.org/officeDocument/2006/relationships" name="09-资产异常清理" sheetId="10" r:id="R0dbc2da0c7f246a6"/>
    <x:sheet xmlns:r="http://schemas.openxmlformats.org/officeDocument/2006/relationships" name="10-账税差异" sheetId="11" r:id="R911b3c64b6834f3f"/>
    <x:sheet xmlns:r="http://schemas.openxmlformats.org/officeDocument/2006/relationships" name="11-问题整改跟踪" sheetId="12" r:id="Rbcdd83c649404473"/>
    <x:sheet xmlns:r="http://schemas.openxmlformats.org/officeDocument/2006/relationships" name="12-异常管理报告" sheetId="13" r:id="Rad2b9aff43474835"/>
    <x:sheet xmlns:r="http://schemas.openxmlformats.org/officeDocument/2006/relationships" name="13-月季年核对矩阵" sheetId="14" r:id="Rb19014b346bd4aed"/>
    <x:sheet xmlns:r="http://schemas.openxmlformats.org/officeDocument/2006/relationships" name="14-数据字典" sheetId="15" r:id="Rdd5517a2ec7141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0%"/>
    <x:numFmt numFmtId="203" formatCode="#,##0.00;[Red](#,##0.00);-"/>
    <x:numFmt numFmtId="204" formatCode="#,##0"/>
  </x:numFmts>
  <x:fonts count="6">
    <x:font>
      <x:sz val="11"/>
      <x:name val="Carlito"/>
    </x:font>
    <x:font>
      <x:b/>
      <x:sz val="18"/>
      <x:color rgb="FFFFFFFF"/>
      <x:name val="Microsoft YaHei"/>
    </x:font>
    <x:font>
      <x:i/>
      <x:sz val="9"/>
      <x:color rgb="FF555555"/>
      <x:name val="Microsoft YaHei"/>
    </x:font>
    <x:font>
      <x:b/>
      <x:sz val="11"/>
      <x:color rgb="FFFFFFFF"/>
      <x:name val="Microsoft YaHei"/>
    </x:font>
    <x:font>
      <x:sz val="9"/>
      <x:name val="Microsoft YaHei"/>
    </x:font>
    <x:font>
      <x:sz val="11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7FAFC"/>
      </x:patternFill>
    </x:fill>
  </x:fills>
  <x:borders count="12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hair">
        <x:color rgb="FFD9E1E8"/>
      </x:left>
      <x:top style="hair">
        <x:color rgb="FFD9E1E8"/>
      </x:top>
    </x:border>
    <x:border>
      <x:top style="hair">
        <x:color rgb="FFD9E1E8"/>
      </x:top>
    </x:border>
    <x:border>
      <x:right style="hair">
        <x:color rgb="FFD9E1E8"/>
      </x:right>
      <x:top style="hair">
        <x:color rgb="FFD9E1E8"/>
      </x:top>
    </x:border>
    <x:border>
      <x:left style="hair">
        <x:color rgb="FFD9E1E8"/>
      </x:left>
    </x:border>
    <x:border>
      <x:right style="hair">
        <x:color rgb="FFD9E1E8"/>
      </x:right>
    </x:border>
    <x:border>
      <x:left style="hair">
        <x:color rgb="FFD9E1E8"/>
      </x:left>
      <x:bottom style="hair">
        <x:color rgb="FFD9E1E8"/>
      </x:bottom>
    </x:border>
    <x:border>
      <x:bottom style="hair">
        <x:color rgb="FFD9E1E8"/>
      </x:bottom>
    </x:border>
    <x:border>
      <x:right style="hair">
        <x:color rgb="FFD9E1E8"/>
      </x:right>
      <x:bottom style="hair">
        <x:color rgb="FFD9E1E8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200" fontId="4" fillId="4" borderId="5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1" fontId="4" fillId="4" borderId="5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201" fontId="4" fillId="0" borderId="10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203" fontId="4" fillId="4" borderId="5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4" borderId="0" xfId="0" applyNumberFormat="1" applyFont="1" applyFill="1" applyBorder="1" applyAlignment="1">
      <x:alignment vertical="center" wrapText="1"/>
    </x:xf>
    <x:xf numFmtId="203" fontId="4" fillId="4" borderId="10" xfId="0" applyNumberFormat="1" applyFont="1" applyFill="1" applyBorder="1" applyAlignment="1">
      <x:alignment vertical="center" wrapText="1"/>
    </x:xf>
    <x:xf numFmtId="201" fontId="4" fillId="4" borderId="6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1" fontId="4" fillId="4" borderId="8" xfId="0" applyNumberFormat="1" applyFont="1" applyFill="1" applyBorder="1" applyAlignment="1">
      <x:alignment vertical="center" wrapText="1"/>
    </x:xf>
    <x:xf numFmtId="201" fontId="4" fillId="4" borderId="11" xfId="0" applyNumberFormat="1" applyFont="1" applyFill="1" applyBorder="1" applyAlignment="1">
      <x:alignment vertical="center" wrapText="1"/>
    </x:xf>
    <x:xf numFmtId="200" fontId="4" fillId="4" borderId="10" xfId="0" applyNumberFormat="1" applyFont="1" applyFill="1" applyBorder="1" applyAlignment="1">
      <x:alignment vertical="center" wrapText="1"/>
    </x:xf>
    <x:xf numFmtId="201" fontId="4" fillId="4" borderId="10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4" fontId="4" fillId="4" borderId="5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4" fontId="4" fillId="4" borderId="0" xfId="0" applyNumberFormat="1" applyFont="1" applyFill="1" applyBorder="1" applyAlignment="1">
      <x:alignment vertical="center" wrapText="1"/>
    </x:xf>
    <x:xf numFmtId="204" fontId="4" fillId="4" borderId="1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0"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0ca57b80045ff" /><Relationship Type="http://schemas.openxmlformats.org/officeDocument/2006/relationships/theme" Target="/xl/theme/theme1.xml" Id="R0acbb05a826344ba" /><Relationship Type="http://schemas.openxmlformats.org/officeDocument/2006/relationships/sharedStrings" Target="/xl/sharedStrings.xml" Id="Rc5e947ba0c9643e5" /><Relationship Type="http://schemas.openxmlformats.org/officeDocument/2006/relationships/worksheet" Target="/xl/worksheets/sheet1.xml" Id="R3d439495125a4acd" /><Relationship Type="http://schemas.openxmlformats.org/officeDocument/2006/relationships/worksheet" Target="/xl/worksheets/sheet2.xml" Id="Rdebefc656630478f" /><Relationship Type="http://schemas.openxmlformats.org/officeDocument/2006/relationships/worksheet" Target="/xl/worksheets/sheet3.xml" Id="Rd5d5343dbb664021" /><Relationship Type="http://schemas.openxmlformats.org/officeDocument/2006/relationships/worksheet" Target="/xl/worksheets/sheet4.xml" Id="R4a873da9a3e3483f" /><Relationship Type="http://schemas.openxmlformats.org/officeDocument/2006/relationships/worksheet" Target="/xl/worksheets/sheet5.xml" Id="R4dcbc953baf64535" /><Relationship Type="http://schemas.openxmlformats.org/officeDocument/2006/relationships/worksheet" Target="/xl/worksheets/sheet6.xml" Id="Rb4ab0b6767394136" /><Relationship Type="http://schemas.openxmlformats.org/officeDocument/2006/relationships/worksheet" Target="/xl/worksheets/sheet7.xml" Id="R3be50d1265f94884" /><Relationship Type="http://schemas.openxmlformats.org/officeDocument/2006/relationships/worksheet" Target="/xl/worksheets/sheet8.xml" Id="R52019c1290884995" /><Relationship Type="http://schemas.openxmlformats.org/officeDocument/2006/relationships/worksheet" Target="/xl/worksheets/sheet9.xml" Id="Rfbe36b27e6bf4ce7" /><Relationship Type="http://schemas.openxmlformats.org/officeDocument/2006/relationships/worksheet" Target="/xl/worksheets/sheet10.xml" Id="R0dbc2da0c7f246a6" /><Relationship Type="http://schemas.openxmlformats.org/officeDocument/2006/relationships/worksheet" Target="/xl/worksheets/sheet11.xml" Id="R911b3c64b6834f3f" /><Relationship Type="http://schemas.openxmlformats.org/officeDocument/2006/relationships/worksheet" Target="/xl/worksheets/sheet12.xml" Id="Rbcdd83c649404473" /><Relationship Type="http://schemas.openxmlformats.org/officeDocument/2006/relationships/worksheet" Target="/xl/worksheets/sheet13.xml" Id="Rad2b9aff43474835" /><Relationship Type="http://schemas.openxmlformats.org/officeDocument/2006/relationships/worksheet" Target="/xl/worksheets/sheet14.xml" Id="Rb19014b346bd4aed" /><Relationship Type="http://schemas.openxmlformats.org/officeDocument/2006/relationships/worksheet" Target="/xl/worksheets/sheet15.xml" Id="Rdd5517a2ec714124" /></Relationships>
</file>

<file path=xl/tables/table1.xml><?xml version="1.0" encoding="utf-8"?>
<x:table xmlns:x="http://schemas.openxmlformats.org/spreadsheetml/2006/main" id="1" name="CloseChecklist" displayName="CloseChecklist" ref="A5:O25" headerRowCount="1" totalsRowCount="0" totalsRowShown="0">
  <x:tableColumns count="15">
    <x:tableColumn id="1" name="编号"/>
    <x:tableColumn id="2" name="阶段"/>
    <x:tableColumn id="3" name="科目/事项"/>
    <x:tableColumn id="4" name="频率"/>
    <x:tableColumn id="5" name="核对对象"/>
    <x:tableColumn id="6" name="数据来源"/>
    <x:tableColumn id="7" name="经办人"/>
    <x:tableColumn id="8" name="计划完成日"/>
    <x:tableColumn id="9" name="实际完成日"/>
    <x:tableColumn id="10" name="异常数量"/>
    <x:tableColumn id="11" name="异常金额"/>
    <x:tableColumn id="12" name="结论"/>
    <x:tableColumn id="13" name="复核人"/>
    <x:tableColumn id="14" name="复核状态"/>
    <x:tableColumn id="15" name="底稿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ountReconcileMatrix" displayName="AccountReconcileMatrix" ref="A5:L30" headerRowCount="1" totalsRowCount="0" totalsRowShown="0">
  <x:tableColumns count="12">
    <x:tableColumn id="1" name="科目类别"/>
    <x:tableColumn id="2" name="科目"/>
    <x:tableColumn id="3" name="ERP模块"/>
    <x:tableColumn id="4" name="业务台账"/>
    <x:tableColumn id="5" name="外部/实物证据"/>
    <x:tableColumn id="6" name="核对频率"/>
    <x:tableColumn id="7" name="责任岗位"/>
    <x:tableColumn id="8" name="核心勾稽"/>
    <x:tableColumn id="9" name="主要异常"/>
    <x:tableColumn id="10" name="首查路径"/>
    <x:tableColumn id="11" name="复核要求"/>
    <x:tableColumn id="12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eptionBalance" displayName="ExceptionBalance" ref="A5:W30" headerRowCount="1" totalsRowCount="0" totalsRowShown="0">
  <x:tableColumns count="23">
    <x:tableColumn id="1" name="异常编号"/>
    <x:tableColumn id="2" name="科目"/>
    <x:tableColumn id="3" name="单位/项目"/>
    <x:tableColumn id="4" name="期初余额"/>
    <x:tableColumn id="5" name="本期借方"/>
    <x:tableColumn id="6" name="本期贷方"/>
    <x:tableColumn id="7" name="期末余额"/>
    <x:tableColumn id="8" name="正常方向"/>
    <x:tableColumn id="9" name="账龄天数"/>
    <x:tableColumn id="10" name="最后发生日"/>
    <x:tableColumn id="11" name="异常类型"/>
    <x:tableColumn id="12" name="业务部门"/>
    <x:tableColumn id="13" name="初步原因"/>
    <x:tableColumn id="14" name="支持资料"/>
    <x:tableColumn id="15" name="处理方案"/>
    <x:tableColumn id="16" name="利润影响"/>
    <x:tableColumn id="17" name="税务影响"/>
    <x:tableColumn id="18" name="责任人"/>
    <x:tableColumn id="19" name="计划关闭日"/>
    <x:tableColumn id="20" name="复核人"/>
    <x:tableColumn id="21" name="状态"/>
    <x:tableColumn id="22" name="逾期天数"/>
    <x:tableColumn id="23" name="异常金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gingAnalysis" displayName="AgingAnalysis" ref="A5:R25" headerRowCount="1" totalsRowCount="0" totalsRowShown="0">
  <x:tableColumns count="18">
    <x:tableColumn id="1" name="单位"/>
    <x:tableColumn id="2" name="科目"/>
    <x:tableColumn id="3" name="业务性质"/>
    <x:tableColumn id="4" name="余额"/>
    <x:tableColumn id="5" name="方向"/>
    <x:tableColumn id="6" name="基准日期"/>
    <x:tableColumn id="7" name="到期日"/>
    <x:tableColumn id="8" name="账龄天数"/>
    <x:tableColumn id="9" name="未到期"/>
    <x:tableColumn id="10" name="1-30天"/>
    <x:tableColumn id="11" name="31-60天"/>
    <x:tableColumn id="12" name="61-90天"/>
    <x:tableColumn id="13" name="91-180天"/>
    <x:tableColumn id="14" name="181-365天"/>
    <x:tableColumn id="15" name="1-2年"/>
    <x:tableColumn id="16" name="2-3年"/>
    <x:tableColumn id="17" name="3年以上"/>
    <x:tableColumn id="18" name="风险等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ngOutstanding" displayName="LongOutstanding" ref="A5:U20" headerRowCount="1" totalsRowCount="0" totalsRowShown="0">
  <x:tableColumns count="21">
    <x:tableColumn id="1" name="编号"/>
    <x:tableColumn id="2" name="单位"/>
    <x:tableColumn id="3" name="科目"/>
    <x:tableColumn id="4" name="期末余额"/>
    <x:tableColumn id="5" name="账龄天数"/>
    <x:tableColumn id="6" name="最后发生日"/>
    <x:tableColumn id="7" name="业务性质"/>
    <x:tableColumn id="8" name="合同"/>
    <x:tableColumn id="9" name="发票"/>
    <x:tableColumn id="10" name="收付款"/>
    <x:tableColumn id="11" name="对账结果"/>
    <x:tableColumn id="12" name="权利义务状态"/>
    <x:tableColumn id="13" name="异常原因"/>
    <x:tableColumn id="14" name="处理方案"/>
    <x:tableColumn id="15" name="所需审批"/>
    <x:tableColumn id="16" name="责任部门"/>
    <x:tableColumn id="17" name="预计关闭日"/>
    <x:tableColumn id="18" name="实际关闭日"/>
    <x:tableColumn id="19" name="税务影响"/>
    <x:tableColumn id="20" name="关闭证据"/>
    <x:tableColumn id="21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crualLedger" displayName="AccrualLedger" ref="A5:R20" headerRowCount="1" totalsRowCount="0" totalsRowShown="0">
  <x:tableColumns count="18">
    <x:tableColumn id="1" name="记录编号"/>
    <x:tableColumn id="2" name="供应商"/>
    <x:tableColumn id="3" name="采购订单"/>
    <x:tableColumn id="4" name="业务类型"/>
    <x:tableColumn id="5" name="收货/验收日"/>
    <x:tableColumn id="6" name="暂估日期"/>
    <x:tableColumn id="7" name="暂估金额"/>
    <x:tableColumn id="8" name="预计税额"/>
    <x:tableColumn id="9" name="收到发票日"/>
    <x:tableColumn id="10" name="发票不含税金额"/>
    <x:tableColumn id="11" name="发票税额"/>
    <x:tableColumn id="12" name="价差"/>
    <x:tableColumn id="13" name="暂估账龄"/>
    <x:tableColumn id="14" name="存货已耗用"/>
    <x:tableColumn id="15" name="冲暂估凭证"/>
    <x:tableColumn id="16" name="价差处理"/>
    <x:tableColumn id="17" name="责任人"/>
    <x:tableColumn id="18" name="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nkReconItems" displayName="BankReconItems" ref="A14:O25" headerRowCount="1" totalsRowCount="0" totalsRowShown="0">
  <x:tableColumns count="15">
    <x:tableColumn id="1" name="未达编号"/>
    <x:tableColumn id="2" name="银行账户"/>
    <x:tableColumn id="3" name="未达类型"/>
    <x:tableColumn id="4" name="日期"/>
    <x:tableColumn id="5" name="摘要"/>
    <x:tableColumn id="6" name="对方"/>
    <x:tableColumn id="7" name="金额"/>
    <x:tableColumn id="8" name="账面凭证"/>
    <x:tableColumn id="9" name="银行流水号"/>
    <x:tableColumn id="10" name="形成原因"/>
    <x:tableColumn id="11" name="是否需入账"/>
    <x:tableColumn id="12" name="责任人"/>
    <x:tableColumn id="13" name="预计清理日"/>
    <x:tableColumn id="14" name="实际清理日"/>
    <x:tableColumn id="15" name="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ventoryDiff" displayName="InventoryDiff" ref="A5:T20" headerRowCount="1" totalsRowCount="0" totalsRowShown="0">
  <x:tableColumns count="20">
    <x:tableColumn id="1" name="物料编码"/>
    <x:tableColumn id="2" name="物料名称"/>
    <x:tableColumn id="3" name="仓库"/>
    <x:tableColumn id="4" name="存货类别"/>
    <x:tableColumn id="5" name="财务数量"/>
    <x:tableColumn id="6" name="仓库数量"/>
    <x:tableColumn id="7" name="数量差异"/>
    <x:tableColumn id="8" name="财务金额"/>
    <x:tableColumn id="9" name="库存模块金额"/>
    <x:tableColumn id="10" name="金额差异"/>
    <x:tableColumn id="11" name="标准成本"/>
    <x:tableColumn id="12" name="实际成本"/>
    <x:tableColumn id="13" name="负库存"/>
    <x:tableColumn id="14" name="暂估金额"/>
    <x:tableColumn id="15" name="盘点结果"/>
    <x:tableColumn id="16" name="差异原因"/>
    <x:tableColumn id="17" name="处理方案"/>
    <x:tableColumn id="18" name="责任人"/>
    <x:tableColumn id="19" name="状态"/>
    <x:tableColumn id="20" name="凭证/证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ssetExceptions" displayName="AssetExceptions" ref="A5:T20" headerRowCount="1" totalsRowCount="0" totalsRowShown="0">
  <x:tableColumns count="20">
    <x:tableColumn id="1" name="资产编号"/>
    <x:tableColumn id="2" name="资产名称"/>
    <x:tableColumn id="3" name="资产类别"/>
    <x:tableColumn id="4" name="购置日期"/>
    <x:tableColumn id="5" name="达到可用日"/>
    <x:tableColumn id="6" name="转固日期"/>
    <x:tableColumn id="7" name="原值"/>
    <x:tableColumn id="8" name="累计折旧"/>
    <x:tableColumn id="9" name="在建余额"/>
    <x:tableColumn id="10" name="使用部门"/>
    <x:tableColumn id="11" name="实物状态"/>
    <x:tableColumn id="12" name="卡片状态"/>
    <x:tableColumn id="13" name="异常类型"/>
    <x:tableColumn id="14" name="影响金额"/>
    <x:tableColumn id="15" name="调整方案"/>
    <x:tableColumn id="16" name="责任人"/>
    <x:tableColumn id="17" name="复核人"/>
    <x:tableColumn id="18" name="计划关闭日"/>
    <x:tableColumn id="19" name="状态"/>
    <x:tableColumn id="20" name="证据位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ookTaxDiff" displayName="BookTaxDiff" ref="A5:R20" headerRowCount="1" totalsRowCount="0" totalsRowShown="0">
  <x:tableColumns count="18">
    <x:tableColumn id="1" name="编号"/>
    <x:tableColumn id="2" name="税种"/>
    <x:tableColumn id="3" name="所属期"/>
    <x:tableColumn id="4" name="核对项目"/>
    <x:tableColumn id="5" name="业务数据"/>
    <x:tableColumn id="6" name="发票数据"/>
    <x:tableColumn id="7" name="账务数据"/>
    <x:tableColumn id="8" name="申报数据"/>
    <x:tableColumn id="9" name="差异金额"/>
    <x:tableColumn id="10" name="差异类型"/>
    <x:tableColumn id="11" name="形成原因"/>
    <x:tableColumn id="12" name="是否合理"/>
    <x:tableColumn id="13" name="是否调账"/>
    <x:tableColumn id="14" name="是否更正申报"/>
    <x:tableColumn id="15" name="税款影响"/>
    <x:tableColumn id="16" name="责任人"/>
    <x:tableColumn id="17" name="复核人"/>
    <x:tableColumn id="18" name="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mediation" displayName="Remediation" ref="A5:R25" headerRowCount="1" totalsRowCount="0" totalsRowShown="0">
  <x:tableColumns count="18">
    <x:tableColumn id="1" name="问题编号"/>
    <x:tableColumn id="2" name="发现日期"/>
    <x:tableColumn id="3" name="科目"/>
    <x:tableColumn id="4" name="问题描述"/>
    <x:tableColumn id="5" name="异常金额"/>
    <x:tableColumn id="6" name="风险等级"/>
    <x:tableColumn id="7" name="根本原因"/>
    <x:tableColumn id="8" name="临时处理"/>
    <x:tableColumn id="9" name="永久改进"/>
    <x:tableColumn id="10" name="责任部门"/>
    <x:tableColumn id="11" name="责任人"/>
    <x:tableColumn id="12" name="计划完成日"/>
    <x:tableColumn id="13" name="实际完成日"/>
    <x:tableColumn id="14" name="复核证据"/>
    <x:tableColumn id="15" name="复核人"/>
    <x:tableColumn id="16" name="状态"/>
    <x:tableColumn id="17" name="逾期天数"/>
    <x:tableColumn id="18" name="重复发生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loseFrequencyMatrix" displayName="CloseFrequencyMatrix" ref="A5:L22" headerRowCount="1" totalsRowCount="0" totalsRowShown="0">
  <x:tableColumns count="12">
    <x:tableColumn id="1" name="科目或事项"/>
    <x:tableColumn id="2" name="月度程序"/>
    <x:tableColumn id="3" name="季度追加"/>
    <x:tableColumn id="4" name="年度追加"/>
    <x:tableColumn id="5" name="经办岗位"/>
    <x:tableColumn id="6" name="复核岗位"/>
    <x:tableColumn id="7" name="支持底稿"/>
    <x:tableColumn id="8" name="截止时间"/>
    <x:tableColumn id="9" name="是否强制"/>
    <x:tableColumn id="10" name="异常升级"/>
    <x:tableColumn id="11" name="系统来源"/>
    <x:tableColumn id="12" name="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Dictionary" displayName="DataDictionary" ref="A5:H25" headerRowCount="1" totalsRowCount="0" totalsRowShown="0">
  <x:tableColumns count="8">
    <x:tableColumn id="1" name="类别"/>
    <x:tableColumn id="2" name="代码"/>
    <x:tableColumn id="3" name="名称"/>
    <x:tableColumn id="4" name="定义/触发"/>
    <x:tableColumn id="5" name="默认责任"/>
    <x:tableColumn id="6" name="是否主管复核"/>
    <x:tableColumn id="7" name="关闭条件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c6cc4118024f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92e2344aec43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72c03ed7a443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144df2565a45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cd09bb4a6d47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20f90dd31942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7df5cb47be49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0716473cf745f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2c6a08b071d46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07984dc1eee451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758227ac7eb4dd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f58af1a5fc95461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122e45f52233408d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40" hidden="0" customWidth="1"/>
    <x:col min="6" max="6" width="18" hidden="0" customWidth="1"/>
    <x:col min="7" max="7" width="22" hidden="0" customWidth="1"/>
    <x:col min="8" max="8" width="26" hidden="0" customWidth="1"/>
    <x:col min="9" max="9" width="20" hidden="0" customWidth="1"/>
    <x:col min="10" max="10" width="24" hidden="0" customWidth="1"/>
  </x:cols>
  <x:sheetData>
    <x:row r="1" ht="30" customHeight="1">
      <x:c r="A1" s="80" t="str">
        <x:v>全科目核对与异常余额管理工具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 ht="24" customHeight="1">
      <x:c r="A2" s="82" t="str">
        <x:v>案例公司：远澜智能设备（苏州）有限公司｜案例期间：2026年7月｜金额单位：万元</x:v>
      </x:c>
      <x:c r="B2" s="81"/>
      <x:c r="C2" s="81"/>
      <x:c r="D2" s="81"/>
      <x:c r="E2" s="81"/>
      <x:c r="F2" s="81"/>
      <x:c r="G2" s="81"/>
      <x:c r="H2" s="81"/>
      <x:c r="I2" s="81"/>
      <x:c r="J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</x:row>
    <x:row r="5" ht="32" customHeight="1">
      <x:c r="A5" s="15" t="str">
        <x:v>参数</x:v>
      </x:c>
      <x:c r="B5" s="16" t="str">
        <x:v>当前值</x:v>
      </x:c>
      <x:c r="C5" s="16" t="str">
        <x:v>性质</x:v>
      </x:c>
      <x:c r="D5" s="17" t="str">
        <x:v>说明</x:v>
      </x:c>
      <x:c r="E5" s="81"/>
      <x:c r="F5" s="15" t="str">
        <x:v>颜色/字段</x:v>
      </x:c>
      <x:c r="G5" s="16" t="str">
        <x:v>含义</x:v>
      </x:c>
      <x:c r="H5" s="16" t="str">
        <x:v>使用要求</x:v>
      </x:c>
      <x:c r="I5" s="16" t="str">
        <x:v>风险</x:v>
      </x:c>
      <x:c r="J5" s="17" t="str">
        <x:v>控制</x:v>
      </x:c>
    </x:row>
    <x:row r="6">
      <x:c r="A6" s="36" t="str">
        <x:v>企业名称</x:v>
      </x:c>
      <x:c r="B6" s="37" t="str">
        <x:v>远澜智能设备（苏州）有限公司</x:v>
      </x:c>
      <x:c r="C6" s="37" t="str">
        <x:v>手工输入</x:v>
      </x:c>
      <x:c r="D6" s="38" t="str">
        <x:v>替换为实际主体</x:v>
      </x:c>
      <x:c r="E6" s="81"/>
      <x:c r="F6" s="36" t="str">
        <x:v>蓝色输入</x:v>
      </x:c>
      <x:c r="G6" s="37" t="str">
        <x:v>人工维护</x:v>
      </x:c>
      <x:c r="H6" s="37" t="str">
        <x:v>保留来源</x:v>
      </x:c>
      <x:c r="I6" s="37" t="str">
        <x:v>误录</x:v>
      </x:c>
      <x:c r="J6" s="38" t="str">
        <x:v>复核</x:v>
      </x:c>
    </x:row>
    <x:row r="7">
      <x:c r="A7" s="39" t="str">
        <x:v>结账日</x:v>
      </x:c>
      <x:c r="B7" s="45" t="n">
        <x:v>46234</x:v>
      </x:c>
      <x:c r="C7" s="40" t="str">
        <x:v>手工输入</x:v>
      </x:c>
      <x:c r="D7" s="41" t="str">
        <x:v>账龄和逾期计算基准</x:v>
      </x:c>
      <x:c r="E7" s="81"/>
      <x:c r="F7" s="39" t="str">
        <x:v>灰色导入</x:v>
      </x:c>
      <x:c r="G7" s="40" t="str">
        <x:v>ERP或外部数据</x:v>
      </x:c>
      <x:c r="H7" s="40" t="str">
        <x:v>记录导出条件</x:v>
      </x:c>
      <x:c r="I7" s="40" t="str">
        <x:v>范围错</x:v>
      </x:c>
      <x:c r="J7" s="41" t="str">
        <x:v>参数留痕</x:v>
      </x:c>
    </x:row>
    <x:row r="8">
      <x:c r="A8" s="39" t="str">
        <x:v>本位币</x:v>
      </x:c>
      <x:c r="B8" s="40" t="str">
        <x:v>人民币</x:v>
      </x:c>
      <x:c r="C8" s="40" t="str">
        <x:v>内部政策</x:v>
      </x:c>
      <x:c r="D8" s="41" t="str">
        <x:v>外币另设原币列</x:v>
      </x:c>
      <x:c r="E8" s="81"/>
      <x:c r="F8" s="39" t="str">
        <x:v>黑色公式</x:v>
      </x:c>
      <x:c r="G8" s="40" t="str">
        <x:v>自动计算</x:v>
      </x:c>
      <x:c r="H8" s="40" t="str">
        <x:v>不得覆盖</x:v>
      </x:c>
      <x:c r="I8" s="40" t="str">
        <x:v>公式破坏</x:v>
      </x:c>
      <x:c r="J8" s="41" t="str">
        <x:v>保护与抽查</x:v>
      </x:c>
    </x:row>
    <x:row r="9">
      <x:c r="A9" s="39" t="str">
        <x:v>单项重大金额</x:v>
      </x:c>
      <x:c r="B9" s="47" t="n">
        <x:v>10</x:v>
      </x:c>
      <x:c r="C9" s="40" t="str">
        <x:v>内部政策</x:v>
      </x:c>
      <x:c r="D9" s="41" t="str">
        <x:v>达到即触发主管复核</x:v>
      </x:c>
      <x:c r="E9" s="81"/>
      <x:c r="F9" s="39" t="str">
        <x:v>红色异常</x:v>
      </x:c>
      <x:c r="G9" s="40" t="str">
        <x:v>规则触发</x:v>
      </x:c>
      <x:c r="H9" s="40" t="str">
        <x:v>查明原因</x:v>
      </x:c>
      <x:c r="I9" s="40" t="str">
        <x:v>误判/漏判</x:v>
      </x:c>
      <x:c r="J9" s="41" t="str">
        <x:v>人工结论</x:v>
      </x:c>
    </x:row>
    <x:row r="10">
      <x:c r="A10" s="39" t="str">
        <x:v>利润影响重大金额</x:v>
      </x:c>
      <x:c r="B10" s="47" t="n">
        <x:v>5</x:v>
      </x:c>
      <x:c r="C10" s="40" t="str">
        <x:v>内部政策</x:v>
      </x:c>
      <x:c r="D10" s="41" t="str">
        <x:v>影响利润达到即升级</x:v>
      </x:c>
      <x:c r="E10" s="81"/>
      <x:c r="F10" s="42" t="str">
        <x:v>绿色关闭</x:v>
      </x:c>
      <x:c r="G10" s="43" t="str">
        <x:v>证据齐全</x:v>
      </x:c>
      <x:c r="H10" s="43" t="str">
        <x:v>复核人确认</x:v>
      </x:c>
      <x:c r="I10" s="43" t="str">
        <x:v>虚假关闭</x:v>
      </x:c>
      <x:c r="J10" s="44" t="str">
        <x:v>关闭证据</x:v>
      </x:c>
    </x:row>
    <x:row r="11">
      <x:c r="A11" s="39" t="str">
        <x:v>长期挂账天数</x:v>
      </x:c>
      <x:c r="B11" s="47" t="n">
        <x:v>365</x:v>
      </x:c>
      <x:c r="C11" s="40" t="str">
        <x:v>内部政策</x:v>
      </x:c>
      <x:c r="D11" s="41" t="str">
        <x:v>仅为预警，不等于核销条件</x:v>
      </x:c>
      <x:c r="E11" s="81"/>
      <x:c r="F11" s="81"/>
      <x:c r="G11" s="81"/>
      <x:c r="H11" s="81"/>
      <x:c r="I11" s="81"/>
      <x:c r="J11" s="81"/>
    </x:row>
    <x:row r="12">
      <x:c r="A12" s="39" t="str">
        <x:v>波动预警比例</x:v>
      </x:c>
      <x:c r="B12" s="48" t="n">
        <x:v>0.3</x:v>
      </x:c>
      <x:c r="C12" s="40" t="str">
        <x:v>内部政策</x:v>
      </x:c>
      <x:c r="D12" s="41" t="str">
        <x:v>环比变化阈值</x:v>
      </x:c>
      <x:c r="E12" s="81"/>
      <x:c r="F12" s="81"/>
      <x:c r="G12" s="81"/>
      <x:c r="H12" s="81"/>
      <x:c r="I12" s="81"/>
      <x:c r="J12" s="81"/>
    </x:row>
    <x:row r="13">
      <x:c r="A13" s="39" t="str">
        <x:v>月结目标</x:v>
      </x:c>
      <x:c r="B13" s="40" t="str">
        <x:v>D+7</x:v>
      </x:c>
      <x:c r="C13" s="40" t="str">
        <x:v>内部政策</x:v>
      </x:c>
      <x:c r="D13" s="41" t="str">
        <x:v>按企业实际修改</x:v>
      </x:c>
      <x:c r="E13" s="81"/>
      <x:c r="F13" s="81"/>
      <x:c r="G13" s="81"/>
      <x:c r="H13" s="81"/>
      <x:c r="I13" s="81"/>
      <x:c r="J13" s="81"/>
    </x:row>
    <x:row r="14">
      <x:c r="A14" s="42" t="str">
        <x:v>政策核验日</x:v>
      </x:c>
      <x:c r="B14" s="46" t="n">
        <x:v>46274</x:v>
      </x:c>
      <x:c r="C14" s="43" t="str">
        <x:v>资料版本</x:v>
      </x:c>
      <x:c r="D14" s="44" t="str">
        <x:v>实际处理前再次核验</x:v>
      </x:c>
      <x:c r="E14" s="81"/>
      <x:c r="F14" s="81"/>
      <x:c r="G14" s="81"/>
      <x:c r="H14" s="81"/>
      <x:c r="I14" s="81"/>
      <x:c r="J14" s="81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10" hidden="0" customWidth="1"/>
    <x:col min="5" max="5" width="28" hidden="0" customWidth="1"/>
    <x:col min="6" max="6" width="22" hidden="0" customWidth="1"/>
    <x:col min="7" max="7" width="12" hidden="0" customWidth="1"/>
    <x:col min="8" max="8" width="13" hidden="0" customWidth="1"/>
    <x:col min="9" max="9" width="13" hidden="0" customWidth="1"/>
    <x:col min="10" max="10" width="12" hidden="0" customWidth="1"/>
    <x:col min="11" max="11" width="14" hidden="0" customWidth="1"/>
    <x:col min="12" max="12" width="30" hidden="0" customWidth="1"/>
    <x:col min="13" max="13" width="12" hidden="0" customWidth="1"/>
    <x:col min="14" max="14" width="12" hidden="0" customWidth="1"/>
    <x:col min="15" max="15" width="18" hidden="0" customWidth="1"/>
  </x:cols>
  <x:sheetData>
    <x:row r="1" ht="30" customHeight="1">
      <x:c r="A1" s="80" t="str">
        <x:v>全科目月结检查清单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</x:row>
    <x:row r="2" ht="24" customHeight="1">
      <x:c r="A2" s="82" t="str">
        <x:v>从D-5预检查到D+7锁账；每项必须有底稿、结论与复核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</x:row>
    <x:row r="5" ht="32" customHeight="1">
      <x:c r="A5" s="15" t="str">
        <x:v>编号</x:v>
      </x:c>
      <x:c r="B5" s="16" t="str">
        <x:v>阶段</x:v>
      </x:c>
      <x:c r="C5" s="16" t="str">
        <x:v>科目/事项</x:v>
      </x:c>
      <x:c r="D5" s="16" t="str">
        <x:v>频率</x:v>
      </x:c>
      <x:c r="E5" s="16" t="str">
        <x:v>核对对象</x:v>
      </x:c>
      <x:c r="F5" s="16" t="str">
        <x:v>数据来源</x:v>
      </x:c>
      <x:c r="G5" s="16" t="str">
        <x:v>经办人</x:v>
      </x:c>
      <x:c r="H5" s="16" t="str">
        <x:v>计划完成日</x:v>
      </x:c>
      <x:c r="I5" s="16" t="str">
        <x:v>实际完成日</x:v>
      </x:c>
      <x:c r="J5" s="16" t="str">
        <x:v>异常数量</x:v>
      </x:c>
      <x:c r="K5" s="16" t="str">
        <x:v>异常金额</x:v>
      </x:c>
      <x:c r="L5" s="16" t="str">
        <x:v>结论</x:v>
      </x:c>
      <x:c r="M5" s="16" t="str">
        <x:v>复核人</x:v>
      </x:c>
      <x:c r="N5" s="16" t="str">
        <x:v>复核状态</x:v>
      </x:c>
      <x:c r="O5" s="17" t="str">
        <x:v>底稿位置</x:v>
      </x:c>
    </x:row>
    <x:row r="6">
      <x:c r="A6" s="49" t="str">
        <x:v>CL-001</x:v>
      </x:c>
      <x:c r="B6" s="50" t="str">
        <x:v>D-5</x:v>
      </x:c>
      <x:c r="C6" s="50" t="str">
        <x:v>银行账户完整和调节</x:v>
      </x:c>
      <x:c r="D6" s="50" t="str">
        <x:v>月</x:v>
      </x:c>
      <x:c r="E6" s="50" t="str">
        <x:v>对账单/流水/GL</x:v>
      </x:c>
      <x:c r="F6" s="50" t="str">
        <x:v>银行及资金模块</x:v>
      </x:c>
      <x:c r="G6" s="50" t="str">
        <x:v>资金</x:v>
      </x:c>
      <x:c r="H6" s="55" t="n">
        <x:v>46235</x:v>
      </x:c>
      <x:c r="I6" s="55"/>
      <x:c r="J6" s="50" t="n">
        <x:v>2</x:v>
      </x:c>
      <x:c r="K6" s="57" t="n">
        <x:v>48</x:v>
      </x:c>
      <x:c r="L6" s="50" t="str">
        <x:v>0.2漏记；47.8在途</x:v>
      </x:c>
      <x:c r="M6" s="50" t="str">
        <x:v>主管</x:v>
      </x:c>
      <x:c r="N6" s="50" t="str">
        <x:v>待复核</x:v>
      </x:c>
      <x:c r="O6" s="51" t="str">
        <x:v>07表</x:v>
      </x:c>
    </x:row>
    <x:row r="7">
      <x:c r="A7" s="39" t="str">
        <x:v>CL-002</x:v>
      </x:c>
      <x:c r="B7" s="40" t="str">
        <x:v>D+1</x:v>
      </x:c>
      <x:c r="C7" s="40" t="str">
        <x:v>AR与GL及收款核销</x:v>
      </x:c>
      <x:c r="D7" s="40" t="str">
        <x:v>月</x:v>
      </x:c>
      <x:c r="E7" s="40" t="str">
        <x:v>AR/GL/银行</x:v>
      </x:c>
      <x:c r="F7" s="40" t="str">
        <x:v>AR模块</x:v>
      </x:c>
      <x:c r="G7" s="40" t="str">
        <x:v>AR</x:v>
      </x:c>
      <x:c r="H7" s="45" t="n">
        <x:v>46236</x:v>
      </x:c>
      <x:c r="I7" s="45"/>
      <x:c r="J7" s="40" t="n">
        <x:v>1</x:v>
      </x:c>
      <x:c r="K7" s="47" t="n">
        <x:v>113</x:v>
      </x:c>
      <x:c r="L7" s="40" t="str">
        <x:v>旧编码未核销</x:v>
      </x:c>
      <x:c r="M7" s="40" t="str">
        <x:v>主管</x:v>
      </x:c>
      <x:c r="N7" s="40" t="str">
        <x:v>进行中</x:v>
      </x:c>
      <x:c r="O7" s="41" t="str">
        <x:v>03表</x:v>
      </x:c>
    </x:row>
    <x:row r="8">
      <x:c r="A8" s="52" t="str">
        <x:v>CL-003</x:v>
      </x:c>
      <x:c r="B8" s="53" t="str">
        <x:v>D+1</x:v>
      </x:c>
      <x:c r="C8" s="53" t="str">
        <x:v>AP预付暂估核对</x:v>
      </x:c>
      <x:c r="D8" s="53" t="str">
        <x:v>月</x:v>
      </x:c>
      <x:c r="E8" s="53" t="str">
        <x:v>AP/采购/供应商</x:v>
      </x:c>
      <x:c r="F8" s="53" t="str">
        <x:v>AP模块</x:v>
      </x:c>
      <x:c r="G8" s="53" t="str">
        <x:v>AP</x:v>
      </x:c>
      <x:c r="H8" s="56" t="n">
        <x:v>46236</x:v>
      </x:c>
      <x:c r="I8" s="56"/>
      <x:c r="J8" s="53" t="n">
        <x:v>3</x:v>
      </x:c>
      <x:c r="K8" s="58" t="n">
        <x:v>200</x:v>
      </x:c>
      <x:c r="L8" s="53" t="str">
        <x:v>借方/长期预付/暂估</x:v>
      </x:c>
      <x:c r="M8" s="53" t="str">
        <x:v>主管</x:v>
      </x:c>
      <x:c r="N8" s="53" t="str">
        <x:v>进行中</x:v>
      </x:c>
      <x:c r="O8" s="54" t="str">
        <x:v>03/05/06</x:v>
      </x:c>
    </x:row>
    <x:row r="9">
      <x:c r="A9" s="39" t="str">
        <x:v>CL-004</x:v>
      </x:c>
      <x:c r="B9" s="40" t="str">
        <x:v>D+2</x:v>
      </x:c>
      <x:c r="C9" s="40" t="str">
        <x:v>库存与成本核对</x:v>
      </x:c>
      <x:c r="D9" s="40" t="str">
        <x:v>月</x:v>
      </x:c>
      <x:c r="E9" s="40" t="str">
        <x:v>收发存/盘点/GL</x:v>
      </x:c>
      <x:c r="F9" s="40" t="str">
        <x:v>库存成本</x:v>
      </x:c>
      <x:c r="G9" s="40" t="str">
        <x:v>成本</x:v>
      </x:c>
      <x:c r="H9" s="45" t="n">
        <x:v>46237</x:v>
      </x:c>
      <x:c r="I9" s="45"/>
      <x:c r="J9" s="40" t="n">
        <x:v>1</x:v>
      </x:c>
      <x:c r="K9" s="47" t="n">
        <x:v>12</x:v>
      </x:c>
      <x:c r="L9" s="40" t="str">
        <x:v>退料未过账</x:v>
      </x:c>
      <x:c r="M9" s="40" t="str">
        <x:v>主管</x:v>
      </x:c>
      <x:c r="N9" s="40" t="str">
        <x:v>待复核</x:v>
      </x:c>
      <x:c r="O9" s="41" t="str">
        <x:v>08表</x:v>
      </x:c>
    </x:row>
    <x:row r="10">
      <x:c r="A10" s="52" t="str">
        <x:v>CL-005</x:v>
      </x:c>
      <x:c r="B10" s="53" t="str">
        <x:v>D+3</x:v>
      </x:c>
      <x:c r="C10" s="53" t="str">
        <x:v>资产与在建工程</x:v>
      </x:c>
      <x:c r="D10" s="53" t="str">
        <x:v>月</x:v>
      </x:c>
      <x:c r="E10" s="53" t="str">
        <x:v>FA/项目/实物</x:v>
      </x:c>
      <x:c r="F10" s="53" t="str">
        <x:v>FA模块</x:v>
      </x:c>
      <x:c r="G10" s="53" t="str">
        <x:v>资产</x:v>
      </x:c>
      <x:c r="H10" s="56" t="n">
        <x:v>46238</x:v>
      </x:c>
      <x:c r="I10" s="56"/>
      <x:c r="J10" s="53" t="n">
        <x:v>1</x:v>
      </x:c>
      <x:c r="K10" s="58" t="n">
        <x:v>260</x:v>
      </x:c>
      <x:c r="L10" s="53" t="str">
        <x:v>已使用未转固</x:v>
      </x:c>
      <x:c r="M10" s="53" t="str">
        <x:v>主管</x:v>
      </x:c>
      <x:c r="N10" s="53" t="str">
        <x:v>进行中</x:v>
      </x:c>
      <x:c r="O10" s="54" t="str">
        <x:v>09表</x:v>
      </x:c>
    </x:row>
    <x:row r="11">
      <x:c r="A11" s="39" t="str">
        <x:v>CL-006</x:v>
      </x:c>
      <x:c r="B11" s="40" t="str">
        <x:v>D+3</x:v>
      </x:c>
      <x:c r="C11" s="40" t="str">
        <x:v>薪酬五方核对</x:v>
      </x:c>
      <x:c r="D11" s="40" t="str">
        <x:v>月</x:v>
      </x:c>
      <x:c r="E11" s="40" t="str">
        <x:v>HR/工资/银行/个税/GL</x:v>
      </x:c>
      <x:c r="F11" s="40" t="str">
        <x:v>薪酬</x:v>
      </x:c>
      <x:c r="G11" s="40" t="str">
        <x:v>薪酬</x:v>
      </x:c>
      <x:c r="H11" s="45" t="n">
        <x:v>46238</x:v>
      </x:c>
      <x:c r="I11" s="45"/>
      <x:c r="J11" s="40" t="n">
        <x:v>1</x:v>
      </x:c>
      <x:c r="K11" s="47" t="n">
        <x:v>6</x:v>
      </x:c>
      <x:c r="L11" s="40" t="str">
        <x:v>奖金版本错误</x:v>
      </x:c>
      <x:c r="M11" s="40" t="str">
        <x:v>主管</x:v>
      </x:c>
      <x:c r="N11" s="40" t="str">
        <x:v>进行中</x:v>
      </x:c>
      <x:c r="O11" s="41" t="str">
        <x:v>03表</x:v>
      </x:c>
    </x:row>
    <x:row r="12">
      <x:c r="A12" s="52" t="str">
        <x:v>CL-007</x:v>
      </x:c>
      <x:c r="B12" s="53" t="str">
        <x:v>D+4</x:v>
      </x:c>
      <x:c r="C12" s="53" t="str">
        <x:v>账票税核对</x:v>
      </x:c>
      <x:c r="D12" s="53" t="str">
        <x:v>月</x:v>
      </x:c>
      <x:c r="E12" s="53" t="str">
        <x:v>业务/票/账/申报</x:v>
      </x:c>
      <x:c r="F12" s="53" t="str">
        <x:v>税务底稿</x:v>
      </x:c>
      <x:c r="G12" s="53" t="str">
        <x:v>税务</x:v>
      </x:c>
      <x:c r="H12" s="56" t="n">
        <x:v>46239</x:v>
      </x:c>
      <x:c r="I12" s="56"/>
      <x:c r="J12" s="53" t="n">
        <x:v>1</x:v>
      </x:c>
      <x:c r="K12" s="58" t="n">
        <x:v>2.6</x:v>
      </x:c>
      <x:c r="L12" s="53" t="str">
        <x:v>进项未转出</x:v>
      </x:c>
      <x:c r="M12" s="53" t="str">
        <x:v>主管</x:v>
      </x:c>
      <x:c r="N12" s="53" t="str">
        <x:v>进行中</x:v>
      </x:c>
      <x:c r="O12" s="54" t="str">
        <x:v>10表</x:v>
      </x:c>
    </x:row>
    <x:row r="13">
      <x:c r="A13" s="39" t="str">
        <x:v>CL-008</x:v>
      </x:c>
      <x:c r="B13" s="40" t="str">
        <x:v>D+5</x:v>
      </x:c>
      <x:c r="C13" s="40" t="str">
        <x:v>损益和波动分析</x:v>
      </x:c>
      <x:c r="D13" s="40" t="str">
        <x:v>月</x:v>
      </x:c>
      <x:c r="E13" s="40" t="str">
        <x:v>明细/预算/同比环比</x:v>
      </x:c>
      <x:c r="F13" s="40" t="str">
        <x:v>GL/预算</x:v>
      </x:c>
      <x:c r="G13" s="40" t="str">
        <x:v>总账</x:v>
      </x:c>
      <x:c r="H13" s="45" t="n">
        <x:v>46240</x:v>
      </x:c>
      <x:c r="I13" s="45"/>
      <x:c r="J13" s="40" t="n">
        <x:v>1</x:v>
      </x:c>
      <x:c r="K13" s="47" t="n">
        <x:v>65</x:v>
      </x:c>
      <x:c r="L13" s="40" t="str">
        <x:v>重复咨询费35</x:v>
      </x:c>
      <x:c r="M13" s="40" t="str">
        <x:v>主管</x:v>
      </x:c>
      <x:c r="N13" s="40" t="str">
        <x:v>进行中</x:v>
      </x:c>
      <x:c r="O13" s="41" t="str">
        <x:v>12表</x:v>
      </x:c>
    </x:row>
    <x:row r="14">
      <x:c r="A14" s="52" t="str">
        <x:v>CL-009</x:v>
      </x:c>
      <x:c r="B14" s="53" t="str">
        <x:v>D+6</x:v>
      </x:c>
      <x:c r="C14" s="53" t="str">
        <x:v>全科目签署与报表勾稽</x:v>
      </x:c>
      <x:c r="D14" s="53" t="str">
        <x:v>月</x:v>
      </x:c>
      <x:c r="E14" s="53" t="str">
        <x:v>余额表/报表/底稿</x:v>
      </x:c>
      <x:c r="F14" s="53" t="str">
        <x:v>GL</x:v>
      </x:c>
      <x:c r="G14" s="53" t="str">
        <x:v>总账</x:v>
      </x:c>
      <x:c r="H14" s="56" t="n">
        <x:v>46241</x:v>
      </x:c>
      <x:c r="I14" s="56"/>
      <x:c r="J14" s="53"/>
      <x:c r="K14" s="58"/>
      <x:c r="L14" s="53" t="str">
        <x:v>待前序关闭</x:v>
      </x:c>
      <x:c r="M14" s="53" t="str">
        <x:v>主管</x:v>
      </x:c>
      <x:c r="N14" s="53" t="str">
        <x:v>未开始</x:v>
      </x:c>
      <x:c r="O14" s="54" t="str"/>
    </x:row>
    <x:row r="15">
      <x:c r="A15" s="39" t="str">
        <x:v>CL-010</x:v>
      </x:c>
      <x:c r="B15" s="40" t="str">
        <x:v>D+7</x:v>
      </x:c>
      <x:c r="C15" s="40" t="str">
        <x:v>异常报告和锁账批准</x:v>
      </x:c>
      <x:c r="D15" s="40" t="str">
        <x:v>月</x:v>
      </x:c>
      <x:c r="E15" s="40" t="str">
        <x:v>管理报告/未关闭项</x:v>
      </x:c>
      <x:c r="F15" s="40" t="str">
        <x:v>12表</x:v>
      </x:c>
      <x:c r="G15" s="40" t="str">
        <x:v>主管</x:v>
      </x:c>
      <x:c r="H15" s="45" t="n">
        <x:v>46242</x:v>
      </x:c>
      <x:c r="I15" s="45"/>
      <x:c r="J15" s="40"/>
      <x:c r="K15" s="47"/>
      <x:c r="L15" s="40" t="str">
        <x:v>待CFO决策</x:v>
      </x:c>
      <x:c r="M15" s="40" t="str">
        <x:v>CFO</x:v>
      </x:c>
      <x:c r="N15" s="40" t="str">
        <x:v>未开始</x:v>
      </x:c>
      <x:c r="O15" s="41" t="str"/>
    </x:row>
    <x:row r="16">
      <x:c r="A16" s="52"/>
      <x:c r="B16" s="53"/>
      <x:c r="C16" s="53"/>
      <x:c r="D16" s="53"/>
      <x:c r="E16" s="53"/>
      <x:c r="F16" s="53"/>
      <x:c r="G16" s="53"/>
      <x:c r="H16" s="56"/>
      <x:c r="I16" s="56"/>
      <x:c r="J16" s="53"/>
      <x:c r="K16" s="58"/>
      <x:c r="L16" s="53"/>
      <x:c r="M16" s="53"/>
      <x:c r="N16" s="53"/>
      <x:c r="O16" s="54"/>
    </x:row>
    <x:row r="17">
      <x:c r="A17" s="39"/>
      <x:c r="B17" s="40"/>
      <x:c r="C17" s="40"/>
      <x:c r="D17" s="40"/>
      <x:c r="E17" s="40"/>
      <x:c r="F17" s="40"/>
      <x:c r="G17" s="40"/>
      <x:c r="H17" s="45"/>
      <x:c r="I17" s="45"/>
      <x:c r="J17" s="40"/>
      <x:c r="K17" s="47"/>
      <x:c r="L17" s="40"/>
      <x:c r="M17" s="40"/>
      <x:c r="N17" s="40"/>
      <x:c r="O17" s="41"/>
    </x:row>
    <x:row r="18">
      <x:c r="A18" s="52"/>
      <x:c r="B18" s="53"/>
      <x:c r="C18" s="53"/>
      <x:c r="D18" s="53"/>
      <x:c r="E18" s="53"/>
      <x:c r="F18" s="53"/>
      <x:c r="G18" s="53"/>
      <x:c r="H18" s="56"/>
      <x:c r="I18" s="56"/>
      <x:c r="J18" s="53"/>
      <x:c r="K18" s="58"/>
      <x:c r="L18" s="53"/>
      <x:c r="M18" s="53"/>
      <x:c r="N18" s="53"/>
      <x:c r="O18" s="54"/>
    </x:row>
    <x:row r="19">
      <x:c r="A19" s="39"/>
      <x:c r="B19" s="40"/>
      <x:c r="C19" s="40"/>
      <x:c r="D19" s="40"/>
      <x:c r="E19" s="40"/>
      <x:c r="F19" s="40"/>
      <x:c r="G19" s="40"/>
      <x:c r="H19" s="45"/>
      <x:c r="I19" s="45"/>
      <x:c r="J19" s="40"/>
      <x:c r="K19" s="47"/>
      <x:c r="L19" s="40"/>
      <x:c r="M19" s="40"/>
      <x:c r="N19" s="40"/>
      <x:c r="O19" s="41"/>
    </x:row>
    <x:row r="20">
      <x:c r="A20" s="52"/>
      <x:c r="B20" s="53"/>
      <x:c r="C20" s="53"/>
      <x:c r="D20" s="53"/>
      <x:c r="E20" s="53"/>
      <x:c r="F20" s="53"/>
      <x:c r="G20" s="53"/>
      <x:c r="H20" s="56"/>
      <x:c r="I20" s="56"/>
      <x:c r="J20" s="53"/>
      <x:c r="K20" s="58"/>
      <x:c r="L20" s="53"/>
      <x:c r="M20" s="53"/>
      <x:c r="N20" s="53"/>
      <x:c r="O20" s="54"/>
    </x:row>
    <x:row r="21">
      <x:c r="A21" s="39"/>
      <x:c r="B21" s="40"/>
      <x:c r="C21" s="40"/>
      <x:c r="D21" s="40"/>
      <x:c r="E21" s="40"/>
      <x:c r="F21" s="40"/>
      <x:c r="G21" s="40"/>
      <x:c r="H21" s="45"/>
      <x:c r="I21" s="45"/>
      <x:c r="J21" s="40"/>
      <x:c r="K21" s="47"/>
      <x:c r="L21" s="40"/>
      <x:c r="M21" s="40"/>
      <x:c r="N21" s="40"/>
      <x:c r="O21" s="41"/>
    </x:row>
    <x:row r="22">
      <x:c r="A22" s="52"/>
      <x:c r="B22" s="53"/>
      <x:c r="C22" s="53"/>
      <x:c r="D22" s="53"/>
      <x:c r="E22" s="53"/>
      <x:c r="F22" s="53"/>
      <x:c r="G22" s="53"/>
      <x:c r="H22" s="56"/>
      <x:c r="I22" s="56"/>
      <x:c r="J22" s="53"/>
      <x:c r="K22" s="58"/>
      <x:c r="L22" s="53"/>
      <x:c r="M22" s="53"/>
      <x:c r="N22" s="53"/>
      <x:c r="O22" s="54"/>
    </x:row>
    <x:row r="23">
      <x:c r="A23" s="39"/>
      <x:c r="B23" s="40"/>
      <x:c r="C23" s="40"/>
      <x:c r="D23" s="40"/>
      <x:c r="E23" s="40"/>
      <x:c r="F23" s="40"/>
      <x:c r="G23" s="40"/>
      <x:c r="H23" s="45"/>
      <x:c r="I23" s="45"/>
      <x:c r="J23" s="40"/>
      <x:c r="K23" s="47"/>
      <x:c r="L23" s="40"/>
      <x:c r="M23" s="40"/>
      <x:c r="N23" s="40"/>
      <x:c r="O23" s="41"/>
    </x:row>
    <x:row r="24">
      <x:c r="A24" s="52"/>
      <x:c r="B24" s="53"/>
      <x:c r="C24" s="53"/>
      <x:c r="D24" s="53"/>
      <x:c r="E24" s="53"/>
      <x:c r="F24" s="53"/>
      <x:c r="G24" s="53"/>
      <x:c r="H24" s="56"/>
      <x:c r="I24" s="56"/>
      <x:c r="J24" s="53"/>
      <x:c r="K24" s="58"/>
      <x:c r="L24" s="53"/>
      <x:c r="M24" s="53"/>
      <x:c r="N24" s="53"/>
      <x:c r="O24" s="54"/>
    </x:row>
    <x:row r="25">
      <x:c r="A25" s="42"/>
      <x:c r="B25" s="43"/>
      <x:c r="C25" s="43"/>
      <x:c r="D25" s="43"/>
      <x:c r="E25" s="43"/>
      <x:c r="F25" s="43"/>
      <x:c r="G25" s="43"/>
      <x:c r="H25" s="46"/>
      <x:c r="I25" s="46"/>
      <x:c r="J25" s="43"/>
      <x:c r="K25" s="59"/>
      <x:c r="L25" s="43"/>
      <x:c r="M25" s="43"/>
      <x:c r="N25" s="43"/>
      <x:c r="O25" s="44"/>
    </x:row>
  </x:sheetData>
  <x:mergeCells>
    <x:mergeCell ref="A1:O1"/>
    <x:mergeCell ref="A2:O2"/>
  </x:mergeCells>
  <x:conditionalFormatting sqref="N6:N25">
    <x:cfRule type="expression" dxfId="0" priority="1">
      <x:formula>INDIRECT("RC",FALSE)="已关闭"</x:formula>
    </x:cfRule>
    <x:cfRule type="expression" dxfId="1" priority="2">
      <x:formula>INDIRECT("RC",FALSE)="进行中"</x:formula>
    </x:cfRule>
    <x:cfRule type="expression" dxfId="2" priority="3">
      <x:formula>INDIRECT("RC",FALSE)="待复核"</x:formula>
    </x:cfRule>
  </x:conditionalFormatting>
  <x:dataValidations count="1">
    <x:dataValidation type="list" sqref="N6:N25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c6cc4118024f2e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2" hidden="0" customWidth="1"/>
    <x:col min="5" max="5" width="22" hidden="0" customWidth="1"/>
    <x:col min="6" max="6" width="12" hidden="0" customWidth="1"/>
    <x:col min="7" max="7" width="12" hidden="0" customWidth="1"/>
    <x:col min="8" max="8" width="34" hidden="0" customWidth="1"/>
    <x:col min="9" max="9" width="24" hidden="0" customWidth="1"/>
    <x:col min="10" max="10" width="24" hidden="0" customWidth="1"/>
    <x:col min="11" max="11" width="22" hidden="0" customWidth="1"/>
    <x:col min="12" max="12" width="18" hidden="0" customWidth="1"/>
  </x:cols>
  <x:sheetData>
    <x:row r="1" ht="30" customHeight="1">
      <x:c r="A1" s="80" t="str">
        <x:v>科目—业务台账核对矩阵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 ht="24" customHeight="1">
      <x:c r="A2" s="82" t="str">
        <x:v>明确每个科目的数据源、外部证据、频率与差异路径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</x:row>
    <x:row r="5" ht="32" customHeight="1">
      <x:c r="A5" s="15" t="str">
        <x:v>科目类别</x:v>
      </x:c>
      <x:c r="B5" s="16" t="str">
        <x:v>科目</x:v>
      </x:c>
      <x:c r="C5" s="16" t="str">
        <x:v>ERP模块</x:v>
      </x:c>
      <x:c r="D5" s="16" t="str">
        <x:v>业务台账</x:v>
      </x:c>
      <x:c r="E5" s="16" t="str">
        <x:v>外部/实物证据</x:v>
      </x:c>
      <x:c r="F5" s="16" t="str">
        <x:v>核对频率</x:v>
      </x:c>
      <x:c r="G5" s="16" t="str">
        <x:v>责任岗位</x:v>
      </x:c>
      <x:c r="H5" s="16" t="str">
        <x:v>核心勾稽</x:v>
      </x:c>
      <x:c r="I5" s="16" t="str">
        <x:v>主要异常</x:v>
      </x:c>
      <x:c r="J5" s="16" t="str">
        <x:v>首查路径</x:v>
      </x:c>
      <x:c r="K5" s="16" t="str">
        <x:v>复核要求</x:v>
      </x:c>
      <x:c r="L5" s="17" t="str">
        <x:v>备注</x:v>
      </x:c>
    </x:row>
    <x:row r="6">
      <x:c r="A6" s="49" t="str">
        <x:v>资金</x:v>
      </x:c>
      <x:c r="B6" s="50" t="str">
        <x:v>银行存款</x:v>
      </x:c>
      <x:c r="C6" s="50" t="str">
        <x:v>Treasury/GL</x:v>
      </x:c>
      <x:c r="D6" s="50" t="str">
        <x:v>账户清单</x:v>
      </x:c>
      <x:c r="E6" s="50" t="str">
        <x:v>对账单/流水</x:v>
      </x:c>
      <x:c r="F6" s="50" t="str">
        <x:v>月/日</x:v>
      </x:c>
      <x:c r="G6" s="50" t="str">
        <x:v>资金</x:v>
      </x:c>
      <x:c r="H6" s="50" t="str">
        <x:v>流水=日记账=GL可调节</x:v>
      </x:c>
      <x:c r="I6" s="50" t="str">
        <x:v>未达/漏户</x:v>
      </x:c>
      <x:c r="J6" s="50" t="str">
        <x:v>逐账户逐流水</x:v>
      </x:c>
      <x:c r="K6" s="50" t="str">
        <x:v>长期未达升级</x:v>
      </x:c>
      <x:c r="L6" s="51" t="str"/>
    </x:row>
    <x:row r="7">
      <x:c r="A7" s="39" t="str">
        <x:v>应收</x:v>
      </x:c>
      <x:c r="B7" s="40" t="str">
        <x:v>应收账款</x:v>
      </x:c>
      <x:c r="C7" s="40" t="str">
        <x:v>AR</x:v>
      </x:c>
      <x:c r="D7" s="40" t="str">
        <x:v>销售/收款</x:v>
      </x:c>
      <x:c r="E7" s="40" t="str">
        <x:v>客户对账</x:v>
      </x:c>
      <x:c r="F7" s="40" t="str">
        <x:v>月</x:v>
      </x:c>
      <x:c r="G7" s="40" t="str">
        <x:v>AR</x:v>
      </x:c>
      <x:c r="H7" s="40" t="str">
        <x:v>AR=GL；未结项=业务桥</x:v>
      </x:c>
      <x:c r="I7" s="40" t="str">
        <x:v>贷方/逾期</x:v>
      </x:c>
      <x:c r="J7" s="40" t="str">
        <x:v>客户+合同+核销</x:v>
      </x:c>
      <x:c r="K7" s="40" t="str">
        <x:v>重大逾期主管</x:v>
      </x:c>
      <x:c r="L7" s="41" t="str"/>
    </x:row>
    <x:row r="8">
      <x:c r="A8" s="52" t="str">
        <x:v>预付</x:v>
      </x:c>
      <x:c r="B8" s="53" t="str">
        <x:v>预付款项</x:v>
      </x:c>
      <x:c r="C8" s="53" t="str">
        <x:v>AP</x:v>
      </x:c>
      <x:c r="D8" s="53" t="str">
        <x:v>采购/付款</x:v>
      </x:c>
      <x:c r="E8" s="53" t="str">
        <x:v>供应商确认</x:v>
      </x:c>
      <x:c r="F8" s="53" t="str">
        <x:v>月</x:v>
      </x:c>
      <x:c r="G8" s="53" t="str">
        <x:v>AP</x:v>
      </x:c>
      <x:c r="H8" s="53" t="str">
        <x:v>预付=付款-已履约核销</x:v>
      </x:c>
      <x:c r="I8" s="53" t="str">
        <x:v>长期/贷方</x:v>
      </x:c>
      <x:c r="J8" s="53" t="str">
        <x:v>订单+收货+发票</x:v>
      </x:c>
      <x:c r="K8" s="53" t="str">
        <x:v>&gt;90天升级</x:v>
      </x:c>
      <x:c r="L8" s="54" t="str"/>
    </x:row>
    <x:row r="9">
      <x:c r="A9" s="39" t="str">
        <x:v>存货</x:v>
      </x:c>
      <x:c r="B9" s="40" t="str">
        <x:v>原材料/商品</x:v>
      </x:c>
      <x:c r="C9" s="40" t="str">
        <x:v>Inventory</x:v>
      </x:c>
      <x:c r="D9" s="40" t="str">
        <x:v>收发存</x:v>
      </x:c>
      <x:c r="E9" s="40" t="str">
        <x:v>盘点</x:v>
      </x:c>
      <x:c r="F9" s="40" t="str">
        <x:v>月</x:v>
      </x:c>
      <x:c r="G9" s="40" t="str">
        <x:v>成本</x:v>
      </x:c>
      <x:c r="H9" s="40" t="str">
        <x:v>模块=GL=实物可调节</x:v>
      </x:c>
      <x:c r="I9" s="40" t="str">
        <x:v>负库存/价差</x:v>
      </x:c>
      <x:c r="J9" s="40" t="str">
        <x:v>SKU+移动类型</x:v>
      </x:c>
      <x:c r="K9" s="40" t="str">
        <x:v>负库存必查</x:v>
      </x:c>
      <x:c r="L9" s="41" t="str"/>
    </x:row>
    <x:row r="10">
      <x:c r="A10" s="52" t="str">
        <x:v>生产</x:v>
      </x:c>
      <x:c r="B10" s="53" t="str">
        <x:v>在产品</x:v>
      </x:c>
      <x:c r="C10" s="53" t="str">
        <x:v>Cost</x:v>
      </x:c>
      <x:c r="D10" s="53" t="str">
        <x:v>工单/BOM</x:v>
      </x:c>
      <x:c r="E10" s="53" t="str">
        <x:v>现场盘点</x:v>
      </x:c>
      <x:c r="F10" s="53" t="str">
        <x:v>月</x:v>
      </x:c>
      <x:c r="G10" s="53" t="str">
        <x:v>成本</x:v>
      </x:c>
      <x:c r="H10" s="53" t="str">
        <x:v>期初+投入-完工=期末</x:v>
      </x:c>
      <x:c r="I10" s="53" t="str">
        <x:v>长期工单</x:v>
      </x:c>
      <x:c r="J10" s="53" t="str">
        <x:v>工单投入产出</x:v>
      </x:c>
      <x:c r="K10" s="53" t="str">
        <x:v>重大毛利主管</x:v>
      </x:c>
      <x:c r="L10" s="54" t="str"/>
    </x:row>
    <x:row r="11">
      <x:c r="A11" s="39" t="str">
        <x:v>资产</x:v>
      </x:c>
      <x:c r="B11" s="40" t="str">
        <x:v>固定资产</x:v>
      </x:c>
      <x:c r="C11" s="40" t="str">
        <x:v>FA</x:v>
      </x:c>
      <x:c r="D11" s="40" t="str">
        <x:v>资产卡片</x:v>
      </x:c>
      <x:c r="E11" s="40" t="str">
        <x:v>实物/验收</x:v>
      </x:c>
      <x:c r="F11" s="40" t="str">
        <x:v>月/年</x:v>
      </x:c>
      <x:c r="G11" s="40" t="str">
        <x:v>资产</x:v>
      </x:c>
      <x:c r="H11" s="40" t="str">
        <x:v>卡片=GL=实物</x:v>
      </x:c>
      <x:c r="I11" s="40" t="str">
        <x:v>未转固/报废</x:v>
      </x:c>
      <x:c r="J11" s="40" t="str">
        <x:v>状态+可用日</x:v>
      </x:c>
      <x:c r="K11" s="40" t="str">
        <x:v>重大转固主管</x:v>
      </x:c>
      <x:c r="L11" s="41" t="str"/>
    </x:row>
    <x:row r="12">
      <x:c r="A12" s="52" t="str">
        <x:v>应付</x:v>
      </x:c>
      <x:c r="B12" s="53" t="str">
        <x:v>应付账款</x:v>
      </x:c>
      <x:c r="C12" s="53" t="str">
        <x:v>AP</x:v>
      </x:c>
      <x:c r="D12" s="53" t="str">
        <x:v>采购/暂估</x:v>
      </x:c>
      <x:c r="E12" s="53" t="str">
        <x:v>供应商对账</x:v>
      </x:c>
      <x:c r="F12" s="53" t="str">
        <x:v>月</x:v>
      </x:c>
      <x:c r="G12" s="53" t="str">
        <x:v>AP</x:v>
      </x:c>
      <x:c r="H12" s="53" t="str">
        <x:v>AP=GL；货票款桥</x:v>
      </x:c>
      <x:c r="I12" s="53" t="str">
        <x:v>借方/长期</x:v>
      </x:c>
      <x:c r="J12" s="53" t="str">
        <x:v>PO+收货+票款</x:v>
      </x:c>
      <x:c r="K12" s="53" t="str">
        <x:v>转收益需审批</x:v>
      </x:c>
      <x:c r="L12" s="54" t="str"/>
    </x:row>
    <x:row r="13">
      <x:c r="A13" s="39" t="str">
        <x:v>薪酬</x:v>
      </x:c>
      <x:c r="B13" s="40" t="str">
        <x:v>应付职工薪酬</x:v>
      </x:c>
      <x:c r="C13" s="40" t="str">
        <x:v>Payroll</x:v>
      </x:c>
      <x:c r="D13" s="40" t="str">
        <x:v>工资表</x:v>
      </x:c>
      <x:c r="E13" s="40" t="str">
        <x:v>银行/个税社保</x:v>
      </x:c>
      <x:c r="F13" s="40" t="str">
        <x:v>月</x:v>
      </x:c>
      <x:c r="G13" s="40" t="str">
        <x:v>薪酬</x:v>
      </x:c>
      <x:c r="H13" s="40" t="str">
        <x:v>人员-应发-扣款-实发-支付</x:v>
      </x:c>
      <x:c r="I13" s="40" t="str">
        <x:v>借方/版本差</x:v>
      </x:c>
      <x:c r="J13" s="40" t="str">
        <x:v>五方桥</x:v>
      </x:c>
      <x:c r="K13" s="40" t="str">
        <x:v>敏感数据复核</x:v>
      </x:c>
      <x:c r="L13" s="41" t="str"/>
    </x:row>
    <x:row r="14">
      <x:c r="A14" s="52" t="str">
        <x:v>税费</x:v>
      </x:c>
      <x:c r="B14" s="53" t="str">
        <x:v>应交税费</x:v>
      </x:c>
      <x:c r="C14" s="53" t="str">
        <x:v>Tax/GL</x:v>
      </x:c>
      <x:c r="D14" s="53" t="str">
        <x:v>税务底稿</x:v>
      </x:c>
      <x:c r="E14" s="53" t="str">
        <x:v>发票平台/申报</x:v>
      </x:c>
      <x:c r="F14" s="53" t="str">
        <x:v>月/季</x:v>
      </x:c>
      <x:c r="G14" s="53" t="str">
        <x:v>税务</x:v>
      </x:c>
      <x:c r="H14" s="53" t="str">
        <x:v>业务-票-账-表-款</x:v>
      </x:c>
      <x:c r="I14" s="53" t="str">
        <x:v>倒挤/遗漏</x:v>
      </x:c>
      <x:c r="J14" s="53" t="str">
        <x:v>按税种滚动</x:v>
      </x:c>
      <x:c r="K14" s="53" t="str">
        <x:v>申报前主管签署</x:v>
      </x:c>
      <x:c r="L14" s="54" t="str"/>
    </x:row>
    <x:row r="15">
      <x:c r="A15" s="39" t="str">
        <x:v>融资</x:v>
      </x:c>
      <x:c r="B15" s="40" t="str">
        <x:v>借款/利息</x:v>
      </x:c>
      <x:c r="C15" s="40" t="str">
        <x:v>Treasury</x:v>
      </x:c>
      <x:c r="D15" s="40" t="str">
        <x:v>合同/还款表</x:v>
      </x:c>
      <x:c r="E15" s="40" t="str">
        <x:v>银行函证</x:v>
      </x:c>
      <x:c r="F15" s="40" t="str">
        <x:v>月</x:v>
      </x:c>
      <x:c r="G15" s="40" t="str">
        <x:v>资金</x:v>
      </x:c>
      <x:c r="H15" s="40" t="str">
        <x:v>本金滚动+利息重算</x:v>
      </x:c>
      <x:c r="I15" s="40" t="str">
        <x:v>已还未冲</x:v>
      </x:c>
      <x:c r="J15" s="40" t="str">
        <x:v>逐合同</x:v>
      </x:c>
      <x:c r="K15" s="40" t="str">
        <x:v>分类和契约</x:v>
      </x:c>
      <x:c r="L15" s="41" t="str"/>
    </x:row>
    <x:row r="16">
      <x:c r="A16" s="52" t="str">
        <x:v>权益</x:v>
      </x:c>
      <x:c r="B16" s="53" t="str">
        <x:v>未分配利润</x:v>
      </x:c>
      <x:c r="C16" s="53" t="str">
        <x:v>GL</x:v>
      </x:c>
      <x:c r="D16" s="53" t="str">
        <x:v>利润分配</x:v>
      </x:c>
      <x:c r="E16" s="53" t="str">
        <x:v>股东决议</x:v>
      </x:c>
      <x:c r="F16" s="53" t="str">
        <x:v>月/年</x:v>
      </x:c>
      <x:c r="G16" s="53" t="str">
        <x:v>总账</x:v>
      </x:c>
      <x:c r="H16" s="53" t="str">
        <x:v>期初+净利-分配±调整</x:v>
      </x:c>
      <x:c r="I16" s="53" t="str">
        <x:v>期初不接</x:v>
      </x:c>
      <x:c r="J16" s="53" t="str">
        <x:v>历年滚动</x:v>
      </x:c>
      <x:c r="K16" s="53" t="str">
        <x:v>直接凭证必查</x:v>
      </x:c>
      <x:c r="L16" s="54" t="str"/>
    </x:row>
    <x:row r="17">
      <x:c r="A17" s="39" t="str">
        <x:v>损益</x:v>
      </x:c>
      <x:c r="B17" s="40" t="str">
        <x:v>收入成本费用</x:v>
      </x:c>
      <x:c r="C17" s="40" t="str">
        <x:v>AR/Cost/AP</x:v>
      </x:c>
      <x:c r="D17" s="40" t="str">
        <x:v>业务/预算</x:v>
      </x:c>
      <x:c r="E17" s="40" t="str">
        <x:v>合同验收</x:v>
      </x:c>
      <x:c r="F17" s="40" t="str">
        <x:v>月</x:v>
      </x:c>
      <x:c r="G17" s="40" t="str">
        <x:v>总账</x:v>
      </x:c>
      <x:c r="H17" s="40" t="str">
        <x:v>业务驱动+截止+趋势</x:v>
      </x:c>
      <x:c r="I17" s="40" t="str">
        <x:v>突增/错配</x:v>
      </x:c>
      <x:c r="J17" s="40" t="str">
        <x:v>供应商客户产品</x:v>
      </x:c>
      <x:c r="K17" s="40" t="str">
        <x:v>重大波动说明</x:v>
      </x:c>
      <x:c r="L17" s="41" t="str"/>
    </x:row>
    <x:row r="18">
      <x:c r="A18" s="52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4"/>
    </x:row>
    <x:row r="19">
      <x:c r="A19" s="39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1"/>
    </x:row>
    <x:row r="20">
      <x:c r="A20" s="52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4"/>
    </x:row>
    <x:row r="21">
      <x:c r="A21" s="39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1"/>
    </x:row>
    <x:row r="22">
      <x:c r="A22" s="52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4"/>
    </x:row>
    <x:row r="23">
      <x:c r="A23" s="39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1"/>
    </x:row>
    <x:row r="24">
      <x:c r="A24" s="52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4"/>
    </x:row>
    <x:row r="25">
      <x:c r="A25" s="39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1"/>
    </x:row>
    <x:row r="26">
      <x:c r="A26" s="52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4"/>
    </x:row>
    <x:row r="27">
      <x:c r="A27" s="39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1"/>
    </x:row>
    <x:row r="28">
      <x:c r="A28" s="52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4"/>
    </x:row>
    <x:row r="29">
      <x:c r="A29" s="39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1"/>
    </x:row>
    <x:row r="30">
      <x:c r="A30" s="60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2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592e2344aec436e"/>
  </x:tableParts>
</x:worksheet>
</file>

<file path=xl/worksheets/sheet4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12" hidden="0" customWidth="1"/>
    <x:col min="10" max="10" width="13" hidden="0" customWidth="1"/>
    <x:col min="11" max="11" width="18" hidden="0" customWidth="1"/>
    <x:col min="12" max="12" width="14" hidden="0" customWidth="1"/>
    <x:col min="13" max="13" width="28" hidden="0" customWidth="1"/>
    <x:col min="14" max="14" width="24" hidden="0" customWidth="1"/>
    <x:col min="15" max="15" width="30" hidden="0" customWidth="1"/>
    <x:col min="16" max="16" width="14" hidden="0" customWidth="1"/>
    <x:col min="17" max="17" width="18" hidden="0" customWidth="1"/>
    <x:col min="18" max="18" width="12" hidden="0" customWidth="1"/>
    <x:col min="19" max="19" width="13" hidden="0" customWidth="1"/>
    <x:col min="20" max="20" width="12" hidden="0" customWidth="1"/>
    <x:col min="21" max="21" width="12" hidden="0" customWidth="1"/>
    <x:col min="22" max="22" width="12" hidden="0" customWidth="1"/>
    <x:col min="23" max="23" width="14" hidden="0" customWidth="1"/>
  </x:cols>
  <x:sheetData>
    <x:row r="1" ht="30" customHeight="1">
      <x:c r="A1" s="80" t="str">
        <x:v>异常余额清单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</x:row>
    <x:row r="2" ht="24" customHeight="1">
      <x:c r="A2" s="82" t="str">
        <x:v>期末=期初+借方-贷方；规则只负责筛选，处理结论由财务人员作出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</x:row>
    <x:row r="5" ht="32" customHeight="1">
      <x:c r="A5" s="15" t="str">
        <x:v>异常编号</x:v>
      </x:c>
      <x:c r="B5" s="16" t="str">
        <x:v>科目</x:v>
      </x:c>
      <x:c r="C5" s="16" t="str">
        <x:v>单位/项目</x:v>
      </x:c>
      <x:c r="D5" s="16" t="str">
        <x:v>期初余额</x:v>
      </x:c>
      <x:c r="E5" s="16" t="str">
        <x:v>本期借方</x:v>
      </x:c>
      <x:c r="F5" s="16" t="str">
        <x:v>本期贷方</x:v>
      </x:c>
      <x:c r="G5" s="16" t="str">
        <x:v>期末余额</x:v>
      </x:c>
      <x:c r="H5" s="16" t="str">
        <x:v>正常方向</x:v>
      </x:c>
      <x:c r="I5" s="16" t="str">
        <x:v>账龄天数</x:v>
      </x:c>
      <x:c r="J5" s="16" t="str">
        <x:v>最后发生日</x:v>
      </x:c>
      <x:c r="K5" s="16" t="str">
        <x:v>异常类型</x:v>
      </x:c>
      <x:c r="L5" s="16" t="str">
        <x:v>业务部门</x:v>
      </x:c>
      <x:c r="M5" s="16" t="str">
        <x:v>初步原因</x:v>
      </x:c>
      <x:c r="N5" s="16" t="str">
        <x:v>支持资料</x:v>
      </x:c>
      <x:c r="O5" s="16" t="str">
        <x:v>处理方案</x:v>
      </x:c>
      <x:c r="P5" s="16" t="str">
        <x:v>利润影响</x:v>
      </x:c>
      <x:c r="Q5" s="16" t="str">
        <x:v>税务影响</x:v>
      </x:c>
      <x:c r="R5" s="16" t="str">
        <x:v>责任人</x:v>
      </x:c>
      <x:c r="S5" s="16" t="str">
        <x:v>计划关闭日</x:v>
      </x:c>
      <x:c r="T5" s="16" t="str">
        <x:v>复核人</x:v>
      </x:c>
      <x:c r="U5" s="16" t="str">
        <x:v>状态</x:v>
      </x:c>
      <x:c r="V5" s="16" t="str">
        <x:v>逾期天数</x:v>
      </x:c>
      <x:c r="W5" s="17" t="str">
        <x:v>异常金额</x:v>
      </x:c>
    </x:row>
    <x:row r="6">
      <x:c r="A6" s="49" t="str">
        <x:v>A01</x:v>
      </x:c>
      <x:c r="B6" s="50" t="str">
        <x:v>银行存款</x:v>
      </x:c>
      <x:c r="C6" s="50" t="str">
        <x:v>基本户</x:v>
      </x:c>
      <x:c r="D6" s="63" t="n">
        <x:v>1250</x:v>
      </x:c>
      <x:c r="E6" s="63" t="n">
        <x:v>980</x:v>
      </x:c>
      <x:c r="F6" s="63" t="n">
        <x:v>1038</x:v>
      </x:c>
      <x:c r="G6" s="63" t="n">
        <x:f>IF(A6="","",D6+E6-F6)</x:f>
        <x:v>1192</x:v>
      </x:c>
      <x:c r="H6" s="50" t="str">
        <x:v>借</x:v>
      </x:c>
      <x:c r="I6" s="50" t="n">
        <x:v>0</x:v>
      </x:c>
      <x:c r="J6" s="55" t="n">
        <x:v>46234</x:v>
      </x:c>
      <x:c r="K6" s="50" t="str">
        <x:v>银行未达</x:v>
      </x:c>
      <x:c r="L6" s="50" t="str">
        <x:v>资金</x:v>
      </x:c>
      <x:c r="M6" s="50" t="str">
        <x:v>47.8在途；0.2手续费漏记</x:v>
      </x:c>
      <x:c r="N6" s="50" t="str">
        <x:v>流水/回单</x:v>
      </x:c>
      <x:c r="O6" s="50" t="str">
        <x:v>补记手续费，跟踪在途</x:v>
      </x:c>
      <x:c r="P6" s="63" t="n">
        <x:v>-0.2</x:v>
      </x:c>
      <x:c r="Q6" s="50" t="str">
        <x:v>费用凭证</x:v>
      </x:c>
      <x:c r="R6" s="50" t="str">
        <x:v>资金</x:v>
      </x:c>
      <x:c r="S6" s="55" t="n">
        <x:v>46236</x:v>
      </x:c>
      <x:c r="T6" s="50" t="str">
        <x:v>主管</x:v>
      </x:c>
      <x:c r="U6" s="50" t="str">
        <x:v>待复核</x:v>
      </x:c>
      <x:c r="V6" s="50" t="n">
        <x:f>IF(OR(A6="",S6=""),"",MAX(0,'00-说明与参数'!$B$7-S6))</x:f>
        <x:v>0</x:v>
      </x:c>
      <x:c r="W6" s="67" t="n">
        <x:v>48</x:v>
      </x:c>
    </x:row>
    <x:row r="7">
      <x:c r="A7" s="39" t="str">
        <x:v>A02</x:v>
      </x:c>
      <x:c r="B7" s="40" t="str">
        <x:v>应收账款</x:v>
      </x:c>
      <x:c r="C7" s="40" t="str">
        <x:v>启明客户</x:v>
      </x:c>
      <x:c r="D7" s="64" t="n">
        <x:v>0</x:v>
      </x:c>
      <x:c r="E7" s="64" t="n">
        <x:v>113</x:v>
      </x:c>
      <x:c r="F7" s="64" t="n">
        <x:v>113</x:v>
      </x:c>
      <x:c r="G7" s="64" t="n">
        <x:f>IF(A7="","",D7+E7-F7)</x:f>
        <x:v>0</x:v>
      </x:c>
      <x:c r="H7" s="40" t="str">
        <x:v>借</x:v>
      </x:c>
      <x:c r="I7" s="40" t="n">
        <x:v>5</x:v>
      </x:c>
      <x:c r="J7" s="45" t="n">
        <x:v>46229</x:v>
      </x:c>
      <x:c r="K7" s="40" t="str">
        <x:v>已收未核销</x:v>
      </x:c>
      <x:c r="L7" s="40" t="str">
        <x:v>销售</x:v>
      </x:c>
      <x:c r="M7" s="40" t="str">
        <x:v>旧客户编码</x:v>
      </x:c>
      <x:c r="N7" s="40" t="str">
        <x:v>回单/未结项</x:v>
      </x:c>
      <x:c r="O7" s="40" t="str">
        <x:v>AR核销</x:v>
      </x:c>
      <x:c r="P7" s="64" t="n">
        <x:v>0</x:v>
      </x:c>
      <x:c r="Q7" s="40" t="str">
        <x:v>无</x:v>
      </x:c>
      <x:c r="R7" s="40" t="str">
        <x:v>AR</x:v>
      </x:c>
      <x:c r="S7" s="45" t="n">
        <x:v>46236</x:v>
      </x:c>
      <x:c r="T7" s="40" t="str">
        <x:v>主管</x:v>
      </x:c>
      <x:c r="U7" s="40" t="str">
        <x:v>进行中</x:v>
      </x:c>
      <x:c r="V7" s="40" t="n">
        <x:f>IF(OR(A7="",S7=""),"",MAX(0,'00-说明与参数'!$B$7-S7))</x:f>
        <x:v>0</x:v>
      </x:c>
      <x:c r="W7" s="68" t="n">
        <x:v>113</x:v>
      </x:c>
    </x:row>
    <x:row r="8">
      <x:c r="A8" s="52" t="str">
        <x:v>A03</x:v>
      </x:c>
      <x:c r="B8" s="53" t="str">
        <x:v>应付账款</x:v>
      </x:c>
      <x:c r="C8" s="53" t="str">
        <x:v>锐达供应商</x:v>
      </x:c>
      <x:c r="D8" s="65" t="n">
        <x:v>0</x:v>
      </x:c>
      <x:c r="E8" s="65" t="n">
        <x:v>0</x:v>
      </x:c>
      <x:c r="F8" s="65" t="n">
        <x:v>20</x:v>
      </x:c>
      <x:c r="G8" s="65" t="n">
        <x:f>IF(A8="","",D8+E8-F8)</x:f>
        <x:v>-20</x:v>
      </x:c>
      <x:c r="H8" s="53" t="str">
        <x:v>贷</x:v>
      </x:c>
      <x:c r="I8" s="53" t="n">
        <x:v>12</x:v>
      </x:c>
      <x:c r="J8" s="56" t="n">
        <x:v>46222</x:v>
      </x:c>
      <x:c r="K8" s="53" t="str">
        <x:v>借方余额</x:v>
      </x:c>
      <x:c r="L8" s="53" t="str">
        <x:v>采购</x:v>
      </x:c>
      <x:c r="M8" s="53" t="str">
        <x:v>预付款错挂</x:v>
      </x:c>
      <x:c r="N8" s="53" t="str">
        <x:v>合同/付款</x:v>
      </x:c>
      <x:c r="O8" s="53" t="str">
        <x:v>转预付</x:v>
      </x:c>
      <x:c r="P8" s="65" t="n">
        <x:v>0</x:v>
      </x:c>
      <x:c r="Q8" s="53" t="str">
        <x:v>无</x:v>
      </x:c>
      <x:c r="R8" s="53" t="str">
        <x:v>AP</x:v>
      </x:c>
      <x:c r="S8" s="56" t="n">
        <x:v>46237</x:v>
      </x:c>
      <x:c r="T8" s="53" t="str">
        <x:v>主管</x:v>
      </x:c>
      <x:c r="U8" s="53" t="str">
        <x:v>进行中</x:v>
      </x:c>
      <x:c r="V8" s="53" t="n">
        <x:f>IF(OR(A8="",S8=""),"",MAX(0,'00-说明与参数'!$B$7-S8))</x:f>
        <x:v>0</x:v>
      </x:c>
      <x:c r="W8" s="69" t="n">
        <x:v>20</x:v>
      </x:c>
    </x:row>
    <x:row r="9">
      <x:c r="A9" s="39" t="str">
        <x:v>A04</x:v>
      </x:c>
      <x:c r="B9" s="40" t="str">
        <x:v>预付款项</x:v>
      </x:c>
      <x:c r="C9" s="40" t="str">
        <x:v>恒创设备</x:v>
      </x:c>
      <x:c r="D9" s="64" t="n">
        <x:v>80</x:v>
      </x:c>
      <x:c r="E9" s="64" t="n">
        <x:v>0</x:v>
      </x:c>
      <x:c r="F9" s="64" t="n">
        <x:v>0</x:v>
      </x:c>
      <x:c r="G9" s="64" t="n">
        <x:f>IF(A9="","",D9+E9-F9)</x:f>
        <x:v>80</x:v>
      </x:c>
      <x:c r="H9" s="40" t="str">
        <x:v>借</x:v>
      </x:c>
      <x:c r="I9" s="40" t="n">
        <x:v>426</x:v>
      </x:c>
      <x:c r="J9" s="45" t="n">
        <x:v>45808</x:v>
      </x:c>
      <x:c r="K9" s="40" t="str">
        <x:v>长期挂账</x:v>
      </x:c>
      <x:c r="L9" s="40" t="str">
        <x:v>工程</x:v>
      </x:c>
      <x:c r="M9" s="40" t="str">
        <x:v>项目停滞</x:v>
      </x:c>
      <x:c r="N9" s="40" t="str">
        <x:v>合同/催收</x:v>
      </x:c>
      <x:c r="O9" s="40" t="str">
        <x:v>计提减值并法务催收</x:v>
      </x:c>
      <x:c r="P9" s="64" t="n">
        <x:v>-24</x:v>
      </x:c>
      <x:c r="Q9" s="40" t="str">
        <x:v>暂不扣除</x:v>
      </x:c>
      <x:c r="R9" s="40" t="str">
        <x:v>采购</x:v>
      </x:c>
      <x:c r="S9" s="45" t="n">
        <x:v>46295</x:v>
      </x:c>
      <x:c r="T9" s="40" t="str">
        <x:v>主管</x:v>
      </x:c>
      <x:c r="U9" s="40" t="str">
        <x:v>进行中</x:v>
      </x:c>
      <x:c r="V9" s="40" t="n">
        <x:f>IF(OR(A9="",S9=""),"",MAX(0,'00-说明与参数'!$B$7-S9))</x:f>
        <x:v>0</x:v>
      </x:c>
      <x:c r="W9" s="68" t="n">
        <x:v>80</x:v>
      </x:c>
    </x:row>
    <x:row r="10">
      <x:c r="A10" s="52" t="str">
        <x:v>A05</x:v>
      </x:c>
      <x:c r="B10" s="53" t="str">
        <x:v>暂估应付</x:v>
      </x:c>
      <x:c r="C10" s="53" t="str">
        <x:v>精密材料</x:v>
      </x:c>
      <x:c r="D10" s="65" t="n">
        <x:v>100</x:v>
      </x:c>
      <x:c r="E10" s="65" t="n">
        <x:v>0</x:v>
      </x:c>
      <x:c r="F10" s="65" t="n">
        <x:v>0</x:v>
      </x:c>
      <x:c r="G10" s="65" t="n">
        <x:f>IF(A10="","",D10+E10-F10)</x:f>
        <x:v>100</x:v>
      </x:c>
      <x:c r="H10" s="53" t="str">
        <x:v>贷</x:v>
      </x:c>
      <x:c r="I10" s="53" t="n">
        <x:v>45</x:v>
      </x:c>
      <x:c r="J10" s="56" t="n">
        <x:v>46189</x:v>
      </x:c>
      <x:c r="K10" s="53" t="str">
        <x:v>收票未冲</x:v>
      </x:c>
      <x:c r="L10" s="53" t="str">
        <x:v>采购</x:v>
      </x:c>
      <x:c r="M10" s="53" t="str">
        <x:v>供应商编码差异</x:v>
      </x:c>
      <x:c r="N10" s="53" t="str">
        <x:v>PO/入库/发票</x:v>
      </x:c>
      <x:c r="O10" s="53" t="str">
        <x:v>冲暂估转正式应付</x:v>
      </x:c>
      <x:c r="P10" s="65" t="n">
        <x:v>0</x:v>
      </x:c>
      <x:c r="Q10" s="53" t="str">
        <x:v>确认进项13</x:v>
      </x:c>
      <x:c r="R10" s="53" t="str">
        <x:v>AP</x:v>
      </x:c>
      <x:c r="S10" s="56" t="n">
        <x:v>46237</x:v>
      </x:c>
      <x:c r="T10" s="53" t="str">
        <x:v>主管</x:v>
      </x:c>
      <x:c r="U10" s="53" t="str">
        <x:v>进行中</x:v>
      </x:c>
      <x:c r="V10" s="53" t="n">
        <x:f>IF(OR(A10="",S10=""),"",MAX(0,'00-说明与参数'!$B$7-S10))</x:f>
        <x:v>0</x:v>
      </x:c>
      <x:c r="W10" s="69" t="n">
        <x:v>100</x:v>
      </x:c>
    </x:row>
    <x:row r="11">
      <x:c r="A11" s="39" t="str">
        <x:v>A06</x:v>
      </x:c>
      <x:c r="B11" s="40" t="str">
        <x:v>原材料</x:v>
      </x:c>
      <x:c r="C11" s="40" t="str">
        <x:v>M-100退料</x:v>
      </x:c>
      <x:c r="D11" s="64" t="n">
        <x:v>300</x:v>
      </x:c>
      <x:c r="E11" s="64" t="n">
        <x:v>0</x:v>
      </x:c>
      <x:c r="F11" s="64" t="n">
        <x:v>12</x:v>
      </x:c>
      <x:c r="G11" s="64" t="n">
        <x:f>IF(A11="","",D11+E11-F11)</x:f>
        <x:v>288</x:v>
      </x:c>
      <x:c r="H11" s="40" t="str">
        <x:v>借</x:v>
      </x:c>
      <x:c r="I11" s="40" t="n">
        <x:v>31</x:v>
      </x:c>
      <x:c r="J11" s="45" t="n">
        <x:v>46203</x:v>
      </x:c>
      <x:c r="K11" s="40" t="str">
        <x:v>账实差</x:v>
      </x:c>
      <x:c r="L11" s="40" t="str">
        <x:v>生产</x:v>
      </x:c>
      <x:c r="M11" s="40" t="str">
        <x:v>退料单未审核</x:v>
      </x:c>
      <x:c r="N11" s="40" t="str">
        <x:v>盘点/退料</x:v>
      </x:c>
      <x:c r="O11" s="40" t="str">
        <x:v>审核退料单</x:v>
      </x:c>
      <x:c r="P11" s="64" t="n">
        <x:v>0</x:v>
      </x:c>
      <x:c r="Q11" s="40" t="str">
        <x:v>无</x:v>
      </x:c>
      <x:c r="R11" s="40" t="str">
        <x:v>成本</x:v>
      </x:c>
      <x:c r="S11" s="45" t="n">
        <x:v>46237</x:v>
      </x:c>
      <x:c r="T11" s="40" t="str">
        <x:v>主管</x:v>
      </x:c>
      <x:c r="U11" s="40" t="str">
        <x:v>待复核</x:v>
      </x:c>
      <x:c r="V11" s="40" t="n">
        <x:f>IF(OR(A11="",S11=""),"",MAX(0,'00-说明与参数'!$B$7-S11))</x:f>
        <x:v>0</x:v>
      </x:c>
      <x:c r="W11" s="68" t="n">
        <x:v>12</x:v>
      </x:c>
    </x:row>
    <x:row r="12">
      <x:c r="A12" s="52" t="str">
        <x:v>A07</x:v>
      </x:c>
      <x:c r="B12" s="53" t="str">
        <x:v>在建工程</x:v>
      </x:c>
      <x:c r="C12" s="53" t="str">
        <x:v>自动线二期</x:v>
      </x:c>
      <x:c r="D12" s="65" t="n">
        <x:v>260</x:v>
      </x:c>
      <x:c r="E12" s="65" t="n">
        <x:v>0</x:v>
      </x:c>
      <x:c r="F12" s="65" t="n">
        <x:v>0</x:v>
      </x:c>
      <x:c r="G12" s="65" t="n">
        <x:f>IF(A12="","",D12+E12-F12)</x:f>
        <x:v>260</x:v>
      </x:c>
      <x:c r="H12" s="53" t="str">
        <x:v>借</x:v>
      </x:c>
      <x:c r="I12" s="53" t="n">
        <x:v>60</x:v>
      </x:c>
      <x:c r="J12" s="56" t="n">
        <x:v>46174</x:v>
      </x:c>
      <x:c r="K12" s="53" t="str">
        <x:v>已使用未转固</x:v>
      </x:c>
      <x:c r="L12" s="53" t="str">
        <x:v>工程</x:v>
      </x:c>
      <x:c r="M12" s="53" t="str">
        <x:v>最终结算未完成</x:v>
      </x:c>
      <x:c r="N12" s="53" t="str">
        <x:v>投产/验收</x:v>
      </x:c>
      <x:c r="O12" s="53" t="str">
        <x:v>转固260补折旧2</x:v>
      </x:c>
      <x:c r="P12" s="65" t="n">
        <x:v>-2</x:v>
      </x:c>
      <x:c r="Q12" s="53" t="str">
        <x:v>折旧差异</x:v>
      </x:c>
      <x:c r="R12" s="53" t="str">
        <x:v>资产</x:v>
      </x:c>
      <x:c r="S12" s="56" t="n">
        <x:v>46238</x:v>
      </x:c>
      <x:c r="T12" s="53" t="str">
        <x:v>主管</x:v>
      </x:c>
      <x:c r="U12" s="53" t="str">
        <x:v>进行中</x:v>
      </x:c>
      <x:c r="V12" s="53" t="n">
        <x:f>IF(OR(A12="",S12=""),"",MAX(0,'00-说明与参数'!$B$7-S12))</x:f>
        <x:v>0</x:v>
      </x:c>
      <x:c r="W12" s="69" t="n">
        <x:v>260</x:v>
      </x:c>
    </x:row>
    <x:row r="13">
      <x:c r="A13" s="39" t="str">
        <x:v>A08</x:v>
      </x:c>
      <x:c r="B13" s="40" t="str">
        <x:v>应付职工薪酬</x:v>
      </x:c>
      <x:c r="C13" s="40" t="str">
        <x:v>7月工资</x:v>
      </x:c>
      <x:c r="D13" s="64" t="n">
        <x:v>0</x:v>
      </x:c>
      <x:c r="E13" s="64" t="n">
        <x:v>74</x:v>
      </x:c>
      <x:c r="F13" s="64" t="n">
        <x:v>80</x:v>
      </x:c>
      <x:c r="G13" s="64" t="n">
        <x:f>IF(A13="","",D13+E13-F13)</x:f>
        <x:v>-6</x:v>
      </x:c>
      <x:c r="H13" s="40" t="str">
        <x:v>贷</x:v>
      </x:c>
      <x:c r="I13" s="40" t="n">
        <x:v>0</x:v>
      </x:c>
      <x:c r="J13" s="45" t="n">
        <x:v>46234</x:v>
      </x:c>
      <x:c r="K13" s="40" t="str">
        <x:v>计提实发差</x:v>
      </x:c>
      <x:c r="L13" s="40" t="str">
        <x:v>HR</x:v>
      </x:c>
      <x:c r="M13" s="40" t="str">
        <x:v>奖金草案版本</x:v>
      </x:c>
      <x:c r="N13" s="40" t="str">
        <x:v>工资/银行</x:v>
      </x:c>
      <x:c r="O13" s="40" t="str">
        <x:v>冲回多提6</x:v>
      </x:c>
      <x:c r="P13" s="64" t="n">
        <x:v>6</x:v>
      </x:c>
      <x:c r="Q13" s="40" t="str">
        <x:v>工资扣除复核</x:v>
      </x:c>
      <x:c r="R13" s="40" t="str">
        <x:v>薪酬</x:v>
      </x:c>
      <x:c r="S13" s="45" t="n">
        <x:v>46238</x:v>
      </x:c>
      <x:c r="T13" s="40" t="str">
        <x:v>主管</x:v>
      </x:c>
      <x:c r="U13" s="40" t="str">
        <x:v>进行中</x:v>
      </x:c>
      <x:c r="V13" s="40" t="n">
        <x:f>IF(OR(A13="",S13=""),"",MAX(0,'00-说明与参数'!$B$7-S13))</x:f>
        <x:v>0</x:v>
      </x:c>
      <x:c r="W13" s="68" t="n">
        <x:v>6</x:v>
      </x:c>
    </x:row>
    <x:row r="14">
      <x:c r="A14" s="52" t="str">
        <x:v>A09</x:v>
      </x:c>
      <x:c r="B14" s="53" t="str">
        <x:v>应交税费</x:v>
      </x:c>
      <x:c r="C14" s="53" t="str">
        <x:v>增值税</x:v>
      </x:c>
      <x:c r="D14" s="65" t="n">
        <x:v>0</x:v>
      </x:c>
      <x:c r="E14" s="65" t="n">
        <x:v>0</x:v>
      </x:c>
      <x:c r="F14" s="65" t="n">
        <x:v>2.6</x:v>
      </x:c>
      <x:c r="G14" s="65" t="n">
        <x:f>IF(A14="","",D14+E14-F14)</x:f>
        <x:v>-2.6</x:v>
      </x:c>
      <x:c r="H14" s="53" t="str">
        <x:v>贷</x:v>
      </x:c>
      <x:c r="I14" s="53" t="n">
        <x:v>0</x:v>
      </x:c>
      <x:c r="J14" s="56" t="n">
        <x:v>46234</x:v>
      </x:c>
      <x:c r="K14" s="53" t="str">
        <x:v>账表差</x:v>
      </x:c>
      <x:c r="L14" s="53" t="str">
        <x:v>税务</x:v>
      </x:c>
      <x:c r="M14" s="53" t="str">
        <x:v>福利领料未转出</x:v>
      </x:c>
      <x:c r="N14" s="53" t="str">
        <x:v>领料/发票/底稿</x:v>
      </x:c>
      <x:c r="O14" s="53" t="str">
        <x:v>进项转出2.6</x:v>
      </x:c>
      <x:c r="P14" s="65" t="n">
        <x:v>-2.6</x:v>
      </x:c>
      <x:c r="Q14" s="53" t="str">
        <x:v>增值税+2.6</x:v>
      </x:c>
      <x:c r="R14" s="53" t="str">
        <x:v>税务</x:v>
      </x:c>
      <x:c r="S14" s="56" t="n">
        <x:v>46239</x:v>
      </x:c>
      <x:c r="T14" s="53" t="str">
        <x:v>主管</x:v>
      </x:c>
      <x:c r="U14" s="53" t="str">
        <x:v>进行中</x:v>
      </x:c>
      <x:c r="V14" s="53" t="n">
        <x:f>IF(OR(A14="",S14=""),"",MAX(0,'00-说明与参数'!$B$7-S14))</x:f>
        <x:v>0</x:v>
      </x:c>
      <x:c r="W14" s="69" t="n">
        <x:v>2.6</x:v>
      </x:c>
    </x:row>
    <x:row r="15">
      <x:c r="A15" s="39" t="str">
        <x:v>A10</x:v>
      </x:c>
      <x:c r="B15" s="40" t="str">
        <x:v>管理费用</x:v>
      </x:c>
      <x:c r="C15" s="40" t="str">
        <x:v>咨询律师费</x:v>
      </x:c>
      <x:c r="D15" s="64" t="n">
        <x:v>100</x:v>
      </x:c>
      <x:c r="E15" s="64" t="n">
        <x:v>65</x:v>
      </x:c>
      <x:c r="F15" s="64" t="n">
        <x:v>0</x:v>
      </x:c>
      <x:c r="G15" s="64" t="n">
        <x:f>IF(A15="","",D15+E15-F15)</x:f>
        <x:v>165</x:v>
      </x:c>
      <x:c r="H15" s="40" t="str">
        <x:v>借</x:v>
      </x:c>
      <x:c r="I15" s="40" t="n">
        <x:v>0</x:v>
      </x:c>
      <x:c r="J15" s="45" t="n">
        <x:v>46234</x:v>
      </x:c>
      <x:c r="K15" s="40" t="str">
        <x:v>异常增长</x:v>
      </x:c>
      <x:c r="L15" s="40" t="str">
        <x:v>行政</x:v>
      </x:c>
      <x:c r="M15" s="40" t="str">
        <x:v>咨询费重复35</x:v>
      </x:c>
      <x:c r="N15" s="40" t="str">
        <x:v>合同/验收/凭证</x:v>
      </x:c>
      <x:c r="O15" s="40" t="str">
        <x:v>冲重复35</x:v>
      </x:c>
      <x:c r="P15" s="64" t="n">
        <x:v>35</x:v>
      </x:c>
      <x:c r="Q15" s="40" t="str">
        <x:v>扣除凭证</x:v>
      </x:c>
      <x:c r="R15" s="40" t="str">
        <x:v>总账</x:v>
      </x:c>
      <x:c r="S15" s="45" t="n">
        <x:v>46240</x:v>
      </x:c>
      <x:c r="T15" s="40" t="str">
        <x:v>主管</x:v>
      </x:c>
      <x:c r="U15" s="40" t="str">
        <x:v>进行中</x:v>
      </x:c>
      <x:c r="V15" s="40" t="n">
        <x:f>IF(OR(A15="",S15=""),"",MAX(0,'00-说明与参数'!$B$7-S15))</x:f>
        <x:v>0</x:v>
      </x:c>
      <x:c r="W15" s="68" t="n">
        <x:v>65</x:v>
      </x:c>
    </x:row>
    <x:row r="16">
      <x:c r="A16" s="52" t="str">
        <x:v>A11</x:v>
      </x:c>
      <x:c r="B16" s="53" t="str">
        <x:v>其他应收款</x:v>
      </x:c>
      <x:c r="C16" s="53" t="str">
        <x:v>离职员工周某</x:v>
      </x:c>
      <x:c r="D16" s="65" t="n">
        <x:v>15</x:v>
      </x:c>
      <x:c r="E16" s="65" t="n">
        <x:v>0</x:v>
      </x:c>
      <x:c r="F16" s="65" t="n">
        <x:v>0</x:v>
      </x:c>
      <x:c r="G16" s="65" t="n">
        <x:f>IF(A16="","",D16+E16-F16)</x:f>
        <x:v>15</x:v>
      </x:c>
      <x:c r="H16" s="53" t="str">
        <x:v>借</x:v>
      </x:c>
      <x:c r="I16" s="53" t="n">
        <x:v>335</x:v>
      </x:c>
      <x:c r="J16" s="56" t="n">
        <x:v>45900</x:v>
      </x:c>
      <x:c r="K16" s="53" t="str">
        <x:v>长期个人借款</x:v>
      </x:c>
      <x:c r="L16" s="53" t="str">
        <x:v>HR</x:v>
      </x:c>
      <x:c r="M16" s="53" t="str">
        <x:v>离职未清</x:v>
      </x:c>
      <x:c r="N16" s="53" t="str">
        <x:v>借款/离职/催收</x:v>
      </x:c>
      <x:c r="O16" s="53" t="str">
        <x:v>计提减值9并追偿</x:v>
      </x:c>
      <x:c r="P16" s="65" t="n">
        <x:v>-9</x:v>
      </x:c>
      <x:c r="Q16" s="53" t="str">
        <x:v>暂不扣除</x:v>
      </x:c>
      <x:c r="R16" s="53" t="str">
        <x:v>HR</x:v>
      </x:c>
      <x:c r="S16" s="56" t="n">
        <x:v>46295</x:v>
      </x:c>
      <x:c r="T16" s="53" t="str">
        <x:v>主管</x:v>
      </x:c>
      <x:c r="U16" s="53" t="str">
        <x:v>进行中</x:v>
      </x:c>
      <x:c r="V16" s="53" t="n">
        <x:f>IF(OR(A16="",S16=""),"",MAX(0,'00-说明与参数'!$B$7-S16))</x:f>
        <x:v>0</x:v>
      </x:c>
      <x:c r="W16" s="69" t="n">
        <x:v>15</x:v>
      </x:c>
    </x:row>
    <x:row r="17">
      <x:c r="A17" s="39"/>
      <x:c r="B17" s="40"/>
      <x:c r="C17" s="40"/>
      <x:c r="D17" s="64"/>
      <x:c r="E17" s="64"/>
      <x:c r="F17" s="64"/>
      <x:c r="G17" s="64" t="str">
        <x:f>IF(A17="","",D17+E17-F17)</x:f>
      </x:c>
      <x:c r="H17" s="40"/>
      <x:c r="I17" s="40"/>
      <x:c r="J17" s="45"/>
      <x:c r="K17" s="40"/>
      <x:c r="L17" s="40"/>
      <x:c r="M17" s="40"/>
      <x:c r="N17" s="40"/>
      <x:c r="O17" s="40"/>
      <x:c r="P17" s="64"/>
      <x:c r="Q17" s="40"/>
      <x:c r="R17" s="40"/>
      <x:c r="S17" s="45"/>
      <x:c r="T17" s="40"/>
      <x:c r="U17" s="40"/>
      <x:c r="V17" s="40" t="str">
        <x:f>IF(OR(A17="",S17=""),"",MAX(0,'00-说明与参数'!$B$7-S17))</x:f>
      </x:c>
      <x:c r="W17" s="68"/>
    </x:row>
    <x:row r="18">
      <x:c r="A18" s="52"/>
      <x:c r="B18" s="53"/>
      <x:c r="C18" s="53"/>
      <x:c r="D18" s="65"/>
      <x:c r="E18" s="65"/>
      <x:c r="F18" s="65"/>
      <x:c r="G18" s="65" t="str">
        <x:f>IF(A18="","",D18+E18-F18)</x:f>
      </x:c>
      <x:c r="H18" s="53"/>
      <x:c r="I18" s="53"/>
      <x:c r="J18" s="56"/>
      <x:c r="K18" s="53"/>
      <x:c r="L18" s="53"/>
      <x:c r="M18" s="53"/>
      <x:c r="N18" s="53"/>
      <x:c r="O18" s="53"/>
      <x:c r="P18" s="65"/>
      <x:c r="Q18" s="53"/>
      <x:c r="R18" s="53"/>
      <x:c r="S18" s="56"/>
      <x:c r="T18" s="53"/>
      <x:c r="U18" s="53"/>
      <x:c r="V18" s="53" t="str">
        <x:f>IF(OR(A18="",S18=""),"",MAX(0,'00-说明与参数'!$B$7-S18))</x:f>
      </x:c>
      <x:c r="W18" s="69"/>
    </x:row>
    <x:row r="19">
      <x:c r="A19" s="39"/>
      <x:c r="B19" s="40"/>
      <x:c r="C19" s="40"/>
      <x:c r="D19" s="64"/>
      <x:c r="E19" s="64"/>
      <x:c r="F19" s="64"/>
      <x:c r="G19" s="64" t="str">
        <x:f>IF(A19="","",D19+E19-F19)</x:f>
      </x:c>
      <x:c r="H19" s="40"/>
      <x:c r="I19" s="40"/>
      <x:c r="J19" s="45"/>
      <x:c r="K19" s="40"/>
      <x:c r="L19" s="40"/>
      <x:c r="M19" s="40"/>
      <x:c r="N19" s="40"/>
      <x:c r="O19" s="40"/>
      <x:c r="P19" s="64"/>
      <x:c r="Q19" s="40"/>
      <x:c r="R19" s="40"/>
      <x:c r="S19" s="45"/>
      <x:c r="T19" s="40"/>
      <x:c r="U19" s="40"/>
      <x:c r="V19" s="40" t="str">
        <x:f>IF(OR(A19="",S19=""),"",MAX(0,'00-说明与参数'!$B$7-S19))</x:f>
      </x:c>
      <x:c r="W19" s="68"/>
    </x:row>
    <x:row r="20">
      <x:c r="A20" s="52"/>
      <x:c r="B20" s="53"/>
      <x:c r="C20" s="53"/>
      <x:c r="D20" s="65"/>
      <x:c r="E20" s="65"/>
      <x:c r="F20" s="65"/>
      <x:c r="G20" s="65" t="str">
        <x:f>IF(A20="","",D20+E20-F20)</x:f>
      </x:c>
      <x:c r="H20" s="53"/>
      <x:c r="I20" s="53"/>
      <x:c r="J20" s="56"/>
      <x:c r="K20" s="53"/>
      <x:c r="L20" s="53"/>
      <x:c r="M20" s="53"/>
      <x:c r="N20" s="53"/>
      <x:c r="O20" s="53"/>
      <x:c r="P20" s="65"/>
      <x:c r="Q20" s="53"/>
      <x:c r="R20" s="53"/>
      <x:c r="S20" s="56"/>
      <x:c r="T20" s="53"/>
      <x:c r="U20" s="53"/>
      <x:c r="V20" s="53" t="str">
        <x:f>IF(OR(A20="",S20=""),"",MAX(0,'00-说明与参数'!$B$7-S20))</x:f>
      </x:c>
      <x:c r="W20" s="69"/>
    </x:row>
    <x:row r="21">
      <x:c r="A21" s="39"/>
      <x:c r="B21" s="40"/>
      <x:c r="C21" s="40"/>
      <x:c r="D21" s="64"/>
      <x:c r="E21" s="64"/>
      <x:c r="F21" s="64"/>
      <x:c r="G21" s="64" t="str">
        <x:f>IF(A21="","",D21+E21-F21)</x:f>
      </x:c>
      <x:c r="H21" s="40"/>
      <x:c r="I21" s="40"/>
      <x:c r="J21" s="45"/>
      <x:c r="K21" s="40"/>
      <x:c r="L21" s="40"/>
      <x:c r="M21" s="40"/>
      <x:c r="N21" s="40"/>
      <x:c r="O21" s="40"/>
      <x:c r="P21" s="64"/>
      <x:c r="Q21" s="40"/>
      <x:c r="R21" s="40"/>
      <x:c r="S21" s="45"/>
      <x:c r="T21" s="40"/>
      <x:c r="U21" s="40"/>
      <x:c r="V21" s="40" t="str">
        <x:f>IF(OR(A21="",S21=""),"",MAX(0,'00-说明与参数'!$B$7-S21))</x:f>
      </x:c>
      <x:c r="W21" s="68"/>
    </x:row>
    <x:row r="22">
      <x:c r="A22" s="52"/>
      <x:c r="B22" s="53"/>
      <x:c r="C22" s="53"/>
      <x:c r="D22" s="65"/>
      <x:c r="E22" s="65"/>
      <x:c r="F22" s="65"/>
      <x:c r="G22" s="65" t="str">
        <x:f>IF(A22="","",D22+E22-F22)</x:f>
      </x:c>
      <x:c r="H22" s="53"/>
      <x:c r="I22" s="53"/>
      <x:c r="J22" s="56"/>
      <x:c r="K22" s="53"/>
      <x:c r="L22" s="53"/>
      <x:c r="M22" s="53"/>
      <x:c r="N22" s="53"/>
      <x:c r="O22" s="53"/>
      <x:c r="P22" s="65"/>
      <x:c r="Q22" s="53"/>
      <x:c r="R22" s="53"/>
      <x:c r="S22" s="56"/>
      <x:c r="T22" s="53"/>
      <x:c r="U22" s="53"/>
      <x:c r="V22" s="53" t="str">
        <x:f>IF(OR(A22="",S22=""),"",MAX(0,'00-说明与参数'!$B$7-S22))</x:f>
      </x:c>
      <x:c r="W22" s="69"/>
    </x:row>
    <x:row r="23">
      <x:c r="A23" s="39"/>
      <x:c r="B23" s="40"/>
      <x:c r="C23" s="40"/>
      <x:c r="D23" s="64"/>
      <x:c r="E23" s="64"/>
      <x:c r="F23" s="64"/>
      <x:c r="G23" s="64" t="str">
        <x:f>IF(A23="","",D23+E23-F23)</x:f>
      </x:c>
      <x:c r="H23" s="40"/>
      <x:c r="I23" s="40"/>
      <x:c r="J23" s="45"/>
      <x:c r="K23" s="40"/>
      <x:c r="L23" s="40"/>
      <x:c r="M23" s="40"/>
      <x:c r="N23" s="40"/>
      <x:c r="O23" s="40"/>
      <x:c r="P23" s="64"/>
      <x:c r="Q23" s="40"/>
      <x:c r="R23" s="40"/>
      <x:c r="S23" s="45"/>
      <x:c r="T23" s="40"/>
      <x:c r="U23" s="40"/>
      <x:c r="V23" s="40" t="str">
        <x:f>IF(OR(A23="",S23=""),"",MAX(0,'00-说明与参数'!$B$7-S23))</x:f>
      </x:c>
      <x:c r="W23" s="68"/>
    </x:row>
    <x:row r="24">
      <x:c r="A24" s="52"/>
      <x:c r="B24" s="53"/>
      <x:c r="C24" s="53"/>
      <x:c r="D24" s="65"/>
      <x:c r="E24" s="65"/>
      <x:c r="F24" s="65"/>
      <x:c r="G24" s="65" t="str">
        <x:f>IF(A24="","",D24+E24-F24)</x:f>
      </x:c>
      <x:c r="H24" s="53"/>
      <x:c r="I24" s="53"/>
      <x:c r="J24" s="56"/>
      <x:c r="K24" s="53"/>
      <x:c r="L24" s="53"/>
      <x:c r="M24" s="53"/>
      <x:c r="N24" s="53"/>
      <x:c r="O24" s="53"/>
      <x:c r="P24" s="65"/>
      <x:c r="Q24" s="53"/>
      <x:c r="R24" s="53"/>
      <x:c r="S24" s="56"/>
      <x:c r="T24" s="53"/>
      <x:c r="U24" s="53"/>
      <x:c r="V24" s="53" t="str">
        <x:f>IF(OR(A24="",S24=""),"",MAX(0,'00-说明与参数'!$B$7-S24))</x:f>
      </x:c>
      <x:c r="W24" s="69"/>
    </x:row>
    <x:row r="25">
      <x:c r="A25" s="39"/>
      <x:c r="B25" s="40"/>
      <x:c r="C25" s="40"/>
      <x:c r="D25" s="64"/>
      <x:c r="E25" s="64"/>
      <x:c r="F25" s="64"/>
      <x:c r="G25" s="64" t="str">
        <x:f>IF(A25="","",D25+E25-F25)</x:f>
      </x:c>
      <x:c r="H25" s="40"/>
      <x:c r="I25" s="40"/>
      <x:c r="J25" s="45"/>
      <x:c r="K25" s="40"/>
      <x:c r="L25" s="40"/>
      <x:c r="M25" s="40"/>
      <x:c r="N25" s="40"/>
      <x:c r="O25" s="40"/>
      <x:c r="P25" s="64"/>
      <x:c r="Q25" s="40"/>
      <x:c r="R25" s="40"/>
      <x:c r="S25" s="45"/>
      <x:c r="T25" s="40"/>
      <x:c r="U25" s="40"/>
      <x:c r="V25" s="40" t="str">
        <x:f>IF(OR(A25="",S25=""),"",MAX(0,'00-说明与参数'!$B$7-S25))</x:f>
      </x:c>
      <x:c r="W25" s="68"/>
    </x:row>
    <x:row r="26">
      <x:c r="A26" s="52"/>
      <x:c r="B26" s="53"/>
      <x:c r="C26" s="53"/>
      <x:c r="D26" s="65"/>
      <x:c r="E26" s="65"/>
      <x:c r="F26" s="65"/>
      <x:c r="G26" s="65" t="str">
        <x:f>IF(A26="","",D26+E26-F26)</x:f>
      </x:c>
      <x:c r="H26" s="53"/>
      <x:c r="I26" s="53"/>
      <x:c r="J26" s="56"/>
      <x:c r="K26" s="53"/>
      <x:c r="L26" s="53"/>
      <x:c r="M26" s="53"/>
      <x:c r="N26" s="53"/>
      <x:c r="O26" s="53"/>
      <x:c r="P26" s="65"/>
      <x:c r="Q26" s="53"/>
      <x:c r="R26" s="53"/>
      <x:c r="S26" s="56"/>
      <x:c r="T26" s="53"/>
      <x:c r="U26" s="53"/>
      <x:c r="V26" s="53" t="str">
        <x:f>IF(OR(A26="",S26=""),"",MAX(0,'00-说明与参数'!$B$7-S26))</x:f>
      </x:c>
      <x:c r="W26" s="69"/>
    </x:row>
    <x:row r="27">
      <x:c r="A27" s="39"/>
      <x:c r="B27" s="40"/>
      <x:c r="C27" s="40"/>
      <x:c r="D27" s="64"/>
      <x:c r="E27" s="64"/>
      <x:c r="F27" s="64"/>
      <x:c r="G27" s="64" t="str">
        <x:f>IF(A27="","",D27+E27-F27)</x:f>
      </x:c>
      <x:c r="H27" s="40"/>
      <x:c r="I27" s="40"/>
      <x:c r="J27" s="45"/>
      <x:c r="K27" s="40"/>
      <x:c r="L27" s="40"/>
      <x:c r="M27" s="40"/>
      <x:c r="N27" s="40"/>
      <x:c r="O27" s="40"/>
      <x:c r="P27" s="64"/>
      <x:c r="Q27" s="40"/>
      <x:c r="R27" s="40"/>
      <x:c r="S27" s="45"/>
      <x:c r="T27" s="40"/>
      <x:c r="U27" s="40"/>
      <x:c r="V27" s="40" t="str">
        <x:f>IF(OR(A27="",S27=""),"",MAX(0,'00-说明与参数'!$B$7-S27))</x:f>
      </x:c>
      <x:c r="W27" s="68"/>
    </x:row>
    <x:row r="28">
      <x:c r="A28" s="52"/>
      <x:c r="B28" s="53"/>
      <x:c r="C28" s="53"/>
      <x:c r="D28" s="65"/>
      <x:c r="E28" s="65"/>
      <x:c r="F28" s="65"/>
      <x:c r="G28" s="65" t="str">
        <x:f>IF(A28="","",D28+E28-F28)</x:f>
      </x:c>
      <x:c r="H28" s="53"/>
      <x:c r="I28" s="53"/>
      <x:c r="J28" s="56"/>
      <x:c r="K28" s="53"/>
      <x:c r="L28" s="53"/>
      <x:c r="M28" s="53"/>
      <x:c r="N28" s="53"/>
      <x:c r="O28" s="53"/>
      <x:c r="P28" s="65"/>
      <x:c r="Q28" s="53"/>
      <x:c r="R28" s="53"/>
      <x:c r="S28" s="56"/>
      <x:c r="T28" s="53"/>
      <x:c r="U28" s="53"/>
      <x:c r="V28" s="53" t="str">
        <x:f>IF(OR(A28="",S28=""),"",MAX(0,'00-说明与参数'!$B$7-S28))</x:f>
      </x:c>
      <x:c r="W28" s="69"/>
    </x:row>
    <x:row r="29">
      <x:c r="A29" s="39"/>
      <x:c r="B29" s="40"/>
      <x:c r="C29" s="40"/>
      <x:c r="D29" s="64"/>
      <x:c r="E29" s="64"/>
      <x:c r="F29" s="64"/>
      <x:c r="G29" s="64" t="str">
        <x:f>IF(A29="","",D29+E29-F29)</x:f>
      </x:c>
      <x:c r="H29" s="40"/>
      <x:c r="I29" s="40"/>
      <x:c r="J29" s="45"/>
      <x:c r="K29" s="40"/>
      <x:c r="L29" s="40"/>
      <x:c r="M29" s="40"/>
      <x:c r="N29" s="40"/>
      <x:c r="O29" s="40"/>
      <x:c r="P29" s="64"/>
      <x:c r="Q29" s="40"/>
      <x:c r="R29" s="40"/>
      <x:c r="S29" s="45"/>
      <x:c r="T29" s="40"/>
      <x:c r="U29" s="40"/>
      <x:c r="V29" s="40" t="str">
        <x:f>IF(OR(A29="",S29=""),"",MAX(0,'00-说明与参数'!$B$7-S29))</x:f>
      </x:c>
      <x:c r="W29" s="68"/>
    </x:row>
    <x:row r="30">
      <x:c r="A30" s="60"/>
      <x:c r="B30" s="61"/>
      <x:c r="C30" s="61"/>
      <x:c r="D30" s="66"/>
      <x:c r="E30" s="66"/>
      <x:c r="F30" s="66"/>
      <x:c r="G30" s="66" t="str">
        <x:f>IF(A30="","",D30+E30-F30)</x:f>
      </x:c>
      <x:c r="H30" s="61"/>
      <x:c r="I30" s="61"/>
      <x:c r="J30" s="71"/>
      <x:c r="K30" s="61"/>
      <x:c r="L30" s="61"/>
      <x:c r="M30" s="61"/>
      <x:c r="N30" s="61"/>
      <x:c r="O30" s="61"/>
      <x:c r="P30" s="66"/>
      <x:c r="Q30" s="61"/>
      <x:c r="R30" s="61"/>
      <x:c r="S30" s="71"/>
      <x:c r="T30" s="61"/>
      <x:c r="U30" s="61"/>
      <x:c r="V30" s="61" t="str">
        <x:f>IF(OR(A30="",S30=""),"",MAX(0,'00-说明与参数'!$B$7-S30))</x:f>
      </x:c>
      <x:c r="W30" s="70"/>
    </x:row>
  </x:sheetData>
  <x:mergeCells>
    <x:mergeCell ref="A1:W1"/>
    <x:mergeCell ref="A2:W2"/>
  </x:mergeCells>
  <x:conditionalFormatting sqref="U6:U30">
    <x:cfRule type="expression" dxfId="3" priority="1">
      <x:formula>INDIRECT("RC",FALSE)="已关闭"</x:formula>
    </x:cfRule>
    <x:cfRule type="expression" dxfId="4" priority="2">
      <x:formula>INDIRECT("RC",FALSE)="进行中"</x:formula>
    </x:cfRule>
    <x:cfRule type="expression" dxfId="5" priority="3">
      <x:formula>INDIRECT("RC",FALSE)="待复核"</x:formula>
    </x:cfRule>
  </x:conditionalFormatting>
  <x:conditionalFormatting sqref="I6:I30">
    <x:cfRule type="expression" dxfId="6" priority="4">
      <x:formula>I6&gt;365</x:formula>
    </x:cfRule>
  </x:conditionalFormatting>
  <x:dataValidations count="1">
    <x:dataValidation type="list" sqref="U6:U3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72c03ed7a4430d"/>
  </x:tableParts>
</x:worksheet>
</file>

<file path=xl/worksheets/sheet5.xml><?xml version="1.0" encoding="utf-8"?>
<x:worksheet xmlns:x="http://schemas.openxmlformats.org/spreadsheetml/2006/main">
  <x:sheetViews>
    <x:sheetView workbookViewId="0">
      <x:pane xSplit="4" ySplit="5" topLeftCell="E6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14" hidden="0" customWidth="1"/>
    <x:col min="5" max="5" width="10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30" customHeight="1">
      <x:c r="A1" s="80" t="str">
        <x:v>往来账龄分析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</x:row>
    <x:row r="2" ht="24" customHeight="1">
      <x:c r="A2" s="82" t="str">
        <x:v>账龄基准应按业务性质选择到期日、验收日、付款日或最后发生日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</x:row>
    <x:row r="5" ht="32" customHeight="1">
      <x:c r="A5" s="15" t="str">
        <x:v>单位</x:v>
      </x:c>
      <x:c r="B5" s="16" t="str">
        <x:v>科目</x:v>
      </x:c>
      <x:c r="C5" s="16" t="str">
        <x:v>业务性质</x:v>
      </x:c>
      <x:c r="D5" s="16" t="str">
        <x:v>余额</x:v>
      </x:c>
      <x:c r="E5" s="16" t="str">
        <x:v>方向</x:v>
      </x:c>
      <x:c r="F5" s="16" t="str">
        <x:v>基准日期</x:v>
      </x:c>
      <x:c r="G5" s="16" t="str">
        <x:v>到期日</x:v>
      </x:c>
      <x:c r="H5" s="16" t="str">
        <x:v>账龄天数</x:v>
      </x:c>
      <x:c r="I5" s="16" t="str">
        <x:v>未到期</x:v>
      </x:c>
      <x:c r="J5" s="16" t="str">
        <x:v>1-30天</x:v>
      </x:c>
      <x:c r="K5" s="16" t="str">
        <x:v>31-60天</x:v>
      </x:c>
      <x:c r="L5" s="16" t="str">
        <x:v>61-90天</x:v>
      </x:c>
      <x:c r="M5" s="16" t="str">
        <x:v>91-180天</x:v>
      </x:c>
      <x:c r="N5" s="16" t="str">
        <x:v>181-365天</x:v>
      </x:c>
      <x:c r="O5" s="16" t="str">
        <x:v>1-2年</x:v>
      </x:c>
      <x:c r="P5" s="16" t="str">
        <x:v>2-3年</x:v>
      </x:c>
      <x:c r="Q5" s="16" t="str">
        <x:v>3年以上</x:v>
      </x:c>
      <x:c r="R5" s="17" t="str">
        <x:v>风险等级</x:v>
      </x:c>
    </x:row>
    <x:row r="6">
      <x:c r="A6" s="49" t="str">
        <x:v>启明客户</x:v>
      </x:c>
      <x:c r="B6" s="50" t="str">
        <x:v>应收账款</x:v>
      </x:c>
      <x:c r="C6" s="50" t="str">
        <x:v>设备销售</x:v>
      </x:c>
      <x:c r="D6" s="57" t="n">
        <x:v>113</x:v>
      </x:c>
      <x:c r="E6" s="50" t="str">
        <x:v>借</x:v>
      </x:c>
      <x:c r="F6" s="55" t="n">
        <x:v>46229</x:v>
      </x:c>
      <x:c r="G6" s="55" t="n">
        <x:v>46259</x:v>
      </x:c>
      <x:c r="H6" s="50" t="n">
        <x:f>IF(A6="","",MAX(0,'00-说明与参数'!$B$7-F6))</x:f>
        <x:v>5</x:v>
      </x:c>
      <x:c r="I6" s="57" t="n">
        <x:f>IF(A6="","",IF('00-说明与参数'!$B$7&lt;G6,D6,0))</x:f>
        <x:v>113</x:v>
      </x:c>
      <x:c r="J6" s="57" t="n">
        <x:f>IF(AND(H6&gt;=1,H6&lt;=30),D6,0)</x:f>
        <x:v>113</x:v>
      </x:c>
      <x:c r="K6" s="57" t="n">
        <x:f>IF(AND(H6&gt;=31,H6&lt;=60),D6,0)</x:f>
        <x:v>0</x:v>
      </x:c>
      <x:c r="L6" s="57" t="n">
        <x:f>IF(AND(H6&gt;=61,H6&lt;=90),D6,0)</x:f>
        <x:v>0</x:v>
      </x:c>
      <x:c r="M6" s="57" t="n">
        <x:f>IF(AND(H6&gt;=91,H6&lt;=180),D6,0)</x:f>
        <x:v>0</x:v>
      </x:c>
      <x:c r="N6" s="57" t="n">
        <x:f>IF(AND(H6&gt;=181,H6&lt;=365),D6,0)</x:f>
        <x:v>0</x:v>
      </x:c>
      <x:c r="O6" s="57" t="n">
        <x:f>IF(AND(H6&gt;=366,H6&lt;=730),D6,0)</x:f>
        <x:v>0</x:v>
      </x:c>
      <x:c r="P6" s="57" t="n">
        <x:f>IF(AND(H6&gt;=731,H6&lt;=1095),D6,0)</x:f>
        <x:v>0</x:v>
      </x:c>
      <x:c r="Q6" s="57" t="n">
        <x:f>IF(H6&gt;1095,D6,0)</x:f>
        <x:v>0</x:v>
      </x:c>
      <x:c r="R6" s="51" t="str">
        <x:f>IF(H6&gt;365,"高",IF(H6&gt;90,"中","低"))</x:f>
        <x:v>低</x:v>
      </x:c>
    </x:row>
    <x:row r="7">
      <x:c r="A7" s="39" t="str">
        <x:v>恒创设备</x:v>
      </x:c>
      <x:c r="B7" s="40" t="str">
        <x:v>预付款项</x:v>
      </x:c>
      <x:c r="C7" s="40" t="str">
        <x:v>设备改造</x:v>
      </x:c>
      <x:c r="D7" s="47" t="n">
        <x:v>80</x:v>
      </x:c>
      <x:c r="E7" s="40" t="str">
        <x:v>借</x:v>
      </x:c>
      <x:c r="F7" s="45" t="n">
        <x:v>45808</x:v>
      </x:c>
      <x:c r="G7" s="45" t="n">
        <x:v>45900</x:v>
      </x:c>
      <x:c r="H7" s="40" t="n">
        <x:f>IF(A7="","",MAX(0,'00-说明与参数'!$B$7-F7))</x:f>
        <x:v>426</x:v>
      </x:c>
      <x:c r="I7" s="47" t="n">
        <x:f>IF(A7="","",IF('00-说明与参数'!$B$7&lt;G7,D7,0))</x:f>
        <x:v>0</x:v>
      </x:c>
      <x:c r="J7" s="47" t="n">
        <x:f>IF(AND(H7&gt;=1,H7&lt;=30),D7,0)</x:f>
        <x:v>0</x:v>
      </x:c>
      <x:c r="K7" s="47" t="n">
        <x:f>IF(AND(H7&gt;=31,H7&lt;=60),D7,0)</x:f>
        <x:v>0</x:v>
      </x:c>
      <x:c r="L7" s="47" t="n">
        <x:f>IF(AND(H7&gt;=61,H7&lt;=90),D7,0)</x:f>
        <x:v>0</x:v>
      </x:c>
      <x:c r="M7" s="47" t="n">
        <x:f>IF(AND(H7&gt;=91,H7&lt;=180),D7,0)</x:f>
        <x:v>0</x:v>
      </x:c>
      <x:c r="N7" s="47" t="n">
        <x:f>IF(AND(H7&gt;=181,H7&lt;=365),D7,0)</x:f>
        <x:v>0</x:v>
      </x:c>
      <x:c r="O7" s="47" t="n">
        <x:f>IF(AND(H7&gt;=366,H7&lt;=730),D7,0)</x:f>
        <x:v>80</x:v>
      </x:c>
      <x:c r="P7" s="47" t="n">
        <x:f>IF(AND(H7&gt;=731,H7&lt;=1095),D7,0)</x:f>
        <x:v>0</x:v>
      </x:c>
      <x:c r="Q7" s="47" t="n">
        <x:f>IF(H7&gt;1095,D7,0)</x:f>
        <x:v>0</x:v>
      </x:c>
      <x:c r="R7" s="41" t="str">
        <x:f>IF(H7&gt;365,"高",IF(H7&gt;90,"中","低"))</x:f>
        <x:v>高</x:v>
      </x:c>
    </x:row>
    <x:row r="8">
      <x:c r="A8" s="52" t="str">
        <x:v>周某</x:v>
      </x:c>
      <x:c r="B8" s="53" t="str">
        <x:v>其他应收款</x:v>
      </x:c>
      <x:c r="C8" s="53" t="str">
        <x:v>员工借款</x:v>
      </x:c>
      <x:c r="D8" s="58" t="n">
        <x:v>15</x:v>
      </x:c>
      <x:c r="E8" s="53" t="str">
        <x:v>借</x:v>
      </x:c>
      <x:c r="F8" s="56" t="n">
        <x:v>45900</x:v>
      </x:c>
      <x:c r="G8" s="56" t="n">
        <x:v>45930</x:v>
      </x:c>
      <x:c r="H8" s="53" t="n">
        <x:f>IF(A8="","",MAX(0,'00-说明与参数'!$B$7-F8))</x:f>
        <x:v>334</x:v>
      </x:c>
      <x:c r="I8" s="58" t="n">
        <x:f>IF(A8="","",IF('00-说明与参数'!$B$7&lt;G8,D8,0))</x:f>
        <x:v>0</x:v>
      </x:c>
      <x:c r="J8" s="58" t="n">
        <x:f>IF(AND(H8&gt;=1,H8&lt;=30),D8,0)</x:f>
        <x:v>0</x:v>
      </x:c>
      <x:c r="K8" s="58" t="n">
        <x:f>IF(AND(H8&gt;=31,H8&lt;=60),D8,0)</x:f>
        <x:v>0</x:v>
      </x:c>
      <x:c r="L8" s="58" t="n">
        <x:f>IF(AND(H8&gt;=61,H8&lt;=90),D8,0)</x:f>
        <x:v>0</x:v>
      </x:c>
      <x:c r="M8" s="58" t="n">
        <x:f>IF(AND(H8&gt;=91,H8&lt;=180),D8,0)</x:f>
        <x:v>0</x:v>
      </x:c>
      <x:c r="N8" s="58" t="n">
        <x:f>IF(AND(H8&gt;=181,H8&lt;=365),D8,0)</x:f>
        <x:v>15</x:v>
      </x:c>
      <x:c r="O8" s="58" t="n">
        <x:f>IF(AND(H8&gt;=366,H8&lt;=730),D8,0)</x:f>
        <x:v>0</x:v>
      </x:c>
      <x:c r="P8" s="58" t="n">
        <x:f>IF(AND(H8&gt;=731,H8&lt;=1095),D8,0)</x:f>
        <x:v>0</x:v>
      </x:c>
      <x:c r="Q8" s="58" t="n">
        <x:f>IF(H8&gt;1095,D8,0)</x:f>
        <x:v>0</x:v>
      </x:c>
      <x:c r="R8" s="54" t="str">
        <x:f>IF(H8&gt;365,"高",IF(H8&gt;90,"中","低"))</x:f>
        <x:v>中</x:v>
      </x:c>
    </x:row>
    <x:row r="9">
      <x:c r="A9" s="39" t="str">
        <x:v>精密材料</x:v>
      </x:c>
      <x:c r="B9" s="40" t="str">
        <x:v>暂估应付</x:v>
      </x:c>
      <x:c r="C9" s="40" t="str">
        <x:v>材料采购</x:v>
      </x:c>
      <x:c r="D9" s="47" t="n">
        <x:v>100</x:v>
      </x:c>
      <x:c r="E9" s="40" t="str">
        <x:v>贷</x:v>
      </x:c>
      <x:c r="F9" s="45" t="n">
        <x:v>46189</x:v>
      </x:c>
      <x:c r="G9" s="45" t="n">
        <x:v>46218</x:v>
      </x:c>
      <x:c r="H9" s="40" t="n">
        <x:f>IF(A9="","",MAX(0,'00-说明与参数'!$B$7-F9))</x:f>
        <x:v>45</x:v>
      </x:c>
      <x:c r="I9" s="47" t="n">
        <x:f>IF(A9="","",IF('00-说明与参数'!$B$7&lt;G9,D9,0))</x:f>
        <x:v>0</x:v>
      </x:c>
      <x:c r="J9" s="47" t="n">
        <x:f>IF(AND(H9&gt;=1,H9&lt;=30),D9,0)</x:f>
        <x:v>0</x:v>
      </x:c>
      <x:c r="K9" s="47" t="n">
        <x:f>IF(AND(H9&gt;=31,H9&lt;=60),D9,0)</x:f>
        <x:v>100</x:v>
      </x:c>
      <x:c r="L9" s="47" t="n">
        <x:f>IF(AND(H9&gt;=61,H9&lt;=90),D9,0)</x:f>
        <x:v>0</x:v>
      </x:c>
      <x:c r="M9" s="47" t="n">
        <x:f>IF(AND(H9&gt;=91,H9&lt;=180),D9,0)</x:f>
        <x:v>0</x:v>
      </x:c>
      <x:c r="N9" s="47" t="n">
        <x:f>IF(AND(H9&gt;=181,H9&lt;=365),D9,0)</x:f>
        <x:v>0</x:v>
      </x:c>
      <x:c r="O9" s="47" t="n">
        <x:f>IF(AND(H9&gt;=366,H9&lt;=730),D9,0)</x:f>
        <x:v>0</x:v>
      </x:c>
      <x:c r="P9" s="47" t="n">
        <x:f>IF(AND(H9&gt;=731,H9&lt;=1095),D9,0)</x:f>
        <x:v>0</x:v>
      </x:c>
      <x:c r="Q9" s="47" t="n">
        <x:f>IF(H9&gt;1095,D9,0)</x:f>
        <x:v>0</x:v>
      </x:c>
      <x:c r="R9" s="41" t="str">
        <x:f>IF(H9&gt;365,"高",IF(H9&gt;90,"中","低"))</x:f>
        <x:v>低</x:v>
      </x:c>
    </x:row>
    <x:row r="10">
      <x:c r="A10" s="52" t="str">
        <x:v>锐达供应商</x:v>
      </x:c>
      <x:c r="B10" s="53" t="str">
        <x:v>预付款项</x:v>
      </x:c>
      <x:c r="C10" s="53" t="str">
        <x:v>材料预付</x:v>
      </x:c>
      <x:c r="D10" s="58" t="n">
        <x:v>20</x:v>
      </x:c>
      <x:c r="E10" s="53" t="str">
        <x:v>借</x:v>
      </x:c>
      <x:c r="F10" s="56" t="n">
        <x:v>46222</x:v>
      </x:c>
      <x:c r="G10" s="56" t="n">
        <x:v>46252</x:v>
      </x:c>
      <x:c r="H10" s="53" t="n">
        <x:f>IF(A10="","",MAX(0,'00-说明与参数'!$B$7-F10))</x:f>
        <x:v>12</x:v>
      </x:c>
      <x:c r="I10" s="58" t="n">
        <x:f>IF(A10="","",IF('00-说明与参数'!$B$7&lt;G10,D10,0))</x:f>
        <x:v>20</x:v>
      </x:c>
      <x:c r="J10" s="58" t="n">
        <x:f>IF(AND(H10&gt;=1,H10&lt;=30),D10,0)</x:f>
        <x:v>20</x:v>
      </x:c>
      <x:c r="K10" s="58" t="n">
        <x:f>IF(AND(H10&gt;=31,H10&lt;=60),D10,0)</x:f>
        <x:v>0</x:v>
      </x:c>
      <x:c r="L10" s="58" t="n">
        <x:f>IF(AND(H10&gt;=61,H10&lt;=90),D10,0)</x:f>
        <x:v>0</x:v>
      </x:c>
      <x:c r="M10" s="58" t="n">
        <x:f>IF(AND(H10&gt;=91,H10&lt;=180),D10,0)</x:f>
        <x:v>0</x:v>
      </x:c>
      <x:c r="N10" s="58" t="n">
        <x:f>IF(AND(H10&gt;=181,H10&lt;=365),D10,0)</x:f>
        <x:v>0</x:v>
      </x:c>
      <x:c r="O10" s="58" t="n">
        <x:f>IF(AND(H10&gt;=366,H10&lt;=730),D10,0)</x:f>
        <x:v>0</x:v>
      </x:c>
      <x:c r="P10" s="58" t="n">
        <x:f>IF(AND(H10&gt;=731,H10&lt;=1095),D10,0)</x:f>
        <x:v>0</x:v>
      </x:c>
      <x:c r="Q10" s="58" t="n">
        <x:f>IF(H10&gt;1095,D10,0)</x:f>
        <x:v>0</x:v>
      </x:c>
      <x:c r="R10" s="54" t="str">
        <x:f>IF(H10&gt;365,"高",IF(H10&gt;90,"中","低"))</x:f>
        <x:v>低</x:v>
      </x:c>
    </x:row>
    <x:row r="11">
      <x:c r="A11" s="39"/>
      <x:c r="B11" s="40"/>
      <x:c r="C11" s="40"/>
      <x:c r="D11" s="47"/>
      <x:c r="E11" s="40"/>
      <x:c r="F11" s="45"/>
      <x:c r="G11" s="45"/>
      <x:c r="H11" s="40" t="str">
        <x:f>IF(A11="","",MAX(0,'00-说明与参数'!$B$7-F11))</x:f>
      </x:c>
      <x:c r="I11" s="47" t="str">
        <x:f>IF(A11="","",IF('00-说明与参数'!$B$7&lt;G11,D11,0))</x:f>
      </x:c>
      <x:c r="J11" s="47" t="n">
        <x:f>IF(AND(H11&gt;=1,H11&lt;=30),D11,0)</x:f>
        <x:v>0</x:v>
      </x:c>
      <x:c r="K11" s="47" t="n">
        <x:f>IF(AND(H11&gt;=31,H11&lt;=60),D11,0)</x:f>
        <x:v>0</x:v>
      </x:c>
      <x:c r="L11" s="47" t="n">
        <x:f>IF(AND(H11&gt;=61,H11&lt;=90),D11,0)</x:f>
        <x:v>0</x:v>
      </x:c>
      <x:c r="M11" s="47" t="n">
        <x:f>IF(AND(H11&gt;=91,H11&lt;=180),D11,0)</x:f>
        <x:v>0</x:v>
      </x:c>
      <x:c r="N11" s="47" t="n">
        <x:f>IF(AND(H11&gt;=181,H11&lt;=365),D11,0)</x:f>
        <x:v>0</x:v>
      </x:c>
      <x:c r="O11" s="47" t="n">
        <x:f>IF(AND(H11&gt;=366,H11&lt;=730),D11,0)</x:f>
        <x:v>0</x:v>
      </x:c>
      <x:c r="P11" s="47" t="n">
        <x:f>IF(AND(H11&gt;=731,H11&lt;=1095),D11,0)</x:f>
        <x:v>0</x:v>
      </x:c>
      <x:c r="Q11" s="47" t="n">
        <x:f>IF(H11&gt;1095,D11,0)</x:f>
        <x:v>0</x:v>
      </x:c>
      <x:c r="R11" s="41" t="str">
        <x:f>IF(H11&gt;365,"高",IF(H11&gt;90,"中","低"))</x:f>
        <x:v>低</x:v>
      </x:c>
    </x:row>
    <x:row r="12">
      <x:c r="A12" s="52"/>
      <x:c r="B12" s="53"/>
      <x:c r="C12" s="53"/>
      <x:c r="D12" s="58"/>
      <x:c r="E12" s="53"/>
      <x:c r="F12" s="56"/>
      <x:c r="G12" s="56"/>
      <x:c r="H12" s="53" t="str">
        <x:f>IF(A12="","",MAX(0,'00-说明与参数'!$B$7-F12))</x:f>
      </x:c>
      <x:c r="I12" s="58" t="str">
        <x:f>IF(A12="","",IF('00-说明与参数'!$B$7&lt;G12,D12,0))</x:f>
      </x:c>
      <x:c r="J12" s="58" t="n">
        <x:f>IF(AND(H12&gt;=1,H12&lt;=30),D12,0)</x:f>
        <x:v>0</x:v>
      </x:c>
      <x:c r="K12" s="58" t="n">
        <x:f>IF(AND(H12&gt;=31,H12&lt;=60),D12,0)</x:f>
        <x:v>0</x:v>
      </x:c>
      <x:c r="L12" s="58" t="n">
        <x:f>IF(AND(H12&gt;=61,H12&lt;=90),D12,0)</x:f>
        <x:v>0</x:v>
      </x:c>
      <x:c r="M12" s="58" t="n">
        <x:f>IF(AND(H12&gt;=91,H12&lt;=180),D12,0)</x:f>
        <x:v>0</x:v>
      </x:c>
      <x:c r="N12" s="58" t="n">
        <x:f>IF(AND(H12&gt;=181,H12&lt;=365),D12,0)</x:f>
        <x:v>0</x:v>
      </x:c>
      <x:c r="O12" s="58" t="n">
        <x:f>IF(AND(H12&gt;=366,H12&lt;=730),D12,0)</x:f>
        <x:v>0</x:v>
      </x:c>
      <x:c r="P12" s="58" t="n">
        <x:f>IF(AND(H12&gt;=731,H12&lt;=1095),D12,0)</x:f>
        <x:v>0</x:v>
      </x:c>
      <x:c r="Q12" s="58" t="n">
        <x:f>IF(H12&gt;1095,D12,0)</x:f>
        <x:v>0</x:v>
      </x:c>
      <x:c r="R12" s="54" t="str">
        <x:f>IF(H12&gt;365,"高",IF(H12&gt;90,"中","低"))</x:f>
        <x:v>低</x:v>
      </x:c>
    </x:row>
    <x:row r="13">
      <x:c r="A13" s="39"/>
      <x:c r="B13" s="40"/>
      <x:c r="C13" s="40"/>
      <x:c r="D13" s="47"/>
      <x:c r="E13" s="40"/>
      <x:c r="F13" s="45"/>
      <x:c r="G13" s="45"/>
      <x:c r="H13" s="40" t="str">
        <x:f>IF(A13="","",MAX(0,'00-说明与参数'!$B$7-F13))</x:f>
      </x:c>
      <x:c r="I13" s="47" t="str">
        <x:f>IF(A13="","",IF('00-说明与参数'!$B$7&lt;G13,D13,0))</x:f>
      </x:c>
      <x:c r="J13" s="47" t="n">
        <x:f>IF(AND(H13&gt;=1,H13&lt;=30),D13,0)</x:f>
        <x:v>0</x:v>
      </x:c>
      <x:c r="K13" s="47" t="n">
        <x:f>IF(AND(H13&gt;=31,H13&lt;=60),D13,0)</x:f>
        <x:v>0</x:v>
      </x:c>
      <x:c r="L13" s="47" t="n">
        <x:f>IF(AND(H13&gt;=61,H13&lt;=90),D13,0)</x:f>
        <x:v>0</x:v>
      </x:c>
      <x:c r="M13" s="47" t="n">
        <x:f>IF(AND(H13&gt;=91,H13&lt;=180),D13,0)</x:f>
        <x:v>0</x:v>
      </x:c>
      <x:c r="N13" s="47" t="n">
        <x:f>IF(AND(H13&gt;=181,H13&lt;=365),D13,0)</x:f>
        <x:v>0</x:v>
      </x:c>
      <x:c r="O13" s="47" t="n">
        <x:f>IF(AND(H13&gt;=366,H13&lt;=730),D13,0)</x:f>
        <x:v>0</x:v>
      </x:c>
      <x:c r="P13" s="47" t="n">
        <x:f>IF(AND(H13&gt;=731,H13&lt;=1095),D13,0)</x:f>
        <x:v>0</x:v>
      </x:c>
      <x:c r="Q13" s="47" t="n">
        <x:f>IF(H13&gt;1095,D13,0)</x:f>
        <x:v>0</x:v>
      </x:c>
      <x:c r="R13" s="41" t="str">
        <x:f>IF(H13&gt;365,"高",IF(H13&gt;90,"中","低"))</x:f>
        <x:v>低</x:v>
      </x:c>
    </x:row>
    <x:row r="14">
      <x:c r="A14" s="52"/>
      <x:c r="B14" s="53"/>
      <x:c r="C14" s="53"/>
      <x:c r="D14" s="58"/>
      <x:c r="E14" s="53"/>
      <x:c r="F14" s="56"/>
      <x:c r="G14" s="56"/>
      <x:c r="H14" s="53" t="str">
        <x:f>IF(A14="","",MAX(0,'00-说明与参数'!$B$7-F14))</x:f>
      </x:c>
      <x:c r="I14" s="58" t="str">
        <x:f>IF(A14="","",IF('00-说明与参数'!$B$7&lt;G14,D14,0))</x:f>
      </x:c>
      <x:c r="J14" s="58" t="n">
        <x:f>IF(AND(H14&gt;=1,H14&lt;=30),D14,0)</x:f>
        <x:v>0</x:v>
      </x:c>
      <x:c r="K14" s="58" t="n">
        <x:f>IF(AND(H14&gt;=31,H14&lt;=60),D14,0)</x:f>
        <x:v>0</x:v>
      </x:c>
      <x:c r="L14" s="58" t="n">
        <x:f>IF(AND(H14&gt;=61,H14&lt;=90),D14,0)</x:f>
        <x:v>0</x:v>
      </x:c>
      <x:c r="M14" s="58" t="n">
        <x:f>IF(AND(H14&gt;=91,H14&lt;=180),D14,0)</x:f>
        <x:v>0</x:v>
      </x:c>
      <x:c r="N14" s="58" t="n">
        <x:f>IF(AND(H14&gt;=181,H14&lt;=365),D14,0)</x:f>
        <x:v>0</x:v>
      </x:c>
      <x:c r="O14" s="58" t="n">
        <x:f>IF(AND(H14&gt;=366,H14&lt;=730),D14,0)</x:f>
        <x:v>0</x:v>
      </x:c>
      <x:c r="P14" s="58" t="n">
        <x:f>IF(AND(H14&gt;=731,H14&lt;=1095),D14,0)</x:f>
        <x:v>0</x:v>
      </x:c>
      <x:c r="Q14" s="58" t="n">
        <x:f>IF(H14&gt;1095,D14,0)</x:f>
        <x:v>0</x:v>
      </x:c>
      <x:c r="R14" s="54" t="str">
        <x:f>IF(H14&gt;365,"高",IF(H14&gt;90,"中","低"))</x:f>
        <x:v>低</x:v>
      </x:c>
    </x:row>
    <x:row r="15">
      <x:c r="A15" s="39"/>
      <x:c r="B15" s="40"/>
      <x:c r="C15" s="40"/>
      <x:c r="D15" s="47"/>
      <x:c r="E15" s="40"/>
      <x:c r="F15" s="45"/>
      <x:c r="G15" s="45"/>
      <x:c r="H15" s="40" t="str">
        <x:f>IF(A15="","",MAX(0,'00-说明与参数'!$B$7-F15))</x:f>
      </x:c>
      <x:c r="I15" s="47" t="str">
        <x:f>IF(A15="","",IF('00-说明与参数'!$B$7&lt;G15,D15,0))</x:f>
      </x:c>
      <x:c r="J15" s="47" t="n">
        <x:f>IF(AND(H15&gt;=1,H15&lt;=30),D15,0)</x:f>
        <x:v>0</x:v>
      </x:c>
      <x:c r="K15" s="47" t="n">
        <x:f>IF(AND(H15&gt;=31,H15&lt;=60),D15,0)</x:f>
        <x:v>0</x:v>
      </x:c>
      <x:c r="L15" s="47" t="n">
        <x:f>IF(AND(H15&gt;=61,H15&lt;=90),D15,0)</x:f>
        <x:v>0</x:v>
      </x:c>
      <x:c r="M15" s="47" t="n">
        <x:f>IF(AND(H15&gt;=91,H15&lt;=180),D15,0)</x:f>
        <x:v>0</x:v>
      </x:c>
      <x:c r="N15" s="47" t="n">
        <x:f>IF(AND(H15&gt;=181,H15&lt;=365),D15,0)</x:f>
        <x:v>0</x:v>
      </x:c>
      <x:c r="O15" s="47" t="n">
        <x:f>IF(AND(H15&gt;=366,H15&lt;=730),D15,0)</x:f>
        <x:v>0</x:v>
      </x:c>
      <x:c r="P15" s="47" t="n">
        <x:f>IF(AND(H15&gt;=731,H15&lt;=1095),D15,0)</x:f>
        <x:v>0</x:v>
      </x:c>
      <x:c r="Q15" s="47" t="n">
        <x:f>IF(H15&gt;1095,D15,0)</x:f>
        <x:v>0</x:v>
      </x:c>
      <x:c r="R15" s="41" t="str">
        <x:f>IF(H15&gt;365,"高",IF(H15&gt;90,"中","低"))</x:f>
        <x:v>低</x:v>
      </x:c>
    </x:row>
    <x:row r="16">
      <x:c r="A16" s="52"/>
      <x:c r="B16" s="53"/>
      <x:c r="C16" s="53"/>
      <x:c r="D16" s="58"/>
      <x:c r="E16" s="53"/>
      <x:c r="F16" s="56"/>
      <x:c r="G16" s="56"/>
      <x:c r="H16" s="53" t="str">
        <x:f>IF(A16="","",MAX(0,'00-说明与参数'!$B$7-F16))</x:f>
      </x:c>
      <x:c r="I16" s="58" t="str">
        <x:f>IF(A16="","",IF('00-说明与参数'!$B$7&lt;G16,D16,0))</x:f>
      </x:c>
      <x:c r="J16" s="58" t="n">
        <x:f>IF(AND(H16&gt;=1,H16&lt;=30),D16,0)</x:f>
        <x:v>0</x:v>
      </x:c>
      <x:c r="K16" s="58" t="n">
        <x:f>IF(AND(H16&gt;=31,H16&lt;=60),D16,0)</x:f>
        <x:v>0</x:v>
      </x:c>
      <x:c r="L16" s="58" t="n">
        <x:f>IF(AND(H16&gt;=61,H16&lt;=90),D16,0)</x:f>
        <x:v>0</x:v>
      </x:c>
      <x:c r="M16" s="58" t="n">
        <x:f>IF(AND(H16&gt;=91,H16&lt;=180),D16,0)</x:f>
        <x:v>0</x:v>
      </x:c>
      <x:c r="N16" s="58" t="n">
        <x:f>IF(AND(H16&gt;=181,H16&lt;=365),D16,0)</x:f>
        <x:v>0</x:v>
      </x:c>
      <x:c r="O16" s="58" t="n">
        <x:f>IF(AND(H16&gt;=366,H16&lt;=730),D16,0)</x:f>
        <x:v>0</x:v>
      </x:c>
      <x:c r="P16" s="58" t="n">
        <x:f>IF(AND(H16&gt;=731,H16&lt;=1095),D16,0)</x:f>
        <x:v>0</x:v>
      </x:c>
      <x:c r="Q16" s="58" t="n">
        <x:f>IF(H16&gt;1095,D16,0)</x:f>
        <x:v>0</x:v>
      </x:c>
      <x:c r="R16" s="54" t="str">
        <x:f>IF(H16&gt;365,"高",IF(H16&gt;90,"中","低"))</x:f>
        <x:v>低</x:v>
      </x:c>
    </x:row>
    <x:row r="17">
      <x:c r="A17" s="39"/>
      <x:c r="B17" s="40"/>
      <x:c r="C17" s="40"/>
      <x:c r="D17" s="47"/>
      <x:c r="E17" s="40"/>
      <x:c r="F17" s="45"/>
      <x:c r="G17" s="45"/>
      <x:c r="H17" s="40" t="str">
        <x:f>IF(A17="","",MAX(0,'00-说明与参数'!$B$7-F17))</x:f>
      </x:c>
      <x:c r="I17" s="47" t="str">
        <x:f>IF(A17="","",IF('00-说明与参数'!$B$7&lt;G17,D17,0))</x:f>
      </x:c>
      <x:c r="J17" s="47" t="n">
        <x:f>IF(AND(H17&gt;=1,H17&lt;=30),D17,0)</x:f>
        <x:v>0</x:v>
      </x:c>
      <x:c r="K17" s="47" t="n">
        <x:f>IF(AND(H17&gt;=31,H17&lt;=60),D17,0)</x:f>
        <x:v>0</x:v>
      </x:c>
      <x:c r="L17" s="47" t="n">
        <x:f>IF(AND(H17&gt;=61,H17&lt;=90),D17,0)</x:f>
        <x:v>0</x:v>
      </x:c>
      <x:c r="M17" s="47" t="n">
        <x:f>IF(AND(H17&gt;=91,H17&lt;=180),D17,0)</x:f>
        <x:v>0</x:v>
      </x:c>
      <x:c r="N17" s="47" t="n">
        <x:f>IF(AND(H17&gt;=181,H17&lt;=365),D17,0)</x:f>
        <x:v>0</x:v>
      </x:c>
      <x:c r="O17" s="47" t="n">
        <x:f>IF(AND(H17&gt;=366,H17&lt;=730),D17,0)</x:f>
        <x:v>0</x:v>
      </x:c>
      <x:c r="P17" s="47" t="n">
        <x:f>IF(AND(H17&gt;=731,H17&lt;=1095),D17,0)</x:f>
        <x:v>0</x:v>
      </x:c>
      <x:c r="Q17" s="47" t="n">
        <x:f>IF(H17&gt;1095,D17,0)</x:f>
        <x:v>0</x:v>
      </x:c>
      <x:c r="R17" s="41" t="str">
        <x:f>IF(H17&gt;365,"高",IF(H17&gt;90,"中","低"))</x:f>
        <x:v>低</x:v>
      </x:c>
    </x:row>
    <x:row r="18">
      <x:c r="A18" s="52"/>
      <x:c r="B18" s="53"/>
      <x:c r="C18" s="53"/>
      <x:c r="D18" s="58"/>
      <x:c r="E18" s="53"/>
      <x:c r="F18" s="56"/>
      <x:c r="G18" s="56"/>
      <x:c r="H18" s="53" t="str">
        <x:f>IF(A18="","",MAX(0,'00-说明与参数'!$B$7-F18))</x:f>
      </x:c>
      <x:c r="I18" s="58" t="str">
        <x:f>IF(A18="","",IF('00-说明与参数'!$B$7&lt;G18,D18,0))</x:f>
      </x:c>
      <x:c r="J18" s="58" t="n">
        <x:f>IF(AND(H18&gt;=1,H18&lt;=30),D18,0)</x:f>
        <x:v>0</x:v>
      </x:c>
      <x:c r="K18" s="58" t="n">
        <x:f>IF(AND(H18&gt;=31,H18&lt;=60),D18,0)</x:f>
        <x:v>0</x:v>
      </x:c>
      <x:c r="L18" s="58" t="n">
        <x:f>IF(AND(H18&gt;=61,H18&lt;=90),D18,0)</x:f>
        <x:v>0</x:v>
      </x:c>
      <x:c r="M18" s="58" t="n">
        <x:f>IF(AND(H18&gt;=91,H18&lt;=180),D18,0)</x:f>
        <x:v>0</x:v>
      </x:c>
      <x:c r="N18" s="58" t="n">
        <x:f>IF(AND(H18&gt;=181,H18&lt;=365),D18,0)</x:f>
        <x:v>0</x:v>
      </x:c>
      <x:c r="O18" s="58" t="n">
        <x:f>IF(AND(H18&gt;=366,H18&lt;=730),D18,0)</x:f>
        <x:v>0</x:v>
      </x:c>
      <x:c r="P18" s="58" t="n">
        <x:f>IF(AND(H18&gt;=731,H18&lt;=1095),D18,0)</x:f>
        <x:v>0</x:v>
      </x:c>
      <x:c r="Q18" s="58" t="n">
        <x:f>IF(H18&gt;1095,D18,0)</x:f>
        <x:v>0</x:v>
      </x:c>
      <x:c r="R18" s="54" t="str">
        <x:f>IF(H18&gt;365,"高",IF(H18&gt;90,"中","低"))</x:f>
        <x:v>低</x:v>
      </x:c>
    </x:row>
    <x:row r="19">
      <x:c r="A19" s="39"/>
      <x:c r="B19" s="40"/>
      <x:c r="C19" s="40"/>
      <x:c r="D19" s="47"/>
      <x:c r="E19" s="40"/>
      <x:c r="F19" s="45"/>
      <x:c r="G19" s="45"/>
      <x:c r="H19" s="40" t="str">
        <x:f>IF(A19="","",MAX(0,'00-说明与参数'!$B$7-F19))</x:f>
      </x:c>
      <x:c r="I19" s="47" t="str">
        <x:f>IF(A19="","",IF('00-说明与参数'!$B$7&lt;G19,D19,0))</x:f>
      </x:c>
      <x:c r="J19" s="47" t="n">
        <x:f>IF(AND(H19&gt;=1,H19&lt;=30),D19,0)</x:f>
        <x:v>0</x:v>
      </x:c>
      <x:c r="K19" s="47" t="n">
        <x:f>IF(AND(H19&gt;=31,H19&lt;=60),D19,0)</x:f>
        <x:v>0</x:v>
      </x:c>
      <x:c r="L19" s="47" t="n">
        <x:f>IF(AND(H19&gt;=61,H19&lt;=90),D19,0)</x:f>
        <x:v>0</x:v>
      </x:c>
      <x:c r="M19" s="47" t="n">
        <x:f>IF(AND(H19&gt;=91,H19&lt;=180),D19,0)</x:f>
        <x:v>0</x:v>
      </x:c>
      <x:c r="N19" s="47" t="n">
        <x:f>IF(AND(H19&gt;=181,H19&lt;=365),D19,0)</x:f>
        <x:v>0</x:v>
      </x:c>
      <x:c r="O19" s="47" t="n">
        <x:f>IF(AND(H19&gt;=366,H19&lt;=730),D19,0)</x:f>
        <x:v>0</x:v>
      </x:c>
      <x:c r="P19" s="47" t="n">
        <x:f>IF(AND(H19&gt;=731,H19&lt;=1095),D19,0)</x:f>
        <x:v>0</x:v>
      </x:c>
      <x:c r="Q19" s="47" t="n">
        <x:f>IF(H19&gt;1095,D19,0)</x:f>
        <x:v>0</x:v>
      </x:c>
      <x:c r="R19" s="41" t="str">
        <x:f>IF(H19&gt;365,"高",IF(H19&gt;90,"中","低"))</x:f>
        <x:v>低</x:v>
      </x:c>
    </x:row>
    <x:row r="20">
      <x:c r="A20" s="52"/>
      <x:c r="B20" s="53"/>
      <x:c r="C20" s="53"/>
      <x:c r="D20" s="58"/>
      <x:c r="E20" s="53"/>
      <x:c r="F20" s="56"/>
      <x:c r="G20" s="56"/>
      <x:c r="H20" s="53" t="str">
        <x:f>IF(A20="","",MAX(0,'00-说明与参数'!$B$7-F20))</x:f>
      </x:c>
      <x:c r="I20" s="58" t="str">
        <x:f>IF(A20="","",IF('00-说明与参数'!$B$7&lt;G20,D20,0))</x:f>
      </x:c>
      <x:c r="J20" s="58" t="n">
        <x:f>IF(AND(H20&gt;=1,H20&lt;=30),D20,0)</x:f>
        <x:v>0</x:v>
      </x:c>
      <x:c r="K20" s="58" t="n">
        <x:f>IF(AND(H20&gt;=31,H20&lt;=60),D20,0)</x:f>
        <x:v>0</x:v>
      </x:c>
      <x:c r="L20" s="58" t="n">
        <x:f>IF(AND(H20&gt;=61,H20&lt;=90),D20,0)</x:f>
        <x:v>0</x:v>
      </x:c>
      <x:c r="M20" s="58" t="n">
        <x:f>IF(AND(H20&gt;=91,H20&lt;=180),D20,0)</x:f>
        <x:v>0</x:v>
      </x:c>
      <x:c r="N20" s="58" t="n">
        <x:f>IF(AND(H20&gt;=181,H20&lt;=365),D20,0)</x:f>
        <x:v>0</x:v>
      </x:c>
      <x:c r="O20" s="58" t="n">
        <x:f>IF(AND(H20&gt;=366,H20&lt;=730),D20,0)</x:f>
        <x:v>0</x:v>
      </x:c>
      <x:c r="P20" s="58" t="n">
        <x:f>IF(AND(H20&gt;=731,H20&lt;=1095),D20,0)</x:f>
        <x:v>0</x:v>
      </x:c>
      <x:c r="Q20" s="58" t="n">
        <x:f>IF(H20&gt;1095,D20,0)</x:f>
        <x:v>0</x:v>
      </x:c>
      <x:c r="R20" s="54" t="str">
        <x:f>IF(H20&gt;365,"高",IF(H20&gt;90,"中","低"))</x:f>
        <x:v>低</x:v>
      </x:c>
    </x:row>
    <x:row r="21">
      <x:c r="A21" s="39"/>
      <x:c r="B21" s="40"/>
      <x:c r="C21" s="40"/>
      <x:c r="D21" s="47"/>
      <x:c r="E21" s="40"/>
      <x:c r="F21" s="45"/>
      <x:c r="G21" s="45"/>
      <x:c r="H21" s="40" t="str">
        <x:f>IF(A21="","",MAX(0,'00-说明与参数'!$B$7-F21))</x:f>
      </x:c>
      <x:c r="I21" s="47" t="str">
        <x:f>IF(A21="","",IF('00-说明与参数'!$B$7&lt;G21,D21,0))</x:f>
      </x:c>
      <x:c r="J21" s="47" t="n">
        <x:f>IF(AND(H21&gt;=1,H21&lt;=30),D21,0)</x:f>
        <x:v>0</x:v>
      </x:c>
      <x:c r="K21" s="47" t="n">
        <x:f>IF(AND(H21&gt;=31,H21&lt;=60),D21,0)</x:f>
        <x:v>0</x:v>
      </x:c>
      <x:c r="L21" s="47" t="n">
        <x:f>IF(AND(H21&gt;=61,H21&lt;=90),D21,0)</x:f>
        <x:v>0</x:v>
      </x:c>
      <x:c r="M21" s="47" t="n">
        <x:f>IF(AND(H21&gt;=91,H21&lt;=180),D21,0)</x:f>
        <x:v>0</x:v>
      </x:c>
      <x:c r="N21" s="47" t="n">
        <x:f>IF(AND(H21&gt;=181,H21&lt;=365),D21,0)</x:f>
        <x:v>0</x:v>
      </x:c>
      <x:c r="O21" s="47" t="n">
        <x:f>IF(AND(H21&gt;=366,H21&lt;=730),D21,0)</x:f>
        <x:v>0</x:v>
      </x:c>
      <x:c r="P21" s="47" t="n">
        <x:f>IF(AND(H21&gt;=731,H21&lt;=1095),D21,0)</x:f>
        <x:v>0</x:v>
      </x:c>
      <x:c r="Q21" s="47" t="n">
        <x:f>IF(H21&gt;1095,D21,0)</x:f>
        <x:v>0</x:v>
      </x:c>
      <x:c r="R21" s="41" t="str">
        <x:f>IF(H21&gt;365,"高",IF(H21&gt;90,"中","低"))</x:f>
        <x:v>低</x:v>
      </x:c>
    </x:row>
    <x:row r="22">
      <x:c r="A22" s="52"/>
      <x:c r="B22" s="53"/>
      <x:c r="C22" s="53"/>
      <x:c r="D22" s="58"/>
      <x:c r="E22" s="53"/>
      <x:c r="F22" s="56"/>
      <x:c r="G22" s="56"/>
      <x:c r="H22" s="53" t="str">
        <x:f>IF(A22="","",MAX(0,'00-说明与参数'!$B$7-F22))</x:f>
      </x:c>
      <x:c r="I22" s="58" t="str">
        <x:f>IF(A22="","",IF('00-说明与参数'!$B$7&lt;G22,D22,0))</x:f>
      </x:c>
      <x:c r="J22" s="58" t="n">
        <x:f>IF(AND(H22&gt;=1,H22&lt;=30),D22,0)</x:f>
        <x:v>0</x:v>
      </x:c>
      <x:c r="K22" s="58" t="n">
        <x:f>IF(AND(H22&gt;=31,H22&lt;=60),D22,0)</x:f>
        <x:v>0</x:v>
      </x:c>
      <x:c r="L22" s="58" t="n">
        <x:f>IF(AND(H22&gt;=61,H22&lt;=90),D22,0)</x:f>
        <x:v>0</x:v>
      </x:c>
      <x:c r="M22" s="58" t="n">
        <x:f>IF(AND(H22&gt;=91,H22&lt;=180),D22,0)</x:f>
        <x:v>0</x:v>
      </x:c>
      <x:c r="N22" s="58" t="n">
        <x:f>IF(AND(H22&gt;=181,H22&lt;=365),D22,0)</x:f>
        <x:v>0</x:v>
      </x:c>
      <x:c r="O22" s="58" t="n">
        <x:f>IF(AND(H22&gt;=366,H22&lt;=730),D22,0)</x:f>
        <x:v>0</x:v>
      </x:c>
      <x:c r="P22" s="58" t="n">
        <x:f>IF(AND(H22&gt;=731,H22&lt;=1095),D22,0)</x:f>
        <x:v>0</x:v>
      </x:c>
      <x:c r="Q22" s="58" t="n">
        <x:f>IF(H22&gt;1095,D22,0)</x:f>
        <x:v>0</x:v>
      </x:c>
      <x:c r="R22" s="54" t="str">
        <x:f>IF(H22&gt;365,"高",IF(H22&gt;90,"中","低"))</x:f>
        <x:v>低</x:v>
      </x:c>
    </x:row>
    <x:row r="23">
      <x:c r="A23" s="39"/>
      <x:c r="B23" s="40"/>
      <x:c r="C23" s="40"/>
      <x:c r="D23" s="47"/>
      <x:c r="E23" s="40"/>
      <x:c r="F23" s="45"/>
      <x:c r="G23" s="45"/>
      <x:c r="H23" s="40" t="str">
        <x:f>IF(A23="","",MAX(0,'00-说明与参数'!$B$7-F23))</x:f>
      </x:c>
      <x:c r="I23" s="47" t="str">
        <x:f>IF(A23="","",IF('00-说明与参数'!$B$7&lt;G23,D23,0))</x:f>
      </x:c>
      <x:c r="J23" s="47" t="n">
        <x:f>IF(AND(H23&gt;=1,H23&lt;=30),D23,0)</x:f>
        <x:v>0</x:v>
      </x:c>
      <x:c r="K23" s="47" t="n">
        <x:f>IF(AND(H23&gt;=31,H23&lt;=60),D23,0)</x:f>
        <x:v>0</x:v>
      </x:c>
      <x:c r="L23" s="47" t="n">
        <x:f>IF(AND(H23&gt;=61,H23&lt;=90),D23,0)</x:f>
        <x:v>0</x:v>
      </x:c>
      <x:c r="M23" s="47" t="n">
        <x:f>IF(AND(H23&gt;=91,H23&lt;=180),D23,0)</x:f>
        <x:v>0</x:v>
      </x:c>
      <x:c r="N23" s="47" t="n">
        <x:f>IF(AND(H23&gt;=181,H23&lt;=365),D23,0)</x:f>
        <x:v>0</x:v>
      </x:c>
      <x:c r="O23" s="47" t="n">
        <x:f>IF(AND(H23&gt;=366,H23&lt;=730),D23,0)</x:f>
        <x:v>0</x:v>
      </x:c>
      <x:c r="P23" s="47" t="n">
        <x:f>IF(AND(H23&gt;=731,H23&lt;=1095),D23,0)</x:f>
        <x:v>0</x:v>
      </x:c>
      <x:c r="Q23" s="47" t="n">
        <x:f>IF(H23&gt;1095,D23,0)</x:f>
        <x:v>0</x:v>
      </x:c>
      <x:c r="R23" s="41" t="str">
        <x:f>IF(H23&gt;365,"高",IF(H23&gt;90,"中","低"))</x:f>
        <x:v>低</x:v>
      </x:c>
    </x:row>
    <x:row r="24">
      <x:c r="A24" s="52"/>
      <x:c r="B24" s="53"/>
      <x:c r="C24" s="53"/>
      <x:c r="D24" s="58"/>
      <x:c r="E24" s="53"/>
      <x:c r="F24" s="56"/>
      <x:c r="G24" s="56"/>
      <x:c r="H24" s="53" t="str">
        <x:f>IF(A24="","",MAX(0,'00-说明与参数'!$B$7-F24))</x:f>
      </x:c>
      <x:c r="I24" s="58" t="str">
        <x:f>IF(A24="","",IF('00-说明与参数'!$B$7&lt;G24,D24,0))</x:f>
      </x:c>
      <x:c r="J24" s="58" t="n">
        <x:f>IF(AND(H24&gt;=1,H24&lt;=30),D24,0)</x:f>
        <x:v>0</x:v>
      </x:c>
      <x:c r="K24" s="58" t="n">
        <x:f>IF(AND(H24&gt;=31,H24&lt;=60),D24,0)</x:f>
        <x:v>0</x:v>
      </x:c>
      <x:c r="L24" s="58" t="n">
        <x:f>IF(AND(H24&gt;=61,H24&lt;=90),D24,0)</x:f>
        <x:v>0</x:v>
      </x:c>
      <x:c r="M24" s="58" t="n">
        <x:f>IF(AND(H24&gt;=91,H24&lt;=180),D24,0)</x:f>
        <x:v>0</x:v>
      </x:c>
      <x:c r="N24" s="58" t="n">
        <x:f>IF(AND(H24&gt;=181,H24&lt;=365),D24,0)</x:f>
        <x:v>0</x:v>
      </x:c>
      <x:c r="O24" s="58" t="n">
        <x:f>IF(AND(H24&gt;=366,H24&lt;=730),D24,0)</x:f>
        <x:v>0</x:v>
      </x:c>
      <x:c r="P24" s="58" t="n">
        <x:f>IF(AND(H24&gt;=731,H24&lt;=1095),D24,0)</x:f>
        <x:v>0</x:v>
      </x:c>
      <x:c r="Q24" s="58" t="n">
        <x:f>IF(H24&gt;1095,D24,0)</x:f>
        <x:v>0</x:v>
      </x:c>
      <x:c r="R24" s="54" t="str">
        <x:f>IF(H24&gt;365,"高",IF(H24&gt;90,"中","低"))</x:f>
        <x:v>低</x:v>
      </x:c>
    </x:row>
    <x:row r="25">
      <x:c r="A25" s="42"/>
      <x:c r="B25" s="43"/>
      <x:c r="C25" s="43"/>
      <x:c r="D25" s="59"/>
      <x:c r="E25" s="43"/>
      <x:c r="F25" s="46"/>
      <x:c r="G25" s="46"/>
      <x:c r="H25" s="43" t="str">
        <x:f>IF(A25="","",MAX(0,'00-说明与参数'!$B$7-F25))</x:f>
      </x:c>
      <x:c r="I25" s="59" t="str">
        <x:f>IF(A25="","",IF('00-说明与参数'!$B$7&lt;G25,D25,0))</x:f>
      </x:c>
      <x:c r="J25" s="59" t="n">
        <x:f>IF(AND(H25&gt;=1,H25&lt;=30),D25,0)</x:f>
        <x:v>0</x:v>
      </x:c>
      <x:c r="K25" s="59" t="n">
        <x:f>IF(AND(H25&gt;=31,H25&lt;=60),D25,0)</x:f>
        <x:v>0</x:v>
      </x:c>
      <x:c r="L25" s="59" t="n">
        <x:f>IF(AND(H25&gt;=61,H25&lt;=90),D25,0)</x:f>
        <x:v>0</x:v>
      </x:c>
      <x:c r="M25" s="59" t="n">
        <x:f>IF(AND(H25&gt;=91,H25&lt;=180),D25,0)</x:f>
        <x:v>0</x:v>
      </x:c>
      <x:c r="N25" s="59" t="n">
        <x:f>IF(AND(H25&gt;=181,H25&lt;=365),D25,0)</x:f>
        <x:v>0</x:v>
      </x:c>
      <x:c r="O25" s="59" t="n">
        <x:f>IF(AND(H25&gt;=366,H25&lt;=730),D25,0)</x:f>
        <x:v>0</x:v>
      </x:c>
      <x:c r="P25" s="59" t="n">
        <x:f>IF(AND(H25&gt;=731,H25&lt;=1095),D25,0)</x:f>
        <x:v>0</x:v>
      </x:c>
      <x:c r="Q25" s="59" t="n">
        <x:f>IF(H25&gt;1095,D25,0)</x:f>
        <x:v>0</x:v>
      </x:c>
      <x:c r="R25" s="44" t="str">
        <x:f>IF(H25&gt;365,"高",IF(H25&gt;90,"中","低"))</x:f>
        <x:v>低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fc144df2565a4528"/>
  </x:tableParts>
</x:worksheet>
</file>

<file path=xl/worksheets/sheet6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14" hidden="0" customWidth="1"/>
    <x:col min="5" max="5" width="12" hidden="0" customWidth="1"/>
    <x:col min="6" max="6" width="13" hidden="0" customWidth="1"/>
    <x:col min="7" max="7" width="20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26" hidden="0" customWidth="1"/>
    <x:col min="13" max="13" width="24" hidden="0" customWidth="1"/>
    <x:col min="14" max="14" width="28" hidden="0" customWidth="1"/>
    <x:col min="15" max="15" width="18" hidden="0" customWidth="1"/>
    <x:col min="16" max="16" width="14" hidden="0" customWidth="1"/>
    <x:col min="17" max="17" width="13" hidden="0" customWidth="1"/>
    <x:col min="18" max="18" width="13" hidden="0" customWidth="1"/>
    <x:col min="19" max="19" width="26" hidden="0" customWidth="1"/>
    <x:col min="20" max="20" width="24" hidden="0" customWidth="1"/>
    <x:col min="21" max="21" width="12" hidden="0" customWidth="1"/>
  </x:cols>
  <x:sheetData>
    <x:row r="1" ht="30" customHeight="1">
      <x:c r="A1" s="80" t="str">
        <x:v>长期挂账清理台账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</x:row>
    <x:row r="2" ht="24" customHeight="1">
      <x:c r="A2" s="82" t="str">
        <x:v>账龄长只触发调查，不构成核销或转收益的充分依据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</x:row>
    <x:row r="5" ht="32" customHeight="1">
      <x:c r="A5" s="15" t="str">
        <x:v>编号</x:v>
      </x:c>
      <x:c r="B5" s="16" t="str">
        <x:v>单位</x:v>
      </x:c>
      <x:c r="C5" s="16" t="str">
        <x:v>科目</x:v>
      </x:c>
      <x:c r="D5" s="16" t="str">
        <x:v>期末余额</x:v>
      </x:c>
      <x:c r="E5" s="16" t="str">
        <x:v>账龄天数</x:v>
      </x:c>
      <x:c r="F5" s="16" t="str">
        <x:v>最后发生日</x:v>
      </x:c>
      <x:c r="G5" s="16" t="str">
        <x:v>业务性质</x:v>
      </x:c>
      <x:c r="H5" s="16" t="str">
        <x:v>合同</x:v>
      </x:c>
      <x:c r="I5" s="16" t="str">
        <x:v>发票</x:v>
      </x:c>
      <x:c r="J5" s="16" t="str">
        <x:v>收付款</x:v>
      </x:c>
      <x:c r="K5" s="16" t="str">
        <x:v>对账结果</x:v>
      </x:c>
      <x:c r="L5" s="16" t="str">
        <x:v>权利义务状态</x:v>
      </x:c>
      <x:c r="M5" s="16" t="str">
        <x:v>异常原因</x:v>
      </x:c>
      <x:c r="N5" s="16" t="str">
        <x:v>处理方案</x:v>
      </x:c>
      <x:c r="O5" s="16" t="str">
        <x:v>所需审批</x:v>
      </x:c>
      <x:c r="P5" s="16" t="str">
        <x:v>责任部门</x:v>
      </x:c>
      <x:c r="Q5" s="16" t="str">
        <x:v>预计关闭日</x:v>
      </x:c>
      <x:c r="R5" s="16" t="str">
        <x:v>实际关闭日</x:v>
      </x:c>
      <x:c r="S5" s="16" t="str">
        <x:v>税务影响</x:v>
      </x:c>
      <x:c r="T5" s="16" t="str">
        <x:v>关闭证据</x:v>
      </x:c>
      <x:c r="U5" s="17" t="str">
        <x:v>状态</x:v>
      </x:c>
    </x:row>
    <x:row r="6">
      <x:c r="A6" s="49" t="str">
        <x:v>LT-001</x:v>
      </x:c>
      <x:c r="B6" s="50" t="str">
        <x:v>恒创设备</x:v>
      </x:c>
      <x:c r="C6" s="50" t="str">
        <x:v>预付款项</x:v>
      </x:c>
      <x:c r="D6" s="57" t="n">
        <x:v>80</x:v>
      </x:c>
      <x:c r="E6" s="50" t="n">
        <x:v>426</x:v>
      </x:c>
      <x:c r="F6" s="55" t="n">
        <x:v>45808</x:v>
      </x:c>
      <x:c r="G6" s="50" t="str">
        <x:v>设备改造</x:v>
      </x:c>
      <x:c r="H6" s="50" t="str">
        <x:v>有</x:v>
      </x:c>
      <x:c r="I6" s="50" t="str">
        <x:v>未到</x:v>
      </x:c>
      <x:c r="J6" s="50" t="str">
        <x:v>已付</x:v>
      </x:c>
      <x:c r="K6" s="50" t="str">
        <x:v>对方确认欠履约</x:v>
      </x:c>
      <x:c r="L6" s="50" t="str">
        <x:v>权利存在、回收风险</x:v>
      </x:c>
      <x:c r="M6" s="50" t="str">
        <x:v>项目停滞</x:v>
      </x:c>
      <x:c r="N6" s="50" t="str">
        <x:v>减值24+法务催收</x:v>
      </x:c>
      <x:c r="O6" s="50" t="str">
        <x:v>主管/CFO</x:v>
      </x:c>
      <x:c r="P6" s="50" t="str">
        <x:v>采购</x:v>
      </x:c>
      <x:c r="Q6" s="55" t="n">
        <x:v>46295</x:v>
      </x:c>
      <x:c r="R6" s="55"/>
      <x:c r="S6" s="50" t="str">
        <x:v>会计减值暂不税前扣除</x:v>
      </x:c>
      <x:c r="T6" s="50" t="str">
        <x:v>催告/评估/审批</x:v>
      </x:c>
      <x:c r="U6" s="51" t="str">
        <x:v>进行中</x:v>
      </x:c>
    </x:row>
    <x:row r="7">
      <x:c r="A7" s="39" t="str">
        <x:v>LT-002</x:v>
      </x:c>
      <x:c r="B7" s="40" t="str">
        <x:v>周某</x:v>
      </x:c>
      <x:c r="C7" s="40" t="str">
        <x:v>其他应收款</x:v>
      </x:c>
      <x:c r="D7" s="47" t="n">
        <x:v>15</x:v>
      </x:c>
      <x:c r="E7" s="40" t="n">
        <x:v>335</x:v>
      </x:c>
      <x:c r="F7" s="45" t="n">
        <x:v>45900</x:v>
      </x:c>
      <x:c r="G7" s="40" t="str">
        <x:v>员工借款</x:v>
      </x:c>
      <x:c r="H7" s="40" t="str">
        <x:v>有申请</x:v>
      </x:c>
      <x:c r="I7" s="40" t="str">
        <x:v>不适用</x:v>
      </x:c>
      <x:c r="J7" s="40" t="str">
        <x:v>已付</x:v>
      </x:c>
      <x:c r="K7" s="40" t="str">
        <x:v>未回函</x:v>
      </x:c>
      <x:c r="L7" s="40" t="str">
        <x:v>债权存在、回收风险</x:v>
      </x:c>
      <x:c r="M7" s="40" t="str">
        <x:v>离职未清</x:v>
      </x:c>
      <x:c r="N7" s="40" t="str">
        <x:v>减值9+追偿</x:v>
      </x:c>
      <x:c r="O7" s="40" t="str">
        <x:v>主管</x:v>
      </x:c>
      <x:c r="P7" s="40" t="str">
        <x:v>HR</x:v>
      </x:c>
      <x:c r="Q7" s="45" t="n">
        <x:v>46295</x:v>
      </x:c>
      <x:c r="R7" s="45"/>
      <x:c r="S7" s="40" t="str">
        <x:v>实际损失另评估</x:v>
      </x:c>
      <x:c r="T7" s="40" t="str">
        <x:v>催收/法律资料</x:v>
      </x:c>
      <x:c r="U7" s="41" t="str">
        <x:v>进行中</x:v>
      </x:c>
    </x:row>
    <x:row r="8">
      <x:c r="A8" s="52"/>
      <x:c r="B8" s="53"/>
      <x:c r="C8" s="53"/>
      <x:c r="D8" s="58"/>
      <x:c r="E8" s="53"/>
      <x:c r="F8" s="56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6"/>
      <x:c r="R8" s="56"/>
      <x:c r="S8" s="53"/>
      <x:c r="T8" s="53"/>
      <x:c r="U8" s="54"/>
    </x:row>
    <x:row r="9">
      <x:c r="A9" s="39"/>
      <x:c r="B9" s="40"/>
      <x:c r="C9" s="40"/>
      <x:c r="D9" s="47"/>
      <x:c r="E9" s="40"/>
      <x:c r="F9" s="45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5"/>
      <x:c r="R9" s="45"/>
      <x:c r="S9" s="40"/>
      <x:c r="T9" s="40"/>
      <x:c r="U9" s="41"/>
    </x:row>
    <x:row r="10">
      <x:c r="A10" s="52"/>
      <x:c r="B10" s="53"/>
      <x:c r="C10" s="53"/>
      <x:c r="D10" s="58"/>
      <x:c r="E10" s="53"/>
      <x:c r="F10" s="56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6"/>
      <x:c r="R10" s="56"/>
      <x:c r="S10" s="53"/>
      <x:c r="T10" s="53"/>
      <x:c r="U10" s="54"/>
    </x:row>
    <x:row r="11">
      <x:c r="A11" s="39"/>
      <x:c r="B11" s="40"/>
      <x:c r="C11" s="40"/>
      <x:c r="D11" s="47"/>
      <x:c r="E11" s="40"/>
      <x:c r="F11" s="45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5"/>
      <x:c r="R11" s="45"/>
      <x:c r="S11" s="40"/>
      <x:c r="T11" s="40"/>
      <x:c r="U11" s="41"/>
    </x:row>
    <x:row r="12">
      <x:c r="A12" s="52"/>
      <x:c r="B12" s="53"/>
      <x:c r="C12" s="53"/>
      <x:c r="D12" s="58"/>
      <x:c r="E12" s="53"/>
      <x:c r="F12" s="56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6"/>
      <x:c r="R12" s="56"/>
      <x:c r="S12" s="53"/>
      <x:c r="T12" s="53"/>
      <x:c r="U12" s="54"/>
    </x:row>
    <x:row r="13">
      <x:c r="A13" s="39"/>
      <x:c r="B13" s="40"/>
      <x:c r="C13" s="40"/>
      <x:c r="D13" s="47"/>
      <x:c r="E13" s="40"/>
      <x:c r="F13" s="45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5"/>
      <x:c r="R13" s="45"/>
      <x:c r="S13" s="40"/>
      <x:c r="T13" s="40"/>
      <x:c r="U13" s="41"/>
    </x:row>
    <x:row r="14">
      <x:c r="A14" s="52"/>
      <x:c r="B14" s="53"/>
      <x:c r="C14" s="53"/>
      <x:c r="D14" s="58"/>
      <x:c r="E14" s="53"/>
      <x:c r="F14" s="56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6"/>
      <x:c r="R14" s="56"/>
      <x:c r="S14" s="53"/>
      <x:c r="T14" s="53"/>
      <x:c r="U14" s="54"/>
    </x:row>
    <x:row r="15">
      <x:c r="A15" s="39"/>
      <x:c r="B15" s="40"/>
      <x:c r="C15" s="40"/>
      <x:c r="D15" s="47"/>
      <x:c r="E15" s="40"/>
      <x:c r="F15" s="45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5"/>
      <x:c r="R15" s="45"/>
      <x:c r="S15" s="40"/>
      <x:c r="T15" s="40"/>
      <x:c r="U15" s="41"/>
    </x:row>
    <x:row r="16">
      <x:c r="A16" s="52"/>
      <x:c r="B16" s="53"/>
      <x:c r="C16" s="53"/>
      <x:c r="D16" s="58"/>
      <x:c r="E16" s="53"/>
      <x:c r="F16" s="56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6"/>
      <x:c r="R16" s="56"/>
      <x:c r="S16" s="53"/>
      <x:c r="T16" s="53"/>
      <x:c r="U16" s="54"/>
    </x:row>
    <x:row r="17">
      <x:c r="A17" s="39"/>
      <x:c r="B17" s="40"/>
      <x:c r="C17" s="40"/>
      <x:c r="D17" s="47"/>
      <x:c r="E17" s="40"/>
      <x:c r="F17" s="45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5"/>
      <x:c r="R17" s="45"/>
      <x:c r="S17" s="40"/>
      <x:c r="T17" s="40"/>
      <x:c r="U17" s="41"/>
    </x:row>
    <x:row r="18">
      <x:c r="A18" s="52"/>
      <x:c r="B18" s="53"/>
      <x:c r="C18" s="53"/>
      <x:c r="D18" s="58"/>
      <x:c r="E18" s="53"/>
      <x:c r="F18" s="56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6"/>
      <x:c r="R18" s="56"/>
      <x:c r="S18" s="53"/>
      <x:c r="T18" s="53"/>
      <x:c r="U18" s="54"/>
    </x:row>
    <x:row r="19">
      <x:c r="A19" s="39"/>
      <x:c r="B19" s="40"/>
      <x:c r="C19" s="40"/>
      <x:c r="D19" s="47"/>
      <x:c r="E19" s="40"/>
      <x:c r="F19" s="45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5"/>
      <x:c r="R19" s="45"/>
      <x:c r="S19" s="40"/>
      <x:c r="T19" s="40"/>
      <x:c r="U19" s="41"/>
    </x:row>
    <x:row r="20">
      <x:c r="A20" s="60"/>
      <x:c r="B20" s="61"/>
      <x:c r="C20" s="61"/>
      <x:c r="D20" s="72"/>
      <x:c r="E20" s="61"/>
      <x:c r="F20" s="7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71"/>
      <x:c r="R20" s="71"/>
      <x:c r="S20" s="61"/>
      <x:c r="T20" s="61"/>
      <x:c r="U20" s="62"/>
    </x:row>
  </x:sheetData>
  <x:mergeCells>
    <x:mergeCell ref="A1:U1"/>
    <x:mergeCell ref="A2:U2"/>
  </x:mergeCells>
  <x:conditionalFormatting sqref="U6:U20">
    <x:cfRule type="expression" dxfId="7" priority="1">
      <x:formula>INDIRECT("RC",FALSE)="已关闭"</x:formula>
    </x:cfRule>
    <x:cfRule type="expression" dxfId="8" priority="2">
      <x:formula>INDIRECT("RC",FALSE)="进行中"</x:formula>
    </x:cfRule>
    <x:cfRule type="expression" dxfId="9" priority="3">
      <x:formula>INDIRECT("RC",FALSE)="待复核"</x:formula>
    </x:cfRule>
  </x:conditionalFormatting>
  <x:dataValidations count="1">
    <x:dataValidation type="list" sqref="U6:U2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cd09bb4a6d479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5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7" hidden="0" customWidth="1"/>
    <x:col min="11" max="11" width="14" hidden="0" customWidth="1"/>
    <x:col min="12" max="12" width="12" hidden="0" customWidth="1"/>
    <x:col min="13" max="13" width="12" hidden="0" customWidth="1"/>
    <x:col min="14" max="14" width="13" hidden="0" customWidth="1"/>
    <x:col min="15" max="15" width="16" hidden="0" customWidth="1"/>
    <x:col min="16" max="16" width="22" hidden="0" customWidth="1"/>
    <x:col min="17" max="17" width="12" hidden="0" customWidth="1"/>
    <x:col min="18" max="18" width="12" hidden="0" customWidth="1"/>
  </x:cols>
  <x:sheetData>
    <x:row r="1" ht="30" customHeight="1">
      <x:c r="A1" s="80" t="str">
        <x:v>暂估未冲台账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</x:row>
    <x:row r="2" ht="24" customHeight="1">
      <x:c r="A2" s="82" t="str">
        <x:v>逐PO/验收/发票跟踪；暂估解决会计截止，不直接产生可抵扣进项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</x:row>
    <x:row r="5" ht="32" customHeight="1">
      <x:c r="A5" s="15" t="str">
        <x:v>记录编号</x:v>
      </x:c>
      <x:c r="B5" s="16" t="str">
        <x:v>供应商</x:v>
      </x:c>
      <x:c r="C5" s="16" t="str">
        <x:v>采购订单</x:v>
      </x:c>
      <x:c r="D5" s="16" t="str">
        <x:v>业务类型</x:v>
      </x:c>
      <x:c r="E5" s="16" t="str">
        <x:v>收货/验收日</x:v>
      </x:c>
      <x:c r="F5" s="16" t="str">
        <x:v>暂估日期</x:v>
      </x:c>
      <x:c r="G5" s="16" t="str">
        <x:v>暂估金额</x:v>
      </x:c>
      <x:c r="H5" s="16" t="str">
        <x:v>预计税额</x:v>
      </x:c>
      <x:c r="I5" s="16" t="str">
        <x:v>收到发票日</x:v>
      </x:c>
      <x:c r="J5" s="16" t="str">
        <x:v>发票不含税金额</x:v>
      </x:c>
      <x:c r="K5" s="16" t="str">
        <x:v>发票税额</x:v>
      </x:c>
      <x:c r="L5" s="16" t="str">
        <x:v>价差</x:v>
      </x:c>
      <x:c r="M5" s="16" t="str">
        <x:v>暂估账龄</x:v>
      </x:c>
      <x:c r="N5" s="16" t="str">
        <x:v>存货已耗用</x:v>
      </x:c>
      <x:c r="O5" s="16" t="str">
        <x:v>冲暂估凭证</x:v>
      </x:c>
      <x:c r="P5" s="16" t="str">
        <x:v>价差处理</x:v>
      </x:c>
      <x:c r="Q5" s="16" t="str">
        <x:v>责任人</x:v>
      </x:c>
      <x:c r="R5" s="17" t="str">
        <x:v>状态</x:v>
      </x:c>
    </x:row>
    <x:row r="6">
      <x:c r="A6" s="49" t="str">
        <x:v>ACR-001</x:v>
      </x:c>
      <x:c r="B6" s="50" t="str">
        <x:v>精密材料</x:v>
      </x:c>
      <x:c r="C6" s="50" t="str">
        <x:v>PO-260616</x:v>
      </x:c>
      <x:c r="D6" s="50" t="str">
        <x:v>原材料</x:v>
      </x:c>
      <x:c r="E6" s="55" t="n">
        <x:v>46189</x:v>
      </x:c>
      <x:c r="F6" s="55" t="n">
        <x:v>46203</x:v>
      </x:c>
      <x:c r="G6" s="57" t="n">
        <x:v>100</x:v>
      </x:c>
      <x:c r="H6" s="57" t="n">
        <x:v>13</x:v>
      </x:c>
      <x:c r="I6" s="57" t="n">
        <x:v>46215</x:v>
      </x:c>
      <x:c r="J6" s="57" t="n">
        <x:v>100</x:v>
      </x:c>
      <x:c r="K6" s="57" t="n">
        <x:v>13</x:v>
      </x:c>
      <x:c r="L6" s="57" t="n">
        <x:f>IF(OR(G6="",J6=""),"",J6-G6)</x:f>
        <x:v>0</x:v>
      </x:c>
      <x:c r="M6" s="50" t="n">
        <x:f>IF(A6="","",'00-说明与参数'!$B$7-F6)</x:f>
        <x:v>31</x:v>
      </x:c>
      <x:c r="N6" s="50" t="str">
        <x:v>部分</x:v>
      </x:c>
      <x:c r="O6" s="50" t="str">
        <x:v>待处理</x:v>
      </x:c>
      <x:c r="P6" s="50" t="str">
        <x:v>按实际去向</x:v>
      </x:c>
      <x:c r="Q6" s="50" t="str">
        <x:v>AP</x:v>
      </x:c>
      <x:c r="R6" s="51" t="str">
        <x:v>进行中</x:v>
      </x:c>
    </x:row>
    <x:row r="7">
      <x:c r="A7" s="39" t="str">
        <x:v>ACR-002</x:v>
      </x:c>
      <x:c r="B7" s="40" t="str">
        <x:v>芯片科技</x:v>
      </x:c>
      <x:c r="C7" s="40" t="str">
        <x:v>PO-260725</x:v>
      </x:c>
      <x:c r="D7" s="40" t="str">
        <x:v>原材料</x:v>
      </x:c>
      <x:c r="E7" s="45" t="n">
        <x:v>46228</x:v>
      </x:c>
      <x:c r="F7" s="45" t="n">
        <x:v>46234</x:v>
      </x:c>
      <x:c r="G7" s="47" t="n">
        <x:v>60</x:v>
      </x:c>
      <x:c r="H7" s="47" t="n">
        <x:v>7.8</x:v>
      </x:c>
      <x:c r="I7" s="47"/>
      <x:c r="J7" s="47"/>
      <x:c r="K7" s="47"/>
      <x:c r="L7" s="47" t="str">
        <x:f>IF(OR(G7="",J7=""),"",J7-G7)</x:f>
      </x:c>
      <x:c r="M7" s="40" t="n">
        <x:f>IF(A7="","",'00-说明与参数'!$B$7-F7)</x:f>
        <x:v>0</x:v>
      </x:c>
      <x:c r="N7" s="40" t="str">
        <x:v>否</x:v>
      </x:c>
      <x:c r="O7" s="40" t="str"/>
      <x:c r="P7" s="40" t="str">
        <x:v>收票后判断</x:v>
      </x:c>
      <x:c r="Q7" s="40" t="str">
        <x:v>采购</x:v>
      </x:c>
      <x:c r="R7" s="41" t="str">
        <x:v>未开始</x:v>
      </x:c>
    </x:row>
    <x:row r="8">
      <x:c r="A8" s="52"/>
      <x:c r="B8" s="53"/>
      <x:c r="C8" s="53"/>
      <x:c r="D8" s="53"/>
      <x:c r="E8" s="56"/>
      <x:c r="F8" s="56"/>
      <x:c r="G8" s="58"/>
      <x:c r="H8" s="58"/>
      <x:c r="I8" s="58"/>
      <x:c r="J8" s="58"/>
      <x:c r="K8" s="58"/>
      <x:c r="L8" s="58" t="str">
        <x:f>IF(OR(G8="",J8=""),"",J8-G8)</x:f>
      </x:c>
      <x:c r="M8" s="53" t="str">
        <x:f>IF(A8="","",'00-说明与参数'!$B$7-F8)</x:f>
      </x:c>
      <x:c r="N8" s="53"/>
      <x:c r="O8" s="53"/>
      <x:c r="P8" s="53"/>
      <x:c r="Q8" s="53"/>
      <x:c r="R8" s="54"/>
    </x:row>
    <x:row r="9">
      <x:c r="A9" s="39"/>
      <x:c r="B9" s="40"/>
      <x:c r="C9" s="40"/>
      <x:c r="D9" s="40"/>
      <x:c r="E9" s="45"/>
      <x:c r="F9" s="45"/>
      <x:c r="G9" s="47"/>
      <x:c r="H9" s="47"/>
      <x:c r="I9" s="47"/>
      <x:c r="J9" s="47"/>
      <x:c r="K9" s="47"/>
      <x:c r="L9" s="47" t="str">
        <x:f>IF(OR(G9="",J9=""),"",J9-G9)</x:f>
      </x:c>
      <x:c r="M9" s="40" t="str">
        <x:f>IF(A9="","",'00-说明与参数'!$B$7-F9)</x:f>
      </x:c>
      <x:c r="N9" s="40"/>
      <x:c r="O9" s="40"/>
      <x:c r="P9" s="40"/>
      <x:c r="Q9" s="40"/>
      <x:c r="R9" s="41"/>
    </x:row>
    <x:row r="10">
      <x:c r="A10" s="52"/>
      <x:c r="B10" s="53"/>
      <x:c r="C10" s="53"/>
      <x:c r="D10" s="53"/>
      <x:c r="E10" s="56"/>
      <x:c r="F10" s="56"/>
      <x:c r="G10" s="58"/>
      <x:c r="H10" s="58"/>
      <x:c r="I10" s="58"/>
      <x:c r="J10" s="58"/>
      <x:c r="K10" s="58"/>
      <x:c r="L10" s="58" t="str">
        <x:f>IF(OR(G10="",J10=""),"",J10-G10)</x:f>
      </x:c>
      <x:c r="M10" s="53" t="str">
        <x:f>IF(A10="","",'00-说明与参数'!$B$7-F10)</x:f>
      </x:c>
      <x:c r="N10" s="53"/>
      <x:c r="O10" s="53"/>
      <x:c r="P10" s="53"/>
      <x:c r="Q10" s="53"/>
      <x:c r="R10" s="54"/>
    </x:row>
    <x:row r="11">
      <x:c r="A11" s="39"/>
      <x:c r="B11" s="40"/>
      <x:c r="C11" s="40"/>
      <x:c r="D11" s="40"/>
      <x:c r="E11" s="45"/>
      <x:c r="F11" s="45"/>
      <x:c r="G11" s="47"/>
      <x:c r="H11" s="47"/>
      <x:c r="I11" s="47"/>
      <x:c r="J11" s="47"/>
      <x:c r="K11" s="47"/>
      <x:c r="L11" s="47" t="str">
        <x:f>IF(OR(G11="",J11=""),"",J11-G11)</x:f>
      </x:c>
      <x:c r="M11" s="40" t="str">
        <x:f>IF(A11="","",'00-说明与参数'!$B$7-F11)</x:f>
      </x:c>
      <x:c r="N11" s="40"/>
      <x:c r="O11" s="40"/>
      <x:c r="P11" s="40"/>
      <x:c r="Q11" s="40"/>
      <x:c r="R11" s="41"/>
    </x:row>
    <x:row r="12">
      <x:c r="A12" s="52"/>
      <x:c r="B12" s="53"/>
      <x:c r="C12" s="53"/>
      <x:c r="D12" s="53"/>
      <x:c r="E12" s="56"/>
      <x:c r="F12" s="56"/>
      <x:c r="G12" s="58"/>
      <x:c r="H12" s="58"/>
      <x:c r="I12" s="58"/>
      <x:c r="J12" s="58"/>
      <x:c r="K12" s="58"/>
      <x:c r="L12" s="58" t="str">
        <x:f>IF(OR(G12="",J12=""),"",J12-G12)</x:f>
      </x:c>
      <x:c r="M12" s="53" t="str">
        <x:f>IF(A12="","",'00-说明与参数'!$B$7-F12)</x:f>
      </x:c>
      <x:c r="N12" s="53"/>
      <x:c r="O12" s="53"/>
      <x:c r="P12" s="53"/>
      <x:c r="Q12" s="53"/>
      <x:c r="R12" s="54"/>
    </x:row>
    <x:row r="13">
      <x:c r="A13" s="39"/>
      <x:c r="B13" s="40"/>
      <x:c r="C13" s="40"/>
      <x:c r="D13" s="40"/>
      <x:c r="E13" s="45"/>
      <x:c r="F13" s="45"/>
      <x:c r="G13" s="47"/>
      <x:c r="H13" s="47"/>
      <x:c r="I13" s="47"/>
      <x:c r="J13" s="47"/>
      <x:c r="K13" s="47"/>
      <x:c r="L13" s="47" t="str">
        <x:f>IF(OR(G13="",J13=""),"",J13-G13)</x:f>
      </x:c>
      <x:c r="M13" s="40" t="str">
        <x:f>IF(A13="","",'00-说明与参数'!$B$7-F13)</x:f>
      </x:c>
      <x:c r="N13" s="40"/>
      <x:c r="O13" s="40"/>
      <x:c r="P13" s="40"/>
      <x:c r="Q13" s="40"/>
      <x:c r="R13" s="41"/>
    </x:row>
    <x:row r="14">
      <x:c r="A14" s="52"/>
      <x:c r="B14" s="53"/>
      <x:c r="C14" s="53"/>
      <x:c r="D14" s="53"/>
      <x:c r="E14" s="56"/>
      <x:c r="F14" s="56"/>
      <x:c r="G14" s="58"/>
      <x:c r="H14" s="58"/>
      <x:c r="I14" s="58"/>
      <x:c r="J14" s="58"/>
      <x:c r="K14" s="58"/>
      <x:c r="L14" s="58" t="str">
        <x:f>IF(OR(G14="",J14=""),"",J14-G14)</x:f>
      </x:c>
      <x:c r="M14" s="53" t="str">
        <x:f>IF(A14="","",'00-说明与参数'!$B$7-F14)</x:f>
      </x:c>
      <x:c r="N14" s="53"/>
      <x:c r="O14" s="53"/>
      <x:c r="P14" s="53"/>
      <x:c r="Q14" s="53"/>
      <x:c r="R14" s="54"/>
    </x:row>
    <x:row r="15">
      <x:c r="A15" s="39"/>
      <x:c r="B15" s="40"/>
      <x:c r="C15" s="40"/>
      <x:c r="D15" s="40"/>
      <x:c r="E15" s="45"/>
      <x:c r="F15" s="45"/>
      <x:c r="G15" s="47"/>
      <x:c r="H15" s="47"/>
      <x:c r="I15" s="47"/>
      <x:c r="J15" s="47"/>
      <x:c r="K15" s="47"/>
      <x:c r="L15" s="47" t="str">
        <x:f>IF(OR(G15="",J15=""),"",J15-G15)</x:f>
      </x:c>
      <x:c r="M15" s="40" t="str">
        <x:f>IF(A15="","",'00-说明与参数'!$B$7-F15)</x:f>
      </x:c>
      <x:c r="N15" s="40"/>
      <x:c r="O15" s="40"/>
      <x:c r="P15" s="40"/>
      <x:c r="Q15" s="40"/>
      <x:c r="R15" s="41"/>
    </x:row>
    <x:row r="16">
      <x:c r="A16" s="52"/>
      <x:c r="B16" s="53"/>
      <x:c r="C16" s="53"/>
      <x:c r="D16" s="53"/>
      <x:c r="E16" s="56"/>
      <x:c r="F16" s="56"/>
      <x:c r="G16" s="58"/>
      <x:c r="H16" s="58"/>
      <x:c r="I16" s="58"/>
      <x:c r="J16" s="58"/>
      <x:c r="K16" s="58"/>
      <x:c r="L16" s="58" t="str">
        <x:f>IF(OR(G16="",J16=""),"",J16-G16)</x:f>
      </x:c>
      <x:c r="M16" s="53" t="str">
        <x:f>IF(A16="","",'00-说明与参数'!$B$7-F16)</x:f>
      </x:c>
      <x:c r="N16" s="53"/>
      <x:c r="O16" s="53"/>
      <x:c r="P16" s="53"/>
      <x:c r="Q16" s="53"/>
      <x:c r="R16" s="54"/>
    </x:row>
    <x:row r="17">
      <x:c r="A17" s="39"/>
      <x:c r="B17" s="40"/>
      <x:c r="C17" s="40"/>
      <x:c r="D17" s="40"/>
      <x:c r="E17" s="45"/>
      <x:c r="F17" s="45"/>
      <x:c r="G17" s="47"/>
      <x:c r="H17" s="47"/>
      <x:c r="I17" s="47"/>
      <x:c r="J17" s="47"/>
      <x:c r="K17" s="47"/>
      <x:c r="L17" s="47" t="str">
        <x:f>IF(OR(G17="",J17=""),"",J17-G17)</x:f>
      </x:c>
      <x:c r="M17" s="40" t="str">
        <x:f>IF(A17="","",'00-说明与参数'!$B$7-F17)</x:f>
      </x:c>
      <x:c r="N17" s="40"/>
      <x:c r="O17" s="40"/>
      <x:c r="P17" s="40"/>
      <x:c r="Q17" s="40"/>
      <x:c r="R17" s="41"/>
    </x:row>
    <x:row r="18">
      <x:c r="A18" s="52"/>
      <x:c r="B18" s="53"/>
      <x:c r="C18" s="53"/>
      <x:c r="D18" s="53"/>
      <x:c r="E18" s="56"/>
      <x:c r="F18" s="56"/>
      <x:c r="G18" s="58"/>
      <x:c r="H18" s="58"/>
      <x:c r="I18" s="58"/>
      <x:c r="J18" s="58"/>
      <x:c r="K18" s="58"/>
      <x:c r="L18" s="58" t="str">
        <x:f>IF(OR(G18="",J18=""),"",J18-G18)</x:f>
      </x:c>
      <x:c r="M18" s="53" t="str">
        <x:f>IF(A18="","",'00-说明与参数'!$B$7-F18)</x:f>
      </x:c>
      <x:c r="N18" s="53"/>
      <x:c r="O18" s="53"/>
      <x:c r="P18" s="53"/>
      <x:c r="Q18" s="53"/>
      <x:c r="R18" s="54"/>
    </x:row>
    <x:row r="19">
      <x:c r="A19" s="39"/>
      <x:c r="B19" s="40"/>
      <x:c r="C19" s="40"/>
      <x:c r="D19" s="40"/>
      <x:c r="E19" s="45"/>
      <x:c r="F19" s="45"/>
      <x:c r="G19" s="47"/>
      <x:c r="H19" s="47"/>
      <x:c r="I19" s="47"/>
      <x:c r="J19" s="47"/>
      <x:c r="K19" s="47"/>
      <x:c r="L19" s="47" t="str">
        <x:f>IF(OR(G19="",J19=""),"",J19-G19)</x:f>
      </x:c>
      <x:c r="M19" s="40" t="str">
        <x:f>IF(A19="","",'00-说明与参数'!$B$7-F19)</x:f>
      </x:c>
      <x:c r="N19" s="40"/>
      <x:c r="O19" s="40"/>
      <x:c r="P19" s="40"/>
      <x:c r="Q19" s="40"/>
      <x:c r="R19" s="41"/>
    </x:row>
    <x:row r="20">
      <x:c r="A20" s="60"/>
      <x:c r="B20" s="61"/>
      <x:c r="C20" s="61"/>
      <x:c r="D20" s="61"/>
      <x:c r="E20" s="71"/>
      <x:c r="F20" s="71"/>
      <x:c r="G20" s="72"/>
      <x:c r="H20" s="72"/>
      <x:c r="I20" s="72"/>
      <x:c r="J20" s="72"/>
      <x:c r="K20" s="72"/>
      <x:c r="L20" s="72" t="str">
        <x:f>IF(OR(G20="",J20=""),"",J20-G20)</x:f>
      </x:c>
      <x:c r="M20" s="61" t="str">
        <x:f>IF(A20="","",'00-说明与参数'!$B$7-F20)</x:f>
      </x:c>
      <x:c r="N20" s="61"/>
      <x:c r="O20" s="61"/>
      <x:c r="P20" s="61"/>
      <x:c r="Q20" s="61"/>
      <x:c r="R20" s="62"/>
    </x:row>
  </x:sheetData>
  <x:mergeCells>
    <x:mergeCell ref="A1:R1"/>
    <x:mergeCell ref="A2:R2"/>
  </x:mergeCells>
  <x:conditionalFormatting sqref="R6:R20">
    <x:cfRule type="expression" dxfId="10" priority="1">
      <x:formula>INDIRECT("RC",FALSE)="已关闭"</x:formula>
    </x:cfRule>
    <x:cfRule type="expression" dxfId="11" priority="2">
      <x:formula>INDIRECT("RC",FALSE)="进行中"</x:formula>
    </x:cfRule>
    <x:cfRule type="expression" dxfId="12" priority="3">
      <x:formula>INDIRECT("RC",FALSE)="待复核"</x:formula>
    </x:cfRule>
  </x:conditionalFormatting>
  <x:dataValidations count="1">
    <x:dataValidation type="list" sqref="R6:R2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20f90dd31942c4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4" topLeftCell="A1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13" hidden="0" customWidth="1"/>
    <x:col min="5" max="5" width="20" hidden="0" customWidth="1"/>
    <x:col min="6" max="6" width="20" hidden="0" customWidth="1"/>
    <x:col min="7" max="7" width="14" hidden="0" customWidth="1"/>
    <x:col min="8" max="8" width="15" hidden="0" customWidth="1"/>
    <x:col min="9" max="9" width="18" hidden="0" customWidth="1"/>
    <x:col min="10" max="10" width="28" hidden="0" customWidth="1"/>
    <x:col min="11" max="11" width="13" hidden="0" customWidth="1"/>
    <x:col min="12" max="12" width="12" hidden="0" customWidth="1"/>
    <x:col min="13" max="13" width="13" hidden="0" customWidth="1"/>
    <x:col min="14" max="14" width="13" hidden="0" customWidth="1"/>
    <x:col min="15" max="15" width="12" hidden="0" customWidth="1"/>
  </x:cols>
  <x:sheetData>
    <x:row r="1" ht="30" customHeight="1">
      <x:c r="A1" s="80" t="str">
        <x:v>银行余额调节表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</x:row>
    <x:row r="2" ht="24" customHeight="1">
      <x:c r="A2" s="82" t="str">
        <x:v>逐账户调节；长期未达和银行已达企业未达项目必须说明并跟踪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</x:row>
    <x:row r="5" ht="32" customHeight="1">
      <x:c r="A5" s="15" t="str">
        <x:v>企业账面调节</x:v>
      </x:c>
      <x:c r="B5" s="16" t="str">
        <x:v>金额</x:v>
      </x:c>
      <x:c r="C5" s="16" t="str">
        <x:v>说明</x:v>
      </x:c>
      <x:c r="D5" s="16" t="str">
        <x:v>银行对账单调节</x:v>
      </x:c>
      <x:c r="E5" s="16" t="str">
        <x:v>金额</x:v>
      </x:c>
      <x:c r="F5" s="17" t="str">
        <x:v>说明</x:v>
      </x:c>
      <x:c r="G5" s="81"/>
      <x:c r="H5" s="81"/>
      <x:c r="I5" s="81"/>
      <x:c r="J5" s="81"/>
      <x:c r="K5" s="81"/>
      <x:c r="L5" s="81"/>
      <x:c r="M5" s="81"/>
      <x:c r="N5" s="81"/>
      <x:c r="O5" s="81"/>
    </x:row>
    <x:row r="6">
      <x:c r="A6" s="36" t="str">
        <x:v>企业账面余额</x:v>
      </x:c>
      <x:c r="B6" s="73" t="n">
        <x:v>1192</x:v>
      </x:c>
      <x:c r="C6" s="37" t="str">
        <x:v>调整前</x:v>
      </x:c>
      <x:c r="D6" s="37" t="str">
        <x:v>银行对账单余额</x:v>
      </x:c>
      <x:c r="E6" s="73" t="n">
        <x:v>1239.6</x:v>
      </x:c>
      <x:c r="F6" s="38" t="str">
        <x:v>截止日</x:v>
      </x:c>
      <x:c r="G6" s="81"/>
      <x:c r="H6" s="81"/>
      <x:c r="I6" s="81"/>
      <x:c r="J6" s="81"/>
      <x:c r="K6" s="81"/>
      <x:c r="L6" s="81"/>
      <x:c r="M6" s="81"/>
      <x:c r="N6" s="81"/>
      <x:c r="O6" s="81"/>
    </x:row>
    <x:row r="7">
      <x:c r="A7" s="39" t="str">
        <x:v>加：银行已收企业未收</x:v>
      </x:c>
      <x:c r="B7" s="47" t="n">
        <x:v>0</x:v>
      </x:c>
      <x:c r="C7" s="40" t="str"/>
      <x:c r="D7" s="40" t="str">
        <x:v>加：企业已收银行未收</x:v>
      </x:c>
      <x:c r="E7" s="47" t="n">
        <x:v>0</x:v>
      </x:c>
      <x:c r="F7" s="41" t="str"/>
      <x:c r="G7" s="81"/>
      <x:c r="H7" s="81"/>
      <x:c r="I7" s="81"/>
      <x:c r="J7" s="81"/>
      <x:c r="K7" s="81"/>
      <x:c r="L7" s="81"/>
      <x:c r="M7" s="81"/>
      <x:c r="N7" s="81"/>
      <x:c r="O7" s="81"/>
    </x:row>
    <x:row r="8">
      <x:c r="A8" s="39" t="str">
        <x:v>减：银行已付企业未付</x:v>
      </x:c>
      <x:c r="B8" s="47" t="n">
        <x:v>0.2</x:v>
      </x:c>
      <x:c r="C8" s="40" t="str">
        <x:v>手续费</x:v>
      </x:c>
      <x:c r="D8" s="40" t="str">
        <x:v>减：企业已付银行未付</x:v>
      </x:c>
      <x:c r="E8" s="47" t="n">
        <x:v>47.8</x:v>
      </x:c>
      <x:c r="F8" s="41" t="str">
        <x:v>付款在途</x:v>
      </x:c>
      <x:c r="G8" s="81"/>
      <x:c r="H8" s="81"/>
      <x:c r="I8" s="81"/>
      <x:c r="J8" s="81"/>
      <x:c r="K8" s="81"/>
      <x:c r="L8" s="81"/>
      <x:c r="M8" s="81"/>
      <x:c r="N8" s="81"/>
      <x:c r="O8" s="81"/>
    </x:row>
    <x:row r="9">
      <x:c r="A9" s="39" t="str">
        <x:v>调整后企业余额</x:v>
      </x:c>
      <x:c r="B9" s="47" t="n">
        <x:f>B6+B7-B8</x:f>
        <x:v>1191.8</x:v>
      </x:c>
      <x:c r="C9" s="40" t="str">
        <x:v>公式</x:v>
      </x:c>
      <x:c r="D9" s="40" t="str">
        <x:v>调整后银行余额</x:v>
      </x:c>
      <x:c r="E9" s="47" t="n">
        <x:f>E6+E7-E8</x:f>
        <x:v>1191.8</x:v>
      </x:c>
      <x:c r="F9" s="41" t="str">
        <x:v>公式</x:v>
      </x:c>
      <x:c r="G9" s="81"/>
      <x:c r="H9" s="81"/>
      <x:c r="I9" s="81"/>
      <x:c r="J9" s="81"/>
      <x:c r="K9" s="81"/>
      <x:c r="L9" s="81"/>
      <x:c r="M9" s="81"/>
      <x:c r="N9" s="81"/>
      <x:c r="O9" s="81"/>
    </x:row>
    <x:row r="10">
      <x:c r="A10" s="39" t="str">
        <x:v>差异</x:v>
      </x:c>
      <x:c r="B10" s="47" t="n">
        <x:f>B9-E9</x:f>
        <x:v>0</x:v>
      </x:c>
      <x:c r="C10" s="40" t="str">
        <x:v>应为0</x:v>
      </x:c>
      <x:c r="D10" s="40" t="str">
        <x:v>结论</x:v>
      </x:c>
      <x:c r="E10" s="40" t="str">
        <x:f>IF(ABS(B10)&lt;0.001,"一致","检查")</x:f>
        <x:v>一致</x:v>
      </x:c>
      <x:c r="F10" s="41" t="str">
        <x:v>一致/检查</x:v>
      </x:c>
      <x:c r="G10" s="81"/>
      <x:c r="H10" s="81"/>
      <x:c r="I10" s="81"/>
      <x:c r="J10" s="81"/>
      <x:c r="K10" s="81"/>
      <x:c r="L10" s="81"/>
      <x:c r="M10" s="81"/>
      <x:c r="N10" s="81"/>
      <x:c r="O10" s="81"/>
    </x:row>
    <x:row r="11">
      <x:c r="A11" s="42" t="str">
        <x:v>账户</x:v>
      </x:c>
      <x:c r="B11" s="43" t="str">
        <x:v>基本户</x:v>
      </x:c>
      <x:c r="C11" s="43" t="str">
        <x:v>人民币</x:v>
      </x:c>
      <x:c r="D11" s="43" t="str">
        <x:v>结账日</x:v>
      </x:c>
      <x:c r="E11" s="46" t="n">
        <x:v>46234</x:v>
      </x:c>
      <x:c r="F11" s="44" t="str"/>
      <x:c r="G11" s="81"/>
      <x:c r="H11" s="81"/>
      <x:c r="I11" s="81"/>
      <x:c r="J11" s="81"/>
      <x:c r="K11" s="81"/>
      <x:c r="L11" s="81"/>
      <x:c r="M11" s="81"/>
      <x:c r="N11" s="81"/>
      <x:c r="O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</x:row>
    <x:row r="14" ht="32" customHeight="1">
      <x:c r="A14" s="15" t="str">
        <x:v>未达编号</x:v>
      </x:c>
      <x:c r="B14" s="16" t="str">
        <x:v>银行账户</x:v>
      </x:c>
      <x:c r="C14" s="16" t="str">
        <x:v>未达类型</x:v>
      </x:c>
      <x:c r="D14" s="16" t="str">
        <x:v>日期</x:v>
      </x:c>
      <x:c r="E14" s="16" t="str">
        <x:v>摘要</x:v>
      </x:c>
      <x:c r="F14" s="16" t="str">
        <x:v>对方</x:v>
      </x:c>
      <x:c r="G14" s="16" t="str">
        <x:v>金额</x:v>
      </x:c>
      <x:c r="H14" s="16" t="str">
        <x:v>账面凭证</x:v>
      </x:c>
      <x:c r="I14" s="16" t="str">
        <x:v>银行流水号</x:v>
      </x:c>
      <x:c r="J14" s="16" t="str">
        <x:v>形成原因</x:v>
      </x:c>
      <x:c r="K14" s="16" t="str">
        <x:v>是否需入账</x:v>
      </x:c>
      <x:c r="L14" s="16" t="str">
        <x:v>责任人</x:v>
      </x:c>
      <x:c r="M14" s="16" t="str">
        <x:v>预计清理日</x:v>
      </x:c>
      <x:c r="N14" s="16" t="str">
        <x:v>实际清理日</x:v>
      </x:c>
      <x:c r="O14" s="17" t="str">
        <x:v>状态</x:v>
      </x:c>
    </x:row>
    <x:row r="15">
      <x:c r="A15" s="36" t="str">
        <x:v>BR-001</x:v>
      </x:c>
      <x:c r="B15" s="37" t="str">
        <x:v>基本户</x:v>
      </x:c>
      <x:c r="C15" s="37" t="str">
        <x:v>企业已付银行未付</x:v>
      </x:c>
      <x:c r="D15" s="74" t="n">
        <x:v>46234</x:v>
      </x:c>
      <x:c r="E15" s="37" t="str">
        <x:v>材料付款</x:v>
      </x:c>
      <x:c r="F15" s="37" t="str">
        <x:v>精密材料</x:v>
      </x:c>
      <x:c r="G15" s="73" t="n">
        <x:v>47.8</x:v>
      </x:c>
      <x:c r="H15" s="37" t="str">
        <x:v>P260731</x:v>
      </x:c>
      <x:c r="I15" s="37" t="str"/>
      <x:c r="J15" s="37" t="str">
        <x:v>付款批次截止后发送</x:v>
      </x:c>
      <x:c r="K15" s="37" t="str">
        <x:v>否</x:v>
      </x:c>
      <x:c r="L15" s="37" t="str">
        <x:v>资金</x:v>
      </x:c>
      <x:c r="M15" s="74" t="n">
        <x:v>46236</x:v>
      </x:c>
      <x:c r="N15" s="74"/>
      <x:c r="O15" s="38" t="str">
        <x:v>进行中</x:v>
      </x:c>
    </x:row>
    <x:row r="16">
      <x:c r="A16" s="52" t="str">
        <x:v>BR-002</x:v>
      </x:c>
      <x:c r="B16" s="53" t="str">
        <x:v>基本户</x:v>
      </x:c>
      <x:c r="C16" s="53" t="str">
        <x:v>银行已付企业未付</x:v>
      </x:c>
      <x:c r="D16" s="56" t="n">
        <x:v>46234</x:v>
      </x:c>
      <x:c r="E16" s="53" t="str">
        <x:v>手续费</x:v>
      </x:c>
      <x:c r="F16" s="53" t="str">
        <x:v>银行</x:v>
      </x:c>
      <x:c r="G16" s="58" t="n">
        <x:v>0.2</x:v>
      </x:c>
      <x:c r="H16" s="53" t="str"/>
      <x:c r="I16" s="53" t="str">
        <x:v>B260731</x:v>
      </x:c>
      <x:c r="J16" s="53" t="str">
        <x:v>自动扣款接口延迟</x:v>
      </x:c>
      <x:c r="K16" s="53" t="str">
        <x:v>是</x:v>
      </x:c>
      <x:c r="L16" s="53" t="str">
        <x:v>资金</x:v>
      </x:c>
      <x:c r="M16" s="56" t="n">
        <x:v>46235</x:v>
      </x:c>
      <x:c r="N16" s="56" t="n">
        <x:v>46235</x:v>
      </x:c>
      <x:c r="O16" s="54" t="str">
        <x:v>已关闭</x:v>
      </x:c>
    </x:row>
    <x:row r="17">
      <x:c r="A17" s="39"/>
      <x:c r="B17" s="40"/>
      <x:c r="C17" s="40"/>
      <x:c r="D17" s="45"/>
      <x:c r="E17" s="40"/>
      <x:c r="F17" s="40"/>
      <x:c r="G17" s="47"/>
      <x:c r="H17" s="40"/>
      <x:c r="I17" s="40"/>
      <x:c r="J17" s="40"/>
      <x:c r="K17" s="40"/>
      <x:c r="L17" s="40"/>
      <x:c r="M17" s="45"/>
      <x:c r="N17" s="45"/>
      <x:c r="O17" s="41"/>
    </x:row>
    <x:row r="18">
      <x:c r="A18" s="52"/>
      <x:c r="B18" s="53"/>
      <x:c r="C18" s="53"/>
      <x:c r="D18" s="56"/>
      <x:c r="E18" s="53"/>
      <x:c r="F18" s="53"/>
      <x:c r="G18" s="58"/>
      <x:c r="H18" s="53"/>
      <x:c r="I18" s="53"/>
      <x:c r="J18" s="53"/>
      <x:c r="K18" s="53"/>
      <x:c r="L18" s="53"/>
      <x:c r="M18" s="56"/>
      <x:c r="N18" s="56"/>
      <x:c r="O18" s="54"/>
    </x:row>
    <x:row r="19">
      <x:c r="A19" s="39"/>
      <x:c r="B19" s="40"/>
      <x:c r="C19" s="40"/>
      <x:c r="D19" s="45"/>
      <x:c r="E19" s="40"/>
      <x:c r="F19" s="40"/>
      <x:c r="G19" s="47"/>
      <x:c r="H19" s="40"/>
      <x:c r="I19" s="40"/>
      <x:c r="J19" s="40"/>
      <x:c r="K19" s="40"/>
      <x:c r="L19" s="40"/>
      <x:c r="M19" s="45"/>
      <x:c r="N19" s="45"/>
      <x:c r="O19" s="41"/>
    </x:row>
    <x:row r="20">
      <x:c r="A20" s="52"/>
      <x:c r="B20" s="53"/>
      <x:c r="C20" s="53"/>
      <x:c r="D20" s="56"/>
      <x:c r="E20" s="53"/>
      <x:c r="F20" s="53"/>
      <x:c r="G20" s="58"/>
      <x:c r="H20" s="53"/>
      <x:c r="I20" s="53"/>
      <x:c r="J20" s="53"/>
      <x:c r="K20" s="53"/>
      <x:c r="L20" s="53"/>
      <x:c r="M20" s="56"/>
      <x:c r="N20" s="56"/>
      <x:c r="O20" s="54"/>
    </x:row>
    <x:row r="21">
      <x:c r="A21" s="39"/>
      <x:c r="B21" s="40"/>
      <x:c r="C21" s="40"/>
      <x:c r="D21" s="45"/>
      <x:c r="E21" s="40"/>
      <x:c r="F21" s="40"/>
      <x:c r="G21" s="47"/>
      <x:c r="H21" s="40"/>
      <x:c r="I21" s="40"/>
      <x:c r="J21" s="40"/>
      <x:c r="K21" s="40"/>
      <x:c r="L21" s="40"/>
      <x:c r="M21" s="45"/>
      <x:c r="N21" s="45"/>
      <x:c r="O21" s="41"/>
    </x:row>
    <x:row r="22">
      <x:c r="A22" s="52"/>
      <x:c r="B22" s="53"/>
      <x:c r="C22" s="53"/>
      <x:c r="D22" s="56"/>
      <x:c r="E22" s="53"/>
      <x:c r="F22" s="53"/>
      <x:c r="G22" s="58"/>
      <x:c r="H22" s="53"/>
      <x:c r="I22" s="53"/>
      <x:c r="J22" s="53"/>
      <x:c r="K22" s="53"/>
      <x:c r="L22" s="53"/>
      <x:c r="M22" s="56"/>
      <x:c r="N22" s="56"/>
      <x:c r="O22" s="54"/>
    </x:row>
    <x:row r="23">
      <x:c r="A23" s="39"/>
      <x:c r="B23" s="40"/>
      <x:c r="C23" s="40"/>
      <x:c r="D23" s="45"/>
      <x:c r="E23" s="40"/>
      <x:c r="F23" s="40"/>
      <x:c r="G23" s="47"/>
      <x:c r="H23" s="40"/>
      <x:c r="I23" s="40"/>
      <x:c r="J23" s="40"/>
      <x:c r="K23" s="40"/>
      <x:c r="L23" s="40"/>
      <x:c r="M23" s="45"/>
      <x:c r="N23" s="45"/>
      <x:c r="O23" s="41"/>
    </x:row>
    <x:row r="24">
      <x:c r="A24" s="52"/>
      <x:c r="B24" s="53"/>
      <x:c r="C24" s="53"/>
      <x:c r="D24" s="56"/>
      <x:c r="E24" s="53"/>
      <x:c r="F24" s="53"/>
      <x:c r="G24" s="58"/>
      <x:c r="H24" s="53"/>
      <x:c r="I24" s="53"/>
      <x:c r="J24" s="53"/>
      <x:c r="K24" s="53"/>
      <x:c r="L24" s="53"/>
      <x:c r="M24" s="56"/>
      <x:c r="N24" s="56"/>
      <x:c r="O24" s="54"/>
    </x:row>
    <x:row r="25">
      <x:c r="A25" s="42"/>
      <x:c r="B25" s="43"/>
      <x:c r="C25" s="43"/>
      <x:c r="D25" s="46"/>
      <x:c r="E25" s="43"/>
      <x:c r="F25" s="43"/>
      <x:c r="G25" s="59"/>
      <x:c r="H25" s="43"/>
      <x:c r="I25" s="43"/>
      <x:c r="J25" s="43"/>
      <x:c r="K25" s="43"/>
      <x:c r="L25" s="43"/>
      <x:c r="M25" s="46"/>
      <x:c r="N25" s="46"/>
      <x:c r="O25" s="44"/>
    </x:row>
  </x:sheetData>
  <x:mergeCells>
    <x:mergeCell ref="A1:M1"/>
    <x:mergeCell ref="A2:M2"/>
  </x:mergeCells>
  <x:conditionalFormatting sqref="O15:O25">
    <x:cfRule type="expression" dxfId="13" priority="1">
      <x:formula>INDIRECT("RC",FALSE)="已关闭"</x:formula>
    </x:cfRule>
    <x:cfRule type="expression" dxfId="14" priority="2">
      <x:formula>INDIRECT("RC",FALSE)="进行中"</x:formula>
    </x:cfRule>
    <x:cfRule type="expression" dxfId="15" priority="3">
      <x:formula>INDIRECT("RC",FALSE)="待复核"</x:formula>
    </x:cfRule>
  </x:conditionalFormatting>
  <x:dataValidations count="1">
    <x:dataValidation type="list" sqref="O15:O25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7df5cb47be49b8"/>
  </x:tableParts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12" hidden="0" customWidth="1"/>
    <x:col min="11" max="11" width="13" hidden="0" customWidth="1"/>
    <x:col min="12" max="12" width="13" hidden="0" customWidth="1"/>
    <x:col min="13" max="13" width="11" hidden="0" customWidth="1"/>
    <x:col min="14" max="14" width="13" hidden="0" customWidth="1"/>
    <x:col min="15" max="15" width="18" hidden="0" customWidth="1"/>
    <x:col min="16" max="16" width="24" hidden="0" customWidth="1"/>
    <x:col min="17" max="17" width="30" hidden="0" customWidth="1"/>
    <x:col min="18" max="18" width="12" hidden="0" customWidth="1"/>
    <x:col min="19" max="19" width="12" hidden="0" customWidth="1"/>
    <x:col min="20" max="20" width="20" hidden="0" customWidth="1"/>
  </x:cols>
  <x:sheetData>
    <x:row r="1" ht="30" customHeight="1">
      <x:c r="A1" s="80" t="str">
        <x:v>存货及成本差异表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</x:row>
    <x:row r="2" ht="24" customHeight="1">
      <x:c r="A2" s="82" t="str">
        <x:v>数量、单价、金额、仓库、批次和状态共同核对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</x:row>
    <x:row r="5" ht="32" customHeight="1">
      <x:c r="A5" s="15" t="str">
        <x:v>物料编码</x:v>
      </x:c>
      <x:c r="B5" s="16" t="str">
        <x:v>物料名称</x:v>
      </x:c>
      <x:c r="C5" s="16" t="str">
        <x:v>仓库</x:v>
      </x:c>
      <x:c r="D5" s="16" t="str">
        <x:v>存货类别</x:v>
      </x:c>
      <x:c r="E5" s="16" t="str">
        <x:v>财务数量</x:v>
      </x:c>
      <x:c r="F5" s="16" t="str">
        <x:v>仓库数量</x:v>
      </x:c>
      <x:c r="G5" s="16" t="str">
        <x:v>数量差异</x:v>
      </x:c>
      <x:c r="H5" s="16" t="str">
        <x:v>财务金额</x:v>
      </x:c>
      <x:c r="I5" s="16" t="str">
        <x:v>库存模块金额</x:v>
      </x:c>
      <x:c r="J5" s="16" t="str">
        <x:v>金额差异</x:v>
      </x:c>
      <x:c r="K5" s="16" t="str">
        <x:v>标准成本</x:v>
      </x:c>
      <x:c r="L5" s="16" t="str">
        <x:v>实际成本</x:v>
      </x:c>
      <x:c r="M5" s="16" t="str">
        <x:v>负库存</x:v>
      </x:c>
      <x:c r="N5" s="16" t="str">
        <x:v>暂估金额</x:v>
      </x:c>
      <x:c r="O5" s="16" t="str">
        <x:v>盘点结果</x:v>
      </x:c>
      <x:c r="P5" s="16" t="str">
        <x:v>差异原因</x:v>
      </x:c>
      <x:c r="Q5" s="16" t="str">
        <x:v>处理方案</x:v>
      </x:c>
      <x:c r="R5" s="16" t="str">
        <x:v>责任人</x:v>
      </x:c>
      <x:c r="S5" s="16" t="str">
        <x:v>状态</x:v>
      </x:c>
      <x:c r="T5" s="17" t="str">
        <x:v>凭证/证据</x:v>
      </x:c>
    </x:row>
    <x:row r="6">
      <x:c r="A6" s="49" t="str">
        <x:v>M-100</x:v>
      </x:c>
      <x:c r="B6" s="50" t="str">
        <x:v>控制板</x:v>
      </x:c>
      <x:c r="C6" s="50" t="str">
        <x:v>原料仓</x:v>
      </x:c>
      <x:c r="D6" s="50" t="str">
        <x:v>原材料</x:v>
      </x:c>
      <x:c r="E6" s="75" t="n">
        <x:v>9500</x:v>
      </x:c>
      <x:c r="F6" s="75" t="n">
        <x:v>10000</x:v>
      </x:c>
      <x:c r="G6" s="75" t="n">
        <x:f>IF(A6="","",F6-E6)</x:f>
        <x:v>500</x:v>
      </x:c>
      <x:c r="H6" s="57" t="n">
        <x:v>228</x:v>
      </x:c>
      <x:c r="I6" s="57" t="n">
        <x:v>240</x:v>
      </x:c>
      <x:c r="J6" s="57" t="n">
        <x:f>IF(A6="","",I6-H6)</x:f>
        <x:v>12</x:v>
      </x:c>
      <x:c r="K6" s="57" t="n">
        <x:v>0.024</x:v>
      </x:c>
      <x:c r="L6" s="57" t="n">
        <x:v>0.024</x:v>
      </x:c>
      <x:c r="M6" s="57" t="str">
        <x:v>否</x:v>
      </x:c>
      <x:c r="N6" s="57" t="n">
        <x:v>0</x:v>
      </x:c>
      <x:c r="O6" s="50" t="str">
        <x:v>仓多500件</x:v>
      </x:c>
      <x:c r="P6" s="50" t="str">
        <x:v>退料单未审核</x:v>
      </x:c>
      <x:c r="Q6" s="50" t="str">
        <x:v>审核退料单，原料+12在产-12</x:v>
      </x:c>
      <x:c r="R6" s="50" t="str">
        <x:v>成本</x:v>
      </x:c>
      <x:c r="S6" s="50" t="str">
        <x:v>待复核</x:v>
      </x:c>
      <x:c r="T6" s="51" t="str">
        <x:v>RET-0630</x:v>
      </x:c>
    </x:row>
    <x:row r="7">
      <x:c r="A7" s="39" t="str">
        <x:v>FG-200</x:v>
      </x:c>
      <x:c r="B7" s="40" t="str">
        <x:v>智能终端</x:v>
      </x:c>
      <x:c r="C7" s="40" t="str">
        <x:v>成品仓</x:v>
      </x:c>
      <x:c r="D7" s="40" t="str">
        <x:v>库存商品</x:v>
      </x:c>
      <x:c r="E7" s="76" t="n">
        <x:v>200</x:v>
      </x:c>
      <x:c r="F7" s="76" t="n">
        <x:v>200</x:v>
      </x:c>
      <x:c r="G7" s="76" t="n">
        <x:f>IF(A7="","",F7-E7)</x:f>
        <x:v>0</x:v>
      </x:c>
      <x:c r="H7" s="47" t="n">
        <x:v>180</x:v>
      </x:c>
      <x:c r="I7" s="47" t="n">
        <x:v>180</x:v>
      </x:c>
      <x:c r="J7" s="47" t="n">
        <x:f>IF(A7="","",I7-H7)</x:f>
        <x:v>0</x:v>
      </x:c>
      <x:c r="K7" s="47" t="n">
        <x:v>0.9</x:v>
      </x:c>
      <x:c r="L7" s="47" t="n">
        <x:v>0.9</x:v>
      </x:c>
      <x:c r="M7" s="47" t="str">
        <x:v>否</x:v>
      </x:c>
      <x:c r="N7" s="47" t="n">
        <x:v>0</x:v>
      </x:c>
      <x:c r="O7" s="40" t="str">
        <x:v>一致</x:v>
      </x:c>
      <x:c r="P7" s="40" t="str">
        <x:v>无</x:v>
      </x:c>
      <x:c r="Q7" s="40" t="str">
        <x:v>无</x:v>
      </x:c>
      <x:c r="R7" s="40" t="str">
        <x:v>成本</x:v>
      </x:c>
      <x:c r="S7" s="40" t="str">
        <x:v>已关闭</x:v>
      </x:c>
      <x:c r="T7" s="41" t="str">
        <x:v>盘点表</x:v>
      </x:c>
    </x:row>
    <x:row r="8">
      <x:c r="A8" s="52"/>
      <x:c r="B8" s="53"/>
      <x:c r="C8" s="53"/>
      <x:c r="D8" s="53"/>
      <x:c r="E8" s="77"/>
      <x:c r="F8" s="77"/>
      <x:c r="G8" s="77" t="str">
        <x:f>IF(A8="","",F8-E8)</x:f>
      </x:c>
      <x:c r="H8" s="58"/>
      <x:c r="I8" s="58"/>
      <x:c r="J8" s="58" t="str">
        <x:f>IF(A8="","",I8-H8)</x:f>
      </x:c>
      <x:c r="K8" s="58"/>
      <x:c r="L8" s="58"/>
      <x:c r="M8" s="58"/>
      <x:c r="N8" s="58"/>
      <x:c r="O8" s="53"/>
      <x:c r="P8" s="53"/>
      <x:c r="Q8" s="53"/>
      <x:c r="R8" s="53"/>
      <x:c r="S8" s="53"/>
      <x:c r="T8" s="54"/>
    </x:row>
    <x:row r="9">
      <x:c r="A9" s="39"/>
      <x:c r="B9" s="40"/>
      <x:c r="C9" s="40"/>
      <x:c r="D9" s="40"/>
      <x:c r="E9" s="76"/>
      <x:c r="F9" s="76"/>
      <x:c r="G9" s="76" t="str">
        <x:f>IF(A9="","",F9-E9)</x:f>
      </x:c>
      <x:c r="H9" s="47"/>
      <x:c r="I9" s="47"/>
      <x:c r="J9" s="47" t="str">
        <x:f>IF(A9="","",I9-H9)</x:f>
      </x:c>
      <x:c r="K9" s="47"/>
      <x:c r="L9" s="47"/>
      <x:c r="M9" s="47"/>
      <x:c r="N9" s="47"/>
      <x:c r="O9" s="40"/>
      <x:c r="P9" s="40"/>
      <x:c r="Q9" s="40"/>
      <x:c r="R9" s="40"/>
      <x:c r="S9" s="40"/>
      <x:c r="T9" s="41"/>
    </x:row>
    <x:row r="10">
      <x:c r="A10" s="52"/>
      <x:c r="B10" s="53"/>
      <x:c r="C10" s="53"/>
      <x:c r="D10" s="53"/>
      <x:c r="E10" s="77"/>
      <x:c r="F10" s="77"/>
      <x:c r="G10" s="77" t="str">
        <x:f>IF(A10="","",F10-E10)</x:f>
      </x:c>
      <x:c r="H10" s="58"/>
      <x:c r="I10" s="58"/>
      <x:c r="J10" s="58" t="str">
        <x:f>IF(A10="","",I10-H10)</x:f>
      </x:c>
      <x:c r="K10" s="58"/>
      <x:c r="L10" s="58"/>
      <x:c r="M10" s="58"/>
      <x:c r="N10" s="58"/>
      <x:c r="O10" s="53"/>
      <x:c r="P10" s="53"/>
      <x:c r="Q10" s="53"/>
      <x:c r="R10" s="53"/>
      <x:c r="S10" s="53"/>
      <x:c r="T10" s="54"/>
    </x:row>
    <x:row r="11">
      <x:c r="A11" s="39"/>
      <x:c r="B11" s="40"/>
      <x:c r="C11" s="40"/>
      <x:c r="D11" s="40"/>
      <x:c r="E11" s="76"/>
      <x:c r="F11" s="76"/>
      <x:c r="G11" s="76" t="str">
        <x:f>IF(A11="","",F11-E11)</x:f>
      </x:c>
      <x:c r="H11" s="47"/>
      <x:c r="I11" s="47"/>
      <x:c r="J11" s="47" t="str">
        <x:f>IF(A11="","",I11-H11)</x:f>
      </x:c>
      <x:c r="K11" s="47"/>
      <x:c r="L11" s="47"/>
      <x:c r="M11" s="47"/>
      <x:c r="N11" s="47"/>
      <x:c r="O11" s="40"/>
      <x:c r="P11" s="40"/>
      <x:c r="Q11" s="40"/>
      <x:c r="R11" s="40"/>
      <x:c r="S11" s="40"/>
      <x:c r="T11" s="41"/>
    </x:row>
    <x:row r="12">
      <x:c r="A12" s="52"/>
      <x:c r="B12" s="53"/>
      <x:c r="C12" s="53"/>
      <x:c r="D12" s="53"/>
      <x:c r="E12" s="77"/>
      <x:c r="F12" s="77"/>
      <x:c r="G12" s="77" t="str">
        <x:f>IF(A12="","",F12-E12)</x:f>
      </x:c>
      <x:c r="H12" s="58"/>
      <x:c r="I12" s="58"/>
      <x:c r="J12" s="58" t="str">
        <x:f>IF(A12="","",I12-H12)</x:f>
      </x:c>
      <x:c r="K12" s="58"/>
      <x:c r="L12" s="58"/>
      <x:c r="M12" s="58"/>
      <x:c r="N12" s="58"/>
      <x:c r="O12" s="53"/>
      <x:c r="P12" s="53"/>
      <x:c r="Q12" s="53"/>
      <x:c r="R12" s="53"/>
      <x:c r="S12" s="53"/>
      <x:c r="T12" s="54"/>
    </x:row>
    <x:row r="13">
      <x:c r="A13" s="39"/>
      <x:c r="B13" s="40"/>
      <x:c r="C13" s="40"/>
      <x:c r="D13" s="40"/>
      <x:c r="E13" s="76"/>
      <x:c r="F13" s="76"/>
      <x:c r="G13" s="76" t="str">
        <x:f>IF(A13="","",F13-E13)</x:f>
      </x:c>
      <x:c r="H13" s="47"/>
      <x:c r="I13" s="47"/>
      <x:c r="J13" s="47" t="str">
        <x:f>IF(A13="","",I13-H13)</x:f>
      </x:c>
      <x:c r="K13" s="47"/>
      <x:c r="L13" s="47"/>
      <x:c r="M13" s="47"/>
      <x:c r="N13" s="47"/>
      <x:c r="O13" s="40"/>
      <x:c r="P13" s="40"/>
      <x:c r="Q13" s="40"/>
      <x:c r="R13" s="40"/>
      <x:c r="S13" s="40"/>
      <x:c r="T13" s="41"/>
    </x:row>
    <x:row r="14">
      <x:c r="A14" s="52"/>
      <x:c r="B14" s="53"/>
      <x:c r="C14" s="53"/>
      <x:c r="D14" s="53"/>
      <x:c r="E14" s="77"/>
      <x:c r="F14" s="77"/>
      <x:c r="G14" s="77" t="str">
        <x:f>IF(A14="","",F14-E14)</x:f>
      </x:c>
      <x:c r="H14" s="58"/>
      <x:c r="I14" s="58"/>
      <x:c r="J14" s="58" t="str">
        <x:f>IF(A14="","",I14-H14)</x:f>
      </x:c>
      <x:c r="K14" s="58"/>
      <x:c r="L14" s="58"/>
      <x:c r="M14" s="58"/>
      <x:c r="N14" s="58"/>
      <x:c r="O14" s="53"/>
      <x:c r="P14" s="53"/>
      <x:c r="Q14" s="53"/>
      <x:c r="R14" s="53"/>
      <x:c r="S14" s="53"/>
      <x:c r="T14" s="54"/>
    </x:row>
    <x:row r="15">
      <x:c r="A15" s="39"/>
      <x:c r="B15" s="40"/>
      <x:c r="C15" s="40"/>
      <x:c r="D15" s="40"/>
      <x:c r="E15" s="76"/>
      <x:c r="F15" s="76"/>
      <x:c r="G15" s="76" t="str">
        <x:f>IF(A15="","",F15-E15)</x:f>
      </x:c>
      <x:c r="H15" s="47"/>
      <x:c r="I15" s="47"/>
      <x:c r="J15" s="47" t="str">
        <x:f>IF(A15="","",I15-H15)</x:f>
      </x:c>
      <x:c r="K15" s="47"/>
      <x:c r="L15" s="47"/>
      <x:c r="M15" s="47"/>
      <x:c r="N15" s="47"/>
      <x:c r="O15" s="40"/>
      <x:c r="P15" s="40"/>
      <x:c r="Q15" s="40"/>
      <x:c r="R15" s="40"/>
      <x:c r="S15" s="40"/>
      <x:c r="T15" s="41"/>
    </x:row>
    <x:row r="16">
      <x:c r="A16" s="52"/>
      <x:c r="B16" s="53"/>
      <x:c r="C16" s="53"/>
      <x:c r="D16" s="53"/>
      <x:c r="E16" s="77"/>
      <x:c r="F16" s="77"/>
      <x:c r="G16" s="77" t="str">
        <x:f>IF(A16="","",F16-E16)</x:f>
      </x:c>
      <x:c r="H16" s="58"/>
      <x:c r="I16" s="58"/>
      <x:c r="J16" s="58" t="str">
        <x:f>IF(A16="","",I16-H16)</x:f>
      </x:c>
      <x:c r="K16" s="58"/>
      <x:c r="L16" s="58"/>
      <x:c r="M16" s="58"/>
      <x:c r="N16" s="58"/>
      <x:c r="O16" s="53"/>
      <x:c r="P16" s="53"/>
      <x:c r="Q16" s="53"/>
      <x:c r="R16" s="53"/>
      <x:c r="S16" s="53"/>
      <x:c r="T16" s="54"/>
    </x:row>
    <x:row r="17">
      <x:c r="A17" s="39"/>
      <x:c r="B17" s="40"/>
      <x:c r="C17" s="40"/>
      <x:c r="D17" s="40"/>
      <x:c r="E17" s="76"/>
      <x:c r="F17" s="76"/>
      <x:c r="G17" s="76" t="str">
        <x:f>IF(A17="","",F17-E17)</x:f>
      </x:c>
      <x:c r="H17" s="47"/>
      <x:c r="I17" s="47"/>
      <x:c r="J17" s="47" t="str">
        <x:f>IF(A17="","",I17-H17)</x:f>
      </x:c>
      <x:c r="K17" s="47"/>
      <x:c r="L17" s="47"/>
      <x:c r="M17" s="47"/>
      <x:c r="N17" s="47"/>
      <x:c r="O17" s="40"/>
      <x:c r="P17" s="40"/>
      <x:c r="Q17" s="40"/>
      <x:c r="R17" s="40"/>
      <x:c r="S17" s="40"/>
      <x:c r="T17" s="41"/>
    </x:row>
    <x:row r="18">
      <x:c r="A18" s="52"/>
      <x:c r="B18" s="53"/>
      <x:c r="C18" s="53"/>
      <x:c r="D18" s="53"/>
      <x:c r="E18" s="77"/>
      <x:c r="F18" s="77"/>
      <x:c r="G18" s="77" t="str">
        <x:f>IF(A18="","",F18-E18)</x:f>
      </x:c>
      <x:c r="H18" s="58"/>
      <x:c r="I18" s="58"/>
      <x:c r="J18" s="58" t="str">
        <x:f>IF(A18="","",I18-H18)</x:f>
      </x:c>
      <x:c r="K18" s="58"/>
      <x:c r="L18" s="58"/>
      <x:c r="M18" s="58"/>
      <x:c r="N18" s="58"/>
      <x:c r="O18" s="53"/>
      <x:c r="P18" s="53"/>
      <x:c r="Q18" s="53"/>
      <x:c r="R18" s="53"/>
      <x:c r="S18" s="53"/>
      <x:c r="T18" s="54"/>
    </x:row>
    <x:row r="19">
      <x:c r="A19" s="39"/>
      <x:c r="B19" s="40"/>
      <x:c r="C19" s="40"/>
      <x:c r="D19" s="40"/>
      <x:c r="E19" s="76"/>
      <x:c r="F19" s="76"/>
      <x:c r="G19" s="76" t="str">
        <x:f>IF(A19="","",F19-E19)</x:f>
      </x:c>
      <x:c r="H19" s="47"/>
      <x:c r="I19" s="47"/>
      <x:c r="J19" s="47" t="str">
        <x:f>IF(A19="","",I19-H19)</x:f>
      </x:c>
      <x:c r="K19" s="47"/>
      <x:c r="L19" s="47"/>
      <x:c r="M19" s="47"/>
      <x:c r="N19" s="47"/>
      <x:c r="O19" s="40"/>
      <x:c r="P19" s="40"/>
      <x:c r="Q19" s="40"/>
      <x:c r="R19" s="40"/>
      <x:c r="S19" s="40"/>
      <x:c r="T19" s="41"/>
    </x:row>
    <x:row r="20">
      <x:c r="A20" s="60"/>
      <x:c r="B20" s="61"/>
      <x:c r="C20" s="61"/>
      <x:c r="D20" s="61"/>
      <x:c r="E20" s="78"/>
      <x:c r="F20" s="78"/>
      <x:c r="G20" s="78" t="str">
        <x:f>IF(A20="","",F20-E20)</x:f>
      </x:c>
      <x:c r="H20" s="72"/>
      <x:c r="I20" s="72"/>
      <x:c r="J20" s="72" t="str">
        <x:f>IF(A20="","",I20-H20)</x:f>
      </x:c>
      <x:c r="K20" s="72"/>
      <x:c r="L20" s="72"/>
      <x:c r="M20" s="72"/>
      <x:c r="N20" s="72"/>
      <x:c r="O20" s="61"/>
      <x:c r="P20" s="61"/>
      <x:c r="Q20" s="61"/>
      <x:c r="R20" s="61"/>
      <x:c r="S20" s="61"/>
      <x:c r="T20" s="62"/>
    </x:row>
  </x:sheetData>
  <x:mergeCells>
    <x:mergeCell ref="A1:T1"/>
    <x:mergeCell ref="A2:T2"/>
  </x:mergeCells>
  <x:conditionalFormatting sqref="S6:S20">
    <x:cfRule type="expression" dxfId="16" priority="1">
      <x:formula>INDIRECT("RC",FALSE)="已关闭"</x:formula>
    </x:cfRule>
    <x:cfRule type="expression" dxfId="17" priority="2">
      <x:formula>INDIRECT("RC",FALSE)="进行中"</x:formula>
    </x:cfRule>
    <x:cfRule type="expression" dxfId="18" priority="3">
      <x:formula>INDIRECT("RC",FALSE)="待复核"</x:formula>
    </x:cfRule>
  </x:conditionalFormatting>
  <x:conditionalFormatting sqref="G6:G20">
    <x:cfRule type="expression" dxfId="19" priority="4">
      <x:formula>G6&lt;&gt;0</x:formula>
    </x:cfRule>
  </x:conditionalFormatting>
  <x:conditionalFormatting sqref="J6:J20">
    <x:cfRule type="expression" dxfId="20" priority="5">
      <x:formula>J6&lt;&gt;0</x:formula>
    </x:cfRule>
  </x:conditionalFormatting>
  <x:dataValidations count="1">
    <x:dataValidation type="list" sqref="S6:S2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0716473cf745f2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4" hidden="0" customWidth="1"/>
    <x:col min="15" max="15" width="30" hidden="0" customWidth="1"/>
    <x:col min="16" max="16" width="12" hidden="0" customWidth="1"/>
    <x:col min="17" max="17" width="12" hidden="0" customWidth="1"/>
    <x:col min="18" max="18" width="13" hidden="0" customWidth="1"/>
    <x:col min="19" max="19" width="12" hidden="0" customWidth="1"/>
    <x:col min="20" max="20" width="22" hidden="0" customWidth="1"/>
  </x:cols>
  <x:sheetData>
    <x:row r="1" ht="30" customHeight="1">
      <x:c r="A1" s="80" t="str">
        <x:v>资产异常清理表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</x:row>
    <x:row r="2" ht="24" customHeight="1">
      <x:c r="A2" s="82" t="str">
        <x:v>资产卡片、总账、实物和使用状态四方核对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</x:row>
    <x:row r="5" ht="32" customHeight="1">
      <x:c r="A5" s="15" t="str">
        <x:v>资产编号</x:v>
      </x:c>
      <x:c r="B5" s="16" t="str">
        <x:v>资产名称</x:v>
      </x:c>
      <x:c r="C5" s="16" t="str">
        <x:v>资产类别</x:v>
      </x:c>
      <x:c r="D5" s="16" t="str">
        <x:v>购置日期</x:v>
      </x:c>
      <x:c r="E5" s="16" t="str">
        <x:v>达到可用日</x:v>
      </x:c>
      <x:c r="F5" s="16" t="str">
        <x:v>转固日期</x:v>
      </x:c>
      <x:c r="G5" s="16" t="str">
        <x:v>原值</x:v>
      </x:c>
      <x:c r="H5" s="16" t="str">
        <x:v>累计折旧</x:v>
      </x:c>
      <x:c r="I5" s="16" t="str">
        <x:v>在建余额</x:v>
      </x:c>
      <x:c r="J5" s="16" t="str">
        <x:v>使用部门</x:v>
      </x:c>
      <x:c r="K5" s="16" t="str">
        <x:v>实物状态</x:v>
      </x:c>
      <x:c r="L5" s="16" t="str">
        <x:v>卡片状态</x:v>
      </x:c>
      <x:c r="M5" s="16" t="str">
        <x:v>异常类型</x:v>
      </x:c>
      <x:c r="N5" s="16" t="str">
        <x:v>影响金额</x:v>
      </x:c>
      <x:c r="O5" s="16" t="str">
        <x:v>调整方案</x:v>
      </x:c>
      <x:c r="P5" s="16" t="str">
        <x:v>责任人</x:v>
      </x:c>
      <x:c r="Q5" s="16" t="str">
        <x:v>复核人</x:v>
      </x:c>
      <x:c r="R5" s="16" t="str">
        <x:v>计划关闭日</x:v>
      </x:c>
      <x:c r="S5" s="16" t="str">
        <x:v>状态</x:v>
      </x:c>
      <x:c r="T5" s="17" t="str">
        <x:v>证据位置</x:v>
      </x:c>
    </x:row>
    <x:row r="6">
      <x:c r="A6" s="49" t="str">
        <x:v>CIP-002</x:v>
      </x:c>
      <x:c r="B6" s="50" t="str">
        <x:v>自动线二期</x:v>
      </x:c>
      <x:c r="C6" s="50" t="str">
        <x:v>机器设备</x:v>
      </x:c>
      <x:c r="D6" s="55" t="n">
        <x:v>46113</x:v>
      </x:c>
      <x:c r="E6" s="55" t="n">
        <x:v>46204</x:v>
      </x:c>
      <x:c r="F6" s="55"/>
      <x:c r="G6" s="57" t="n">
        <x:v>260</x:v>
      </x:c>
      <x:c r="H6" s="57" t="n">
        <x:v>0</x:v>
      </x:c>
      <x:c r="I6" s="57" t="n">
        <x:v>260</x:v>
      </x:c>
      <x:c r="J6" s="50" t="str">
        <x:v>生产</x:v>
      </x:c>
      <x:c r="K6" s="50" t="str">
        <x:v>在用</x:v>
      </x:c>
      <x:c r="L6" s="50" t="str">
        <x:v>无卡片</x:v>
      </x:c>
      <x:c r="M6" s="50" t="str">
        <x:v>已使用未转固</x:v>
      </x:c>
      <x:c r="N6" s="57" t="n">
        <x:v>260</x:v>
      </x:c>
      <x:c r="O6" s="50" t="str">
        <x:v>转固260并补折旧2</x:v>
      </x:c>
      <x:c r="P6" s="50" t="str">
        <x:v>资产</x:v>
      </x:c>
      <x:c r="Q6" s="50" t="str">
        <x:v>主管</x:v>
      </x:c>
      <x:c r="R6" s="55" t="n">
        <x:v>46238</x:v>
      </x:c>
      <x:c r="S6" s="50" t="str">
        <x:v>进行中</x:v>
      </x:c>
      <x:c r="T6" s="51" t="str">
        <x:v>验收/投产</x:v>
      </x:c>
    </x:row>
    <x:row r="7">
      <x:c r="A7" s="39" t="str">
        <x:v>FA-018</x:v>
      </x:c>
      <x:c r="B7" s="40" t="str">
        <x:v>旧测试仪</x:v>
      </x:c>
      <x:c r="C7" s="40" t="str">
        <x:v>电子设备</x:v>
      </x:c>
      <x:c r="D7" s="45" t="n">
        <x:v>43831</x:v>
      </x:c>
      <x:c r="E7" s="45" t="n">
        <x:v>43831</x:v>
      </x:c>
      <x:c r="F7" s="45" t="n">
        <x:v>43831</x:v>
      </x:c>
      <x:c r="G7" s="47" t="n">
        <x:v>30</x:v>
      </x:c>
      <x:c r="H7" s="47" t="n">
        <x:v>27</x:v>
      </x:c>
      <x:c r="I7" s="47" t="n">
        <x:v>0</x:v>
      </x:c>
      <x:c r="J7" s="40" t="str">
        <x:v>研发</x:v>
      </x:c>
      <x:c r="K7" s="40" t="str">
        <x:v>已报废</x:v>
      </x:c>
      <x:c r="L7" s="40" t="str">
        <x:v>在册</x:v>
      </x:c>
      <x:c r="M7" s="40" t="str">
        <x:v>已报废未清理</x:v>
      </x:c>
      <x:c r="N7" s="47" t="n">
        <x:v>3</x:v>
      </x:c>
      <x:c r="O7" s="40" t="str">
        <x:v>取得审批后转清理</x:v>
      </x:c>
      <x:c r="P7" s="40" t="str">
        <x:v>资产</x:v>
      </x:c>
      <x:c r="Q7" s="40" t="str">
        <x:v>主管</x:v>
      </x:c>
      <x:c r="R7" s="45" t="n">
        <x:v>46249</x:v>
      </x:c>
      <x:c r="S7" s="40" t="str">
        <x:v>未开始</x:v>
      </x:c>
      <x:c r="T7" s="41" t="str">
        <x:v>报废申请</x:v>
      </x:c>
    </x:row>
    <x:row r="8">
      <x:c r="A8" s="52"/>
      <x:c r="B8" s="53"/>
      <x:c r="C8" s="53"/>
      <x:c r="D8" s="56"/>
      <x:c r="E8" s="56"/>
      <x:c r="F8" s="56"/>
      <x:c r="G8" s="58"/>
      <x:c r="H8" s="58"/>
      <x:c r="I8" s="58"/>
      <x:c r="J8" s="53"/>
      <x:c r="K8" s="53"/>
      <x:c r="L8" s="53"/>
      <x:c r="M8" s="53"/>
      <x:c r="N8" s="58"/>
      <x:c r="O8" s="53"/>
      <x:c r="P8" s="53"/>
      <x:c r="Q8" s="53"/>
      <x:c r="R8" s="56"/>
      <x:c r="S8" s="53"/>
      <x:c r="T8" s="54"/>
    </x:row>
    <x:row r="9">
      <x:c r="A9" s="39"/>
      <x:c r="B9" s="40"/>
      <x:c r="C9" s="40"/>
      <x:c r="D9" s="45"/>
      <x:c r="E9" s="45"/>
      <x:c r="F9" s="45"/>
      <x:c r="G9" s="47"/>
      <x:c r="H9" s="47"/>
      <x:c r="I9" s="47"/>
      <x:c r="J9" s="40"/>
      <x:c r="K9" s="40"/>
      <x:c r="L9" s="40"/>
      <x:c r="M9" s="40"/>
      <x:c r="N9" s="47"/>
      <x:c r="O9" s="40"/>
      <x:c r="P9" s="40"/>
      <x:c r="Q9" s="40"/>
      <x:c r="R9" s="45"/>
      <x:c r="S9" s="40"/>
      <x:c r="T9" s="41"/>
    </x:row>
    <x:row r="10">
      <x:c r="A10" s="52"/>
      <x:c r="B10" s="53"/>
      <x:c r="C10" s="53"/>
      <x:c r="D10" s="56"/>
      <x:c r="E10" s="56"/>
      <x:c r="F10" s="56"/>
      <x:c r="G10" s="58"/>
      <x:c r="H10" s="58"/>
      <x:c r="I10" s="58"/>
      <x:c r="J10" s="53"/>
      <x:c r="K10" s="53"/>
      <x:c r="L10" s="53"/>
      <x:c r="M10" s="53"/>
      <x:c r="N10" s="58"/>
      <x:c r="O10" s="53"/>
      <x:c r="P10" s="53"/>
      <x:c r="Q10" s="53"/>
      <x:c r="R10" s="56"/>
      <x:c r="S10" s="53"/>
      <x:c r="T10" s="54"/>
    </x:row>
    <x:row r="11">
      <x:c r="A11" s="39"/>
      <x:c r="B11" s="40"/>
      <x:c r="C11" s="40"/>
      <x:c r="D11" s="45"/>
      <x:c r="E11" s="45"/>
      <x:c r="F11" s="45"/>
      <x:c r="G11" s="47"/>
      <x:c r="H11" s="47"/>
      <x:c r="I11" s="47"/>
      <x:c r="J11" s="40"/>
      <x:c r="K11" s="40"/>
      <x:c r="L11" s="40"/>
      <x:c r="M11" s="40"/>
      <x:c r="N11" s="47"/>
      <x:c r="O11" s="40"/>
      <x:c r="P11" s="40"/>
      <x:c r="Q11" s="40"/>
      <x:c r="R11" s="45"/>
      <x:c r="S11" s="40"/>
      <x:c r="T11" s="41"/>
    </x:row>
    <x:row r="12">
      <x:c r="A12" s="52"/>
      <x:c r="B12" s="53"/>
      <x:c r="C12" s="53"/>
      <x:c r="D12" s="56"/>
      <x:c r="E12" s="56"/>
      <x:c r="F12" s="56"/>
      <x:c r="G12" s="58"/>
      <x:c r="H12" s="58"/>
      <x:c r="I12" s="58"/>
      <x:c r="J12" s="53"/>
      <x:c r="K12" s="53"/>
      <x:c r="L12" s="53"/>
      <x:c r="M12" s="53"/>
      <x:c r="N12" s="58"/>
      <x:c r="O12" s="53"/>
      <x:c r="P12" s="53"/>
      <x:c r="Q12" s="53"/>
      <x:c r="R12" s="56"/>
      <x:c r="S12" s="53"/>
      <x:c r="T12" s="54"/>
    </x:row>
    <x:row r="13">
      <x:c r="A13" s="39"/>
      <x:c r="B13" s="40"/>
      <x:c r="C13" s="40"/>
      <x:c r="D13" s="45"/>
      <x:c r="E13" s="45"/>
      <x:c r="F13" s="45"/>
      <x:c r="G13" s="47"/>
      <x:c r="H13" s="47"/>
      <x:c r="I13" s="47"/>
      <x:c r="J13" s="40"/>
      <x:c r="K13" s="40"/>
      <x:c r="L13" s="40"/>
      <x:c r="M13" s="40"/>
      <x:c r="N13" s="47"/>
      <x:c r="O13" s="40"/>
      <x:c r="P13" s="40"/>
      <x:c r="Q13" s="40"/>
      <x:c r="R13" s="45"/>
      <x:c r="S13" s="40"/>
      <x:c r="T13" s="41"/>
    </x:row>
    <x:row r="14">
      <x:c r="A14" s="52"/>
      <x:c r="B14" s="53"/>
      <x:c r="C14" s="53"/>
      <x:c r="D14" s="56"/>
      <x:c r="E14" s="56"/>
      <x:c r="F14" s="56"/>
      <x:c r="G14" s="58"/>
      <x:c r="H14" s="58"/>
      <x:c r="I14" s="58"/>
      <x:c r="J14" s="53"/>
      <x:c r="K14" s="53"/>
      <x:c r="L14" s="53"/>
      <x:c r="M14" s="53"/>
      <x:c r="N14" s="58"/>
      <x:c r="O14" s="53"/>
      <x:c r="P14" s="53"/>
      <x:c r="Q14" s="53"/>
      <x:c r="R14" s="56"/>
      <x:c r="S14" s="53"/>
      <x:c r="T14" s="54"/>
    </x:row>
    <x:row r="15">
      <x:c r="A15" s="39"/>
      <x:c r="B15" s="40"/>
      <x:c r="C15" s="40"/>
      <x:c r="D15" s="45"/>
      <x:c r="E15" s="45"/>
      <x:c r="F15" s="45"/>
      <x:c r="G15" s="47"/>
      <x:c r="H15" s="47"/>
      <x:c r="I15" s="47"/>
      <x:c r="J15" s="40"/>
      <x:c r="K15" s="40"/>
      <x:c r="L15" s="40"/>
      <x:c r="M15" s="40"/>
      <x:c r="N15" s="47"/>
      <x:c r="O15" s="40"/>
      <x:c r="P15" s="40"/>
      <x:c r="Q15" s="40"/>
      <x:c r="R15" s="45"/>
      <x:c r="S15" s="40"/>
      <x:c r="T15" s="41"/>
    </x:row>
    <x:row r="16">
      <x:c r="A16" s="52"/>
      <x:c r="B16" s="53"/>
      <x:c r="C16" s="53"/>
      <x:c r="D16" s="56"/>
      <x:c r="E16" s="56"/>
      <x:c r="F16" s="56"/>
      <x:c r="G16" s="58"/>
      <x:c r="H16" s="58"/>
      <x:c r="I16" s="58"/>
      <x:c r="J16" s="53"/>
      <x:c r="K16" s="53"/>
      <x:c r="L16" s="53"/>
      <x:c r="M16" s="53"/>
      <x:c r="N16" s="58"/>
      <x:c r="O16" s="53"/>
      <x:c r="P16" s="53"/>
      <x:c r="Q16" s="53"/>
      <x:c r="R16" s="56"/>
      <x:c r="S16" s="53"/>
      <x:c r="T16" s="54"/>
    </x:row>
    <x:row r="17">
      <x:c r="A17" s="39"/>
      <x:c r="B17" s="40"/>
      <x:c r="C17" s="40"/>
      <x:c r="D17" s="45"/>
      <x:c r="E17" s="45"/>
      <x:c r="F17" s="45"/>
      <x:c r="G17" s="47"/>
      <x:c r="H17" s="47"/>
      <x:c r="I17" s="47"/>
      <x:c r="J17" s="40"/>
      <x:c r="K17" s="40"/>
      <x:c r="L17" s="40"/>
      <x:c r="M17" s="40"/>
      <x:c r="N17" s="47"/>
      <x:c r="O17" s="40"/>
      <x:c r="P17" s="40"/>
      <x:c r="Q17" s="40"/>
      <x:c r="R17" s="45"/>
      <x:c r="S17" s="40"/>
      <x:c r="T17" s="41"/>
    </x:row>
    <x:row r="18">
      <x:c r="A18" s="52"/>
      <x:c r="B18" s="53"/>
      <x:c r="C18" s="53"/>
      <x:c r="D18" s="56"/>
      <x:c r="E18" s="56"/>
      <x:c r="F18" s="56"/>
      <x:c r="G18" s="58"/>
      <x:c r="H18" s="58"/>
      <x:c r="I18" s="58"/>
      <x:c r="J18" s="53"/>
      <x:c r="K18" s="53"/>
      <x:c r="L18" s="53"/>
      <x:c r="M18" s="53"/>
      <x:c r="N18" s="58"/>
      <x:c r="O18" s="53"/>
      <x:c r="P18" s="53"/>
      <x:c r="Q18" s="53"/>
      <x:c r="R18" s="56"/>
      <x:c r="S18" s="53"/>
      <x:c r="T18" s="54"/>
    </x:row>
    <x:row r="19">
      <x:c r="A19" s="39"/>
      <x:c r="B19" s="40"/>
      <x:c r="C19" s="40"/>
      <x:c r="D19" s="45"/>
      <x:c r="E19" s="45"/>
      <x:c r="F19" s="45"/>
      <x:c r="G19" s="47"/>
      <x:c r="H19" s="47"/>
      <x:c r="I19" s="47"/>
      <x:c r="J19" s="40"/>
      <x:c r="K19" s="40"/>
      <x:c r="L19" s="40"/>
      <x:c r="M19" s="40"/>
      <x:c r="N19" s="47"/>
      <x:c r="O19" s="40"/>
      <x:c r="P19" s="40"/>
      <x:c r="Q19" s="40"/>
      <x:c r="R19" s="45"/>
      <x:c r="S19" s="40"/>
      <x:c r="T19" s="41"/>
    </x:row>
    <x:row r="20">
      <x:c r="A20" s="60"/>
      <x:c r="B20" s="61"/>
      <x:c r="C20" s="61"/>
      <x:c r="D20" s="71"/>
      <x:c r="E20" s="71"/>
      <x:c r="F20" s="71"/>
      <x:c r="G20" s="72"/>
      <x:c r="H20" s="72"/>
      <x:c r="I20" s="72"/>
      <x:c r="J20" s="61"/>
      <x:c r="K20" s="61"/>
      <x:c r="L20" s="61"/>
      <x:c r="M20" s="61"/>
      <x:c r="N20" s="72"/>
      <x:c r="O20" s="61"/>
      <x:c r="P20" s="61"/>
      <x:c r="Q20" s="61"/>
      <x:c r="R20" s="71"/>
      <x:c r="S20" s="61"/>
      <x:c r="T20" s="62"/>
    </x:row>
  </x:sheetData>
  <x:mergeCells>
    <x:mergeCell ref="A1:T1"/>
    <x:mergeCell ref="A2:T2"/>
  </x:mergeCells>
  <x:conditionalFormatting sqref="S6:S20">
    <x:cfRule type="expression" dxfId="21" priority="1">
      <x:formula>INDIRECT("RC",FALSE)="已关闭"</x:formula>
    </x:cfRule>
    <x:cfRule type="expression" dxfId="22" priority="2">
      <x:formula>INDIRECT("RC",FALSE)="进行中"</x:formula>
    </x:cfRule>
    <x:cfRule type="expression" dxfId="23" priority="3">
      <x:formula>INDIRECT("RC",FALSE)="待复核"</x:formula>
    </x:cfRule>
  </x:conditionalFormatting>
  <x:dataValidations count="1">
    <x:dataValidation type="list" sqref="S6:S2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c6a08b071d46cb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3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30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30" customHeight="1">
      <x:c r="A1" s="80" t="str">
        <x:v>账税差异表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</x:row>
    <x:row r="2" ht="24" customHeight="1">
      <x:c r="A2" s="82" t="str">
        <x:v>业务—发票—总账—税务底稿—申报表—缴款可追溯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</x:row>
    <x:row r="5" ht="32" customHeight="1">
      <x:c r="A5" s="15" t="str">
        <x:v>编号</x:v>
      </x:c>
      <x:c r="B5" s="16" t="str">
        <x:v>税种</x:v>
      </x:c>
      <x:c r="C5" s="16" t="str">
        <x:v>所属期</x:v>
      </x:c>
      <x:c r="D5" s="16" t="str">
        <x:v>核对项目</x:v>
      </x:c>
      <x:c r="E5" s="16" t="str">
        <x:v>业务数据</x:v>
      </x:c>
      <x:c r="F5" s="16" t="str">
        <x:v>发票数据</x:v>
      </x:c>
      <x:c r="G5" s="16" t="str">
        <x:v>账务数据</x:v>
      </x:c>
      <x:c r="H5" s="16" t="str">
        <x:v>申报数据</x:v>
      </x:c>
      <x:c r="I5" s="16" t="str">
        <x:v>差异金额</x:v>
      </x:c>
      <x:c r="J5" s="16" t="str">
        <x:v>差异类型</x:v>
      </x:c>
      <x:c r="K5" s="16" t="str">
        <x:v>形成原因</x:v>
      </x:c>
      <x:c r="L5" s="16" t="str">
        <x:v>是否合理</x:v>
      </x:c>
      <x:c r="M5" s="16" t="str">
        <x:v>是否调账</x:v>
      </x:c>
      <x:c r="N5" s="16" t="str">
        <x:v>是否更正申报</x:v>
      </x:c>
      <x:c r="O5" s="16" t="str">
        <x:v>税款影响</x:v>
      </x:c>
      <x:c r="P5" s="16" t="str">
        <x:v>责任人</x:v>
      </x:c>
      <x:c r="Q5" s="16" t="str">
        <x:v>复核人</x:v>
      </x:c>
      <x:c r="R5" s="17" t="str">
        <x:v>状态</x:v>
      </x:c>
    </x:row>
    <x:row r="6">
      <x:c r="A6" s="49" t="str">
        <x:v>TX-001</x:v>
      </x:c>
      <x:c r="B6" s="50" t="str">
        <x:v>增值税</x:v>
      </x:c>
      <x:c r="C6" s="55" t="n">
        <x:v>46234</x:v>
      </x:c>
      <x:c r="D6" s="50" t="str">
        <x:v>进项转出</x:v>
      </x:c>
      <x:c r="E6" s="57" t="n">
        <x:v>2.6</x:v>
      </x:c>
      <x:c r="F6" s="57" t="n">
        <x:v>2.6</x:v>
      </x:c>
      <x:c r="G6" s="57" t="n">
        <x:v>0</x:v>
      </x:c>
      <x:c r="H6" s="57" t="n">
        <x:v>2.6</x:v>
      </x:c>
      <x:c r="I6" s="57" t="n">
        <x:f>IF(A6="","",G6-H6)</x:f>
        <x:v>-2.6</x:v>
      </x:c>
      <x:c r="J6" s="50" t="str">
        <x:v>账务遗漏</x:v>
      </x:c>
      <x:c r="K6" s="50" t="str">
        <x:v>福利领料未转出</x:v>
      </x:c>
      <x:c r="L6" s="50" t="str">
        <x:v>否</x:v>
      </x:c>
      <x:c r="M6" s="50" t="str">
        <x:v>是</x:v>
      </x:c>
      <x:c r="N6" s="50" t="str">
        <x:v>否</x:v>
      </x:c>
      <x:c r="O6" s="57" t="n">
        <x:v>2.6</x:v>
      </x:c>
      <x:c r="P6" s="50" t="str">
        <x:v>税务</x:v>
      </x:c>
      <x:c r="Q6" s="50" t="str">
        <x:v>主管</x:v>
      </x:c>
      <x:c r="R6" s="51" t="str">
        <x:v>进行中</x:v>
      </x:c>
    </x:row>
    <x:row r="7">
      <x:c r="A7" s="39" t="str">
        <x:v>TX-002</x:v>
      </x:c>
      <x:c r="B7" s="40" t="str">
        <x:v>企业所得税</x:v>
      </x:c>
      <x:c r="C7" s="45" t="n">
        <x:v>46295</x:v>
      </x:c>
      <x:c r="D7" s="40" t="str">
        <x:v>预付减值</x:v>
      </x:c>
      <x:c r="E7" s="47" t="n">
        <x:v>24</x:v>
      </x:c>
      <x:c r="F7" s="47" t="n">
        <x:v>0</x:v>
      </x:c>
      <x:c r="G7" s="47" t="n">
        <x:v>24</x:v>
      </x:c>
      <x:c r="H7" s="47" t="n">
        <x:v>0</x:v>
      </x:c>
      <x:c r="I7" s="47" t="n">
        <x:f>IF(A7="","",G7-H7)</x:f>
        <x:v>24</x:v>
      </x:c>
      <x:c r="J7" s="40" t="str">
        <x:v>税会差异</x:v>
      </x:c>
      <x:c r="K7" s="40" t="str">
        <x:v>会计计提未实际损失</x:v>
      </x:c>
      <x:c r="L7" s="40" t="str">
        <x:v>是</x:v>
      </x:c>
      <x:c r="M7" s="40" t="str">
        <x:v>否</x:v>
      </x:c>
      <x:c r="N7" s="40" t="str">
        <x:v>否</x:v>
      </x:c>
      <x:c r="O7" s="47" t="n">
        <x:v>6</x:v>
      </x:c>
      <x:c r="P7" s="40" t="str">
        <x:v>税务</x:v>
      </x:c>
      <x:c r="Q7" s="40" t="str">
        <x:v>主管</x:v>
      </x:c>
      <x:c r="R7" s="41" t="str">
        <x:v>待复核</x:v>
      </x:c>
    </x:row>
    <x:row r="8">
      <x:c r="A8" s="52" t="str">
        <x:v>TX-003</x:v>
      </x:c>
      <x:c r="B8" s="53" t="str">
        <x:v>企业所得税</x:v>
      </x:c>
      <x:c r="C8" s="56" t="n">
        <x:v>46295</x:v>
      </x:c>
      <x:c r="D8" s="53" t="str">
        <x:v>员工借款减值</x:v>
      </x:c>
      <x:c r="E8" s="58" t="n">
        <x:v>9</x:v>
      </x:c>
      <x:c r="F8" s="58" t="n">
        <x:v>0</x:v>
      </x:c>
      <x:c r="G8" s="58" t="n">
        <x:v>9</x:v>
      </x:c>
      <x:c r="H8" s="58" t="n">
        <x:v>0</x:v>
      </x:c>
      <x:c r="I8" s="58" t="n">
        <x:f>IF(A8="","",G8-H8)</x:f>
        <x:v>9</x:v>
      </x:c>
      <x:c r="J8" s="53" t="str">
        <x:v>税会差异</x:v>
      </x:c>
      <x:c r="K8" s="53" t="str">
        <x:v>会计减值未满足实际损失</x:v>
      </x:c>
      <x:c r="L8" s="53" t="str">
        <x:v>是</x:v>
      </x:c>
      <x:c r="M8" s="53" t="str">
        <x:v>否</x:v>
      </x:c>
      <x:c r="N8" s="53" t="str">
        <x:v>否</x:v>
      </x:c>
      <x:c r="O8" s="58" t="n">
        <x:v>2.25</x:v>
      </x:c>
      <x:c r="P8" s="53" t="str">
        <x:v>税务</x:v>
      </x:c>
      <x:c r="Q8" s="53" t="str">
        <x:v>主管</x:v>
      </x:c>
      <x:c r="R8" s="54" t="str">
        <x:v>待复核</x:v>
      </x:c>
    </x:row>
    <x:row r="9">
      <x:c r="A9" s="39"/>
      <x:c r="B9" s="40"/>
      <x:c r="C9" s="45"/>
      <x:c r="D9" s="40"/>
      <x:c r="E9" s="47"/>
      <x:c r="F9" s="47"/>
      <x:c r="G9" s="47"/>
      <x:c r="H9" s="47"/>
      <x:c r="I9" s="47" t="str">
        <x:f>IF(A9="","",G9-H9)</x:f>
      </x:c>
      <x:c r="J9" s="40"/>
      <x:c r="K9" s="40"/>
      <x:c r="L9" s="40"/>
      <x:c r="M9" s="40"/>
      <x:c r="N9" s="40"/>
      <x:c r="O9" s="47"/>
      <x:c r="P9" s="40"/>
      <x:c r="Q9" s="40"/>
      <x:c r="R9" s="41"/>
    </x:row>
    <x:row r="10">
      <x:c r="A10" s="52"/>
      <x:c r="B10" s="53"/>
      <x:c r="C10" s="56"/>
      <x:c r="D10" s="53"/>
      <x:c r="E10" s="58"/>
      <x:c r="F10" s="58"/>
      <x:c r="G10" s="58"/>
      <x:c r="H10" s="58"/>
      <x:c r="I10" s="58" t="str">
        <x:f>IF(A10="","",G10-H10)</x:f>
      </x:c>
      <x:c r="J10" s="53"/>
      <x:c r="K10" s="53"/>
      <x:c r="L10" s="53"/>
      <x:c r="M10" s="53"/>
      <x:c r="N10" s="53"/>
      <x:c r="O10" s="58"/>
      <x:c r="P10" s="53"/>
      <x:c r="Q10" s="53"/>
      <x:c r="R10" s="54"/>
    </x:row>
    <x:row r="11">
      <x:c r="A11" s="39"/>
      <x:c r="B11" s="40"/>
      <x:c r="C11" s="45"/>
      <x:c r="D11" s="40"/>
      <x:c r="E11" s="47"/>
      <x:c r="F11" s="47"/>
      <x:c r="G11" s="47"/>
      <x:c r="H11" s="47"/>
      <x:c r="I11" s="47" t="str">
        <x:f>IF(A11="","",G11-H11)</x:f>
      </x:c>
      <x:c r="J11" s="40"/>
      <x:c r="K11" s="40"/>
      <x:c r="L11" s="40"/>
      <x:c r="M11" s="40"/>
      <x:c r="N11" s="40"/>
      <x:c r="O11" s="47"/>
      <x:c r="P11" s="40"/>
      <x:c r="Q11" s="40"/>
      <x:c r="R11" s="41"/>
    </x:row>
    <x:row r="12">
      <x:c r="A12" s="52"/>
      <x:c r="B12" s="53"/>
      <x:c r="C12" s="56"/>
      <x:c r="D12" s="53"/>
      <x:c r="E12" s="58"/>
      <x:c r="F12" s="58"/>
      <x:c r="G12" s="58"/>
      <x:c r="H12" s="58"/>
      <x:c r="I12" s="58" t="str">
        <x:f>IF(A12="","",G12-H12)</x:f>
      </x:c>
      <x:c r="J12" s="53"/>
      <x:c r="K12" s="53"/>
      <x:c r="L12" s="53"/>
      <x:c r="M12" s="53"/>
      <x:c r="N12" s="53"/>
      <x:c r="O12" s="58"/>
      <x:c r="P12" s="53"/>
      <x:c r="Q12" s="53"/>
      <x:c r="R12" s="54"/>
    </x:row>
    <x:row r="13">
      <x:c r="A13" s="39"/>
      <x:c r="B13" s="40"/>
      <x:c r="C13" s="45"/>
      <x:c r="D13" s="40"/>
      <x:c r="E13" s="47"/>
      <x:c r="F13" s="47"/>
      <x:c r="G13" s="47"/>
      <x:c r="H13" s="47"/>
      <x:c r="I13" s="47" t="str">
        <x:f>IF(A13="","",G13-H13)</x:f>
      </x:c>
      <x:c r="J13" s="40"/>
      <x:c r="K13" s="40"/>
      <x:c r="L13" s="40"/>
      <x:c r="M13" s="40"/>
      <x:c r="N13" s="40"/>
      <x:c r="O13" s="47"/>
      <x:c r="P13" s="40"/>
      <x:c r="Q13" s="40"/>
      <x:c r="R13" s="41"/>
    </x:row>
    <x:row r="14">
      <x:c r="A14" s="52"/>
      <x:c r="B14" s="53"/>
      <x:c r="C14" s="56"/>
      <x:c r="D14" s="53"/>
      <x:c r="E14" s="58"/>
      <x:c r="F14" s="58"/>
      <x:c r="G14" s="58"/>
      <x:c r="H14" s="58"/>
      <x:c r="I14" s="58" t="str">
        <x:f>IF(A14="","",G14-H14)</x:f>
      </x:c>
      <x:c r="J14" s="53"/>
      <x:c r="K14" s="53"/>
      <x:c r="L14" s="53"/>
      <x:c r="M14" s="53"/>
      <x:c r="N14" s="53"/>
      <x:c r="O14" s="58"/>
      <x:c r="P14" s="53"/>
      <x:c r="Q14" s="53"/>
      <x:c r="R14" s="54"/>
    </x:row>
    <x:row r="15">
      <x:c r="A15" s="39"/>
      <x:c r="B15" s="40"/>
      <x:c r="C15" s="45"/>
      <x:c r="D15" s="40"/>
      <x:c r="E15" s="47"/>
      <x:c r="F15" s="47"/>
      <x:c r="G15" s="47"/>
      <x:c r="H15" s="47"/>
      <x:c r="I15" s="47" t="str">
        <x:f>IF(A15="","",G15-H15)</x:f>
      </x:c>
      <x:c r="J15" s="40"/>
      <x:c r="K15" s="40"/>
      <x:c r="L15" s="40"/>
      <x:c r="M15" s="40"/>
      <x:c r="N15" s="40"/>
      <x:c r="O15" s="47"/>
      <x:c r="P15" s="40"/>
      <x:c r="Q15" s="40"/>
      <x:c r="R15" s="41"/>
    </x:row>
    <x:row r="16">
      <x:c r="A16" s="52"/>
      <x:c r="B16" s="53"/>
      <x:c r="C16" s="56"/>
      <x:c r="D16" s="53"/>
      <x:c r="E16" s="58"/>
      <x:c r="F16" s="58"/>
      <x:c r="G16" s="58"/>
      <x:c r="H16" s="58"/>
      <x:c r="I16" s="58" t="str">
        <x:f>IF(A16="","",G16-H16)</x:f>
      </x:c>
      <x:c r="J16" s="53"/>
      <x:c r="K16" s="53"/>
      <x:c r="L16" s="53"/>
      <x:c r="M16" s="53"/>
      <x:c r="N16" s="53"/>
      <x:c r="O16" s="58"/>
      <x:c r="P16" s="53"/>
      <x:c r="Q16" s="53"/>
      <x:c r="R16" s="54"/>
    </x:row>
    <x:row r="17">
      <x:c r="A17" s="39"/>
      <x:c r="B17" s="40"/>
      <x:c r="C17" s="45"/>
      <x:c r="D17" s="40"/>
      <x:c r="E17" s="47"/>
      <x:c r="F17" s="47"/>
      <x:c r="G17" s="47"/>
      <x:c r="H17" s="47"/>
      <x:c r="I17" s="47" t="str">
        <x:f>IF(A17="","",G17-H17)</x:f>
      </x:c>
      <x:c r="J17" s="40"/>
      <x:c r="K17" s="40"/>
      <x:c r="L17" s="40"/>
      <x:c r="M17" s="40"/>
      <x:c r="N17" s="40"/>
      <x:c r="O17" s="47"/>
      <x:c r="P17" s="40"/>
      <x:c r="Q17" s="40"/>
      <x:c r="R17" s="41"/>
    </x:row>
    <x:row r="18">
      <x:c r="A18" s="52"/>
      <x:c r="B18" s="53"/>
      <x:c r="C18" s="56"/>
      <x:c r="D18" s="53"/>
      <x:c r="E18" s="58"/>
      <x:c r="F18" s="58"/>
      <x:c r="G18" s="58"/>
      <x:c r="H18" s="58"/>
      <x:c r="I18" s="58" t="str">
        <x:f>IF(A18="","",G18-H18)</x:f>
      </x:c>
      <x:c r="J18" s="53"/>
      <x:c r="K18" s="53"/>
      <x:c r="L18" s="53"/>
      <x:c r="M18" s="53"/>
      <x:c r="N18" s="53"/>
      <x:c r="O18" s="58"/>
      <x:c r="P18" s="53"/>
      <x:c r="Q18" s="53"/>
      <x:c r="R18" s="54"/>
    </x:row>
    <x:row r="19">
      <x:c r="A19" s="39"/>
      <x:c r="B19" s="40"/>
      <x:c r="C19" s="45"/>
      <x:c r="D19" s="40"/>
      <x:c r="E19" s="47"/>
      <x:c r="F19" s="47"/>
      <x:c r="G19" s="47"/>
      <x:c r="H19" s="47"/>
      <x:c r="I19" s="47" t="str">
        <x:f>IF(A19="","",G19-H19)</x:f>
      </x:c>
      <x:c r="J19" s="40"/>
      <x:c r="K19" s="40"/>
      <x:c r="L19" s="40"/>
      <x:c r="M19" s="40"/>
      <x:c r="N19" s="40"/>
      <x:c r="O19" s="47"/>
      <x:c r="P19" s="40"/>
      <x:c r="Q19" s="40"/>
      <x:c r="R19" s="41"/>
    </x:row>
    <x:row r="20">
      <x:c r="A20" s="60"/>
      <x:c r="B20" s="61"/>
      <x:c r="C20" s="71"/>
      <x:c r="D20" s="61"/>
      <x:c r="E20" s="72"/>
      <x:c r="F20" s="72"/>
      <x:c r="G20" s="72"/>
      <x:c r="H20" s="72"/>
      <x:c r="I20" s="72" t="str">
        <x:f>IF(A20="","",G20-H20)</x:f>
      </x:c>
      <x:c r="J20" s="61"/>
      <x:c r="K20" s="61"/>
      <x:c r="L20" s="61"/>
      <x:c r="M20" s="61"/>
      <x:c r="N20" s="61"/>
      <x:c r="O20" s="72"/>
      <x:c r="P20" s="61"/>
      <x:c r="Q20" s="61"/>
      <x:c r="R20" s="62"/>
    </x:row>
  </x:sheetData>
  <x:mergeCells>
    <x:mergeCell ref="A1:R1"/>
    <x:mergeCell ref="A2:R2"/>
  </x:mergeCells>
  <x:conditionalFormatting sqref="R6:R20">
    <x:cfRule type="expression" dxfId="24" priority="1">
      <x:formula>INDIRECT("RC",FALSE)="已关闭"</x:formula>
    </x:cfRule>
    <x:cfRule type="expression" dxfId="25" priority="2">
      <x:formula>INDIRECT("RC",FALSE)="进行中"</x:formula>
    </x:cfRule>
    <x:cfRule type="expression" dxfId="26" priority="3">
      <x:formula>INDIRECT("RC",FALSE)="待复核"</x:formula>
    </x:cfRule>
  </x:conditionalFormatting>
  <x:dataValidations count="1">
    <x:dataValidation type="list" sqref="R6:R2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7984dc1eee4518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30" hidden="0" customWidth="1"/>
    <x:col min="5" max="5" width="14" hidden="0" customWidth="1"/>
    <x:col min="6" max="6" width="12" hidden="0" customWidth="1"/>
    <x:col min="7" max="7" width="28" hidden="0" customWidth="1"/>
    <x:col min="8" max="8" width="28" hidden="0" customWidth="1"/>
    <x:col min="9" max="9" width="30" hidden="0" customWidth="1"/>
    <x:col min="10" max="10" width="16" hidden="0" customWidth="1"/>
    <x:col min="11" max="11" width="12" hidden="0" customWidth="1"/>
    <x:col min="12" max="12" width="13" hidden="0" customWidth="1"/>
    <x:col min="13" max="13" width="13" hidden="0" customWidth="1"/>
    <x:col min="14" max="14" width="24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30" customHeight="1">
      <x:c r="A1" s="80" t="str">
        <x:v>月结问题整改跟踪表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</x:row>
    <x:row r="2" ht="24" customHeight="1">
      <x:c r="A2" s="82" t="str">
        <x:v>从临时纠正走向根因治理；所有关闭必须有复核证据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</x:row>
    <x:row r="5" ht="32" customHeight="1">
      <x:c r="A5" s="15" t="str">
        <x:v>问题编号</x:v>
      </x:c>
      <x:c r="B5" s="16" t="str">
        <x:v>发现日期</x:v>
      </x:c>
      <x:c r="C5" s="16" t="str">
        <x:v>科目</x:v>
      </x:c>
      <x:c r="D5" s="16" t="str">
        <x:v>问题描述</x:v>
      </x:c>
      <x:c r="E5" s="16" t="str">
        <x:v>异常金额</x:v>
      </x:c>
      <x:c r="F5" s="16" t="str">
        <x:v>风险等级</x:v>
      </x:c>
      <x:c r="G5" s="16" t="str">
        <x:v>根本原因</x:v>
      </x:c>
      <x:c r="H5" s="16" t="str">
        <x:v>临时处理</x:v>
      </x:c>
      <x:c r="I5" s="16" t="str">
        <x:v>永久改进</x:v>
      </x:c>
      <x:c r="J5" s="16" t="str">
        <x:v>责任部门</x:v>
      </x:c>
      <x:c r="K5" s="16" t="str">
        <x:v>责任人</x:v>
      </x:c>
      <x:c r="L5" s="16" t="str">
        <x:v>计划完成日</x:v>
      </x:c>
      <x:c r="M5" s="16" t="str">
        <x:v>实际完成日</x:v>
      </x:c>
      <x:c r="N5" s="16" t="str">
        <x:v>复核证据</x:v>
      </x:c>
      <x:c r="O5" s="16" t="str">
        <x:v>复核人</x:v>
      </x:c>
      <x:c r="P5" s="16" t="str">
        <x:v>状态</x:v>
      </x:c>
      <x:c r="Q5" s="16" t="str">
        <x:v>逾期天数</x:v>
      </x:c>
      <x:c r="R5" s="17" t="str">
        <x:v>重复发生</x:v>
      </x:c>
    </x:row>
    <x:row r="6">
      <x:c r="A6" s="49" t="str">
        <x:v>RC-001</x:v>
      </x:c>
      <x:c r="B6" s="55" t="n">
        <x:v>46234</x:v>
      </x:c>
      <x:c r="C6" s="50" t="str">
        <x:v>应收账款</x:v>
      </x:c>
      <x:c r="D6" s="50" t="str">
        <x:v>旧客户编码导致收款未核销</x:v>
      </x:c>
      <x:c r="E6" s="57" t="n">
        <x:v>113</x:v>
      </x:c>
      <x:c r="F6" s="50" t="str">
        <x:v>中</x:v>
      </x:c>
      <x:c r="G6" s="50" t="str">
        <x:v>客户主数据未建立映射</x:v>
      </x:c>
      <x:c r="H6" s="50" t="str">
        <x:v>AR手工匹配</x:v>
      </x:c>
      <x:c r="I6" s="50" t="str">
        <x:v>主数据合并和收款规则</x:v>
      </x:c>
      <x:c r="J6" s="50" t="str">
        <x:v>销售财务</x:v>
      </x:c>
      <x:c r="K6" s="50" t="str">
        <x:v>AR</x:v>
      </x:c>
      <x:c r="L6" s="55" t="n">
        <x:v>46239</x:v>
      </x:c>
      <x:c r="M6" s="55"/>
      <x:c r="N6" s="50" t="str">
        <x:v>核销日志</x:v>
      </x:c>
      <x:c r="O6" s="50" t="str">
        <x:v>主管</x:v>
      </x:c>
      <x:c r="P6" s="50" t="str">
        <x:v>进行中</x:v>
      </x:c>
      <x:c r="Q6" s="50" t="n">
        <x:f>IF(OR(A6="",L6=""),"",MAX(0,'00-说明与参数'!$B$7-L6))</x:f>
        <x:v>0</x:v>
      </x:c>
      <x:c r="R6" s="51" t="str">
        <x:v>否</x:v>
      </x:c>
    </x:row>
    <x:row r="7">
      <x:c r="A7" s="39" t="str">
        <x:v>RC-002</x:v>
      </x:c>
      <x:c r="B7" s="45" t="n">
        <x:v>46234</x:v>
      </x:c>
      <x:c r="C7" s="40" t="str">
        <x:v>管理费用</x:v>
      </x:c>
      <x:c r="D7" s="40" t="str">
        <x:v>AP和GL重复记咨询费</x:v>
      </x:c>
      <x:c r="E7" s="47" t="n">
        <x:v>35</x:v>
      </x:c>
      <x:c r="F7" s="40" t="str">
        <x:v>高</x:v>
      </x:c>
      <x:c r="G7" s="40" t="str">
        <x:v>手工凭证绕过AP且无查重</x:v>
      </x:c>
      <x:c r="H7" s="40" t="str">
        <x:v>冲重复凭证</x:v>
      </x:c>
      <x:c r="I7" s="40" t="str">
        <x:v>限制科目手工过账+凭证查重</x:v>
      </x:c>
      <x:c r="J7" s="40" t="str">
        <x:v>总账</x:v>
      </x:c>
      <x:c r="K7" s="40" t="str">
        <x:v>总账</x:v>
      </x:c>
      <x:c r="L7" s="45" t="n">
        <x:v>46244</x:v>
      </x:c>
      <x:c r="M7" s="45"/>
      <x:c r="N7" s="40" t="str">
        <x:v>冲销/权限截图</x:v>
      </x:c>
      <x:c r="O7" s="40" t="str">
        <x:v>主管</x:v>
      </x:c>
      <x:c r="P7" s="40" t="str">
        <x:v>进行中</x:v>
      </x:c>
      <x:c r="Q7" s="40" t="n">
        <x:f>IF(OR(A7="",L7=""),"",MAX(0,'00-说明与参数'!$B$7-L7))</x:f>
        <x:v>0</x:v>
      </x:c>
      <x:c r="R7" s="41" t="str">
        <x:v>是</x:v>
      </x:c>
    </x:row>
    <x:row r="8">
      <x:c r="A8" s="52" t="str">
        <x:v>RC-003</x:v>
      </x:c>
      <x:c r="B8" s="56" t="n">
        <x:v>46234</x:v>
      </x:c>
      <x:c r="C8" s="53" t="str">
        <x:v>在建工程</x:v>
      </x:c>
      <x:c r="D8" s="53" t="str">
        <x:v>投产未触发转固</x:v>
      </x:c>
      <x:c r="E8" s="58" t="n">
        <x:v>260</x:v>
      </x:c>
      <x:c r="F8" s="53" t="str">
        <x:v>高</x:v>
      </x:c>
      <x:c r="G8" s="53" t="str">
        <x:v>项目关闭与FA无联动</x:v>
      </x:c>
      <x:c r="H8" s="53" t="str">
        <x:v>本月转固</x:v>
      </x:c>
      <x:c r="I8" s="53" t="str">
        <x:v>投产验收自动建转固任务</x:v>
      </x:c>
      <x:c r="J8" s="53" t="str">
        <x:v>工程财务</x:v>
      </x:c>
      <x:c r="K8" s="53" t="str">
        <x:v>资产</x:v>
      </x:c>
      <x:c r="L8" s="56" t="n">
        <x:v>46249</x:v>
      </x:c>
      <x:c r="M8" s="56"/>
      <x:c r="N8" s="53" t="str">
        <x:v>卡片/流程</x:v>
      </x:c>
      <x:c r="O8" s="53" t="str">
        <x:v>主管</x:v>
      </x:c>
      <x:c r="P8" s="53" t="str">
        <x:v>进行中</x:v>
      </x:c>
      <x:c r="Q8" s="53" t="n">
        <x:f>IF(OR(A8="",L8=""),"",MAX(0,'00-说明与参数'!$B$7-L8))</x:f>
        <x:v>0</x:v>
      </x:c>
      <x:c r="R8" s="54" t="str">
        <x:v>否</x:v>
      </x:c>
    </x:row>
    <x:row r="9">
      <x:c r="A9" s="39"/>
      <x:c r="B9" s="45"/>
      <x:c r="C9" s="40"/>
      <x:c r="D9" s="40"/>
      <x:c r="E9" s="47"/>
      <x:c r="F9" s="40"/>
      <x:c r="G9" s="40"/>
      <x:c r="H9" s="40"/>
      <x:c r="I9" s="40"/>
      <x:c r="J9" s="40"/>
      <x:c r="K9" s="40"/>
      <x:c r="L9" s="45"/>
      <x:c r="M9" s="45"/>
      <x:c r="N9" s="40"/>
      <x:c r="O9" s="40"/>
      <x:c r="P9" s="40"/>
      <x:c r="Q9" s="40" t="str">
        <x:f>IF(OR(A9="",L9=""),"",MAX(0,'00-说明与参数'!$B$7-L9))</x:f>
      </x:c>
      <x:c r="R9" s="41"/>
    </x:row>
    <x:row r="10">
      <x:c r="A10" s="52"/>
      <x:c r="B10" s="56"/>
      <x:c r="C10" s="53"/>
      <x:c r="D10" s="53"/>
      <x:c r="E10" s="58"/>
      <x:c r="F10" s="53"/>
      <x:c r="G10" s="53"/>
      <x:c r="H10" s="53"/>
      <x:c r="I10" s="53"/>
      <x:c r="J10" s="53"/>
      <x:c r="K10" s="53"/>
      <x:c r="L10" s="56"/>
      <x:c r="M10" s="56"/>
      <x:c r="N10" s="53"/>
      <x:c r="O10" s="53"/>
      <x:c r="P10" s="53"/>
      <x:c r="Q10" s="53" t="str">
        <x:f>IF(OR(A10="",L10=""),"",MAX(0,'00-说明与参数'!$B$7-L10))</x:f>
      </x:c>
      <x:c r="R10" s="54"/>
    </x:row>
    <x:row r="11">
      <x:c r="A11" s="39"/>
      <x:c r="B11" s="45"/>
      <x:c r="C11" s="40"/>
      <x:c r="D11" s="40"/>
      <x:c r="E11" s="47"/>
      <x:c r="F11" s="40"/>
      <x:c r="G11" s="40"/>
      <x:c r="H11" s="40"/>
      <x:c r="I11" s="40"/>
      <x:c r="J11" s="40"/>
      <x:c r="K11" s="40"/>
      <x:c r="L11" s="45"/>
      <x:c r="M11" s="45"/>
      <x:c r="N11" s="40"/>
      <x:c r="O11" s="40"/>
      <x:c r="P11" s="40"/>
      <x:c r="Q11" s="40" t="str">
        <x:f>IF(OR(A11="",L11=""),"",MAX(0,'00-说明与参数'!$B$7-L11))</x:f>
      </x:c>
      <x:c r="R11" s="41"/>
    </x:row>
    <x:row r="12">
      <x:c r="A12" s="52"/>
      <x:c r="B12" s="56"/>
      <x:c r="C12" s="53"/>
      <x:c r="D12" s="53"/>
      <x:c r="E12" s="58"/>
      <x:c r="F12" s="53"/>
      <x:c r="G12" s="53"/>
      <x:c r="H12" s="53"/>
      <x:c r="I12" s="53"/>
      <x:c r="J12" s="53"/>
      <x:c r="K12" s="53"/>
      <x:c r="L12" s="56"/>
      <x:c r="M12" s="56"/>
      <x:c r="N12" s="53"/>
      <x:c r="O12" s="53"/>
      <x:c r="P12" s="53"/>
      <x:c r="Q12" s="53" t="str">
        <x:f>IF(OR(A12="",L12=""),"",MAX(0,'00-说明与参数'!$B$7-L12))</x:f>
      </x:c>
      <x:c r="R12" s="54"/>
    </x:row>
    <x:row r="13">
      <x:c r="A13" s="39"/>
      <x:c r="B13" s="45"/>
      <x:c r="C13" s="40"/>
      <x:c r="D13" s="40"/>
      <x:c r="E13" s="47"/>
      <x:c r="F13" s="40"/>
      <x:c r="G13" s="40"/>
      <x:c r="H13" s="40"/>
      <x:c r="I13" s="40"/>
      <x:c r="J13" s="40"/>
      <x:c r="K13" s="40"/>
      <x:c r="L13" s="45"/>
      <x:c r="M13" s="45"/>
      <x:c r="N13" s="40"/>
      <x:c r="O13" s="40"/>
      <x:c r="P13" s="40"/>
      <x:c r="Q13" s="40" t="str">
        <x:f>IF(OR(A13="",L13=""),"",MAX(0,'00-说明与参数'!$B$7-L13))</x:f>
      </x:c>
      <x:c r="R13" s="41"/>
    </x:row>
    <x:row r="14">
      <x:c r="A14" s="52"/>
      <x:c r="B14" s="56"/>
      <x:c r="C14" s="53"/>
      <x:c r="D14" s="53"/>
      <x:c r="E14" s="58"/>
      <x:c r="F14" s="53"/>
      <x:c r="G14" s="53"/>
      <x:c r="H14" s="53"/>
      <x:c r="I14" s="53"/>
      <x:c r="J14" s="53"/>
      <x:c r="K14" s="53"/>
      <x:c r="L14" s="56"/>
      <x:c r="M14" s="56"/>
      <x:c r="N14" s="53"/>
      <x:c r="O14" s="53"/>
      <x:c r="P14" s="53"/>
      <x:c r="Q14" s="53" t="str">
        <x:f>IF(OR(A14="",L14=""),"",MAX(0,'00-说明与参数'!$B$7-L14))</x:f>
      </x:c>
      <x:c r="R14" s="54"/>
    </x:row>
    <x:row r="15">
      <x:c r="A15" s="39"/>
      <x:c r="B15" s="45"/>
      <x:c r="C15" s="40"/>
      <x:c r="D15" s="40"/>
      <x:c r="E15" s="47"/>
      <x:c r="F15" s="40"/>
      <x:c r="G15" s="40"/>
      <x:c r="H15" s="40"/>
      <x:c r="I15" s="40"/>
      <x:c r="J15" s="40"/>
      <x:c r="K15" s="40"/>
      <x:c r="L15" s="45"/>
      <x:c r="M15" s="45"/>
      <x:c r="N15" s="40"/>
      <x:c r="O15" s="40"/>
      <x:c r="P15" s="40"/>
      <x:c r="Q15" s="40" t="str">
        <x:f>IF(OR(A15="",L15=""),"",MAX(0,'00-说明与参数'!$B$7-L15))</x:f>
      </x:c>
      <x:c r="R15" s="41"/>
    </x:row>
    <x:row r="16">
      <x:c r="A16" s="52"/>
      <x:c r="B16" s="56"/>
      <x:c r="C16" s="53"/>
      <x:c r="D16" s="53"/>
      <x:c r="E16" s="58"/>
      <x:c r="F16" s="53"/>
      <x:c r="G16" s="53"/>
      <x:c r="H16" s="53"/>
      <x:c r="I16" s="53"/>
      <x:c r="J16" s="53"/>
      <x:c r="K16" s="53"/>
      <x:c r="L16" s="56"/>
      <x:c r="M16" s="56"/>
      <x:c r="N16" s="53"/>
      <x:c r="O16" s="53"/>
      <x:c r="P16" s="53"/>
      <x:c r="Q16" s="53" t="str">
        <x:f>IF(OR(A16="",L16=""),"",MAX(0,'00-说明与参数'!$B$7-L16))</x:f>
      </x:c>
      <x:c r="R16" s="54"/>
    </x:row>
    <x:row r="17">
      <x:c r="A17" s="39"/>
      <x:c r="B17" s="45"/>
      <x:c r="C17" s="40"/>
      <x:c r="D17" s="40"/>
      <x:c r="E17" s="47"/>
      <x:c r="F17" s="40"/>
      <x:c r="G17" s="40"/>
      <x:c r="H17" s="40"/>
      <x:c r="I17" s="40"/>
      <x:c r="J17" s="40"/>
      <x:c r="K17" s="40"/>
      <x:c r="L17" s="45"/>
      <x:c r="M17" s="45"/>
      <x:c r="N17" s="40"/>
      <x:c r="O17" s="40"/>
      <x:c r="P17" s="40"/>
      <x:c r="Q17" s="40" t="str">
        <x:f>IF(OR(A17="",L17=""),"",MAX(0,'00-说明与参数'!$B$7-L17))</x:f>
      </x:c>
      <x:c r="R17" s="41"/>
    </x:row>
    <x:row r="18">
      <x:c r="A18" s="52"/>
      <x:c r="B18" s="56"/>
      <x:c r="C18" s="53"/>
      <x:c r="D18" s="53"/>
      <x:c r="E18" s="58"/>
      <x:c r="F18" s="53"/>
      <x:c r="G18" s="53"/>
      <x:c r="H18" s="53"/>
      <x:c r="I18" s="53"/>
      <x:c r="J18" s="53"/>
      <x:c r="K18" s="53"/>
      <x:c r="L18" s="56"/>
      <x:c r="M18" s="56"/>
      <x:c r="N18" s="53"/>
      <x:c r="O18" s="53"/>
      <x:c r="P18" s="53"/>
      <x:c r="Q18" s="53" t="str">
        <x:f>IF(OR(A18="",L18=""),"",MAX(0,'00-说明与参数'!$B$7-L18))</x:f>
      </x:c>
      <x:c r="R18" s="54"/>
    </x:row>
    <x:row r="19">
      <x:c r="A19" s="39"/>
      <x:c r="B19" s="45"/>
      <x:c r="C19" s="40"/>
      <x:c r="D19" s="40"/>
      <x:c r="E19" s="47"/>
      <x:c r="F19" s="40"/>
      <x:c r="G19" s="40"/>
      <x:c r="H19" s="40"/>
      <x:c r="I19" s="40"/>
      <x:c r="J19" s="40"/>
      <x:c r="K19" s="40"/>
      <x:c r="L19" s="45"/>
      <x:c r="M19" s="45"/>
      <x:c r="N19" s="40"/>
      <x:c r="O19" s="40"/>
      <x:c r="P19" s="40"/>
      <x:c r="Q19" s="40" t="str">
        <x:f>IF(OR(A19="",L19=""),"",MAX(0,'00-说明与参数'!$B$7-L19))</x:f>
      </x:c>
      <x:c r="R19" s="41"/>
    </x:row>
    <x:row r="20">
      <x:c r="A20" s="52"/>
      <x:c r="B20" s="56"/>
      <x:c r="C20" s="53"/>
      <x:c r="D20" s="53"/>
      <x:c r="E20" s="58"/>
      <x:c r="F20" s="53"/>
      <x:c r="G20" s="53"/>
      <x:c r="H20" s="53"/>
      <x:c r="I20" s="53"/>
      <x:c r="J20" s="53"/>
      <x:c r="K20" s="53"/>
      <x:c r="L20" s="56"/>
      <x:c r="M20" s="56"/>
      <x:c r="N20" s="53"/>
      <x:c r="O20" s="53"/>
      <x:c r="P20" s="53"/>
      <x:c r="Q20" s="53" t="str">
        <x:f>IF(OR(A20="",L20=""),"",MAX(0,'00-说明与参数'!$B$7-L20))</x:f>
      </x:c>
      <x:c r="R20" s="54"/>
    </x:row>
    <x:row r="21">
      <x:c r="A21" s="39"/>
      <x:c r="B21" s="45"/>
      <x:c r="C21" s="40"/>
      <x:c r="D21" s="40"/>
      <x:c r="E21" s="47"/>
      <x:c r="F21" s="40"/>
      <x:c r="G21" s="40"/>
      <x:c r="H21" s="40"/>
      <x:c r="I21" s="40"/>
      <x:c r="J21" s="40"/>
      <x:c r="K21" s="40"/>
      <x:c r="L21" s="45"/>
      <x:c r="M21" s="45"/>
      <x:c r="N21" s="40"/>
      <x:c r="O21" s="40"/>
      <x:c r="P21" s="40"/>
      <x:c r="Q21" s="40" t="str">
        <x:f>IF(OR(A21="",L21=""),"",MAX(0,'00-说明与参数'!$B$7-L21))</x:f>
      </x:c>
      <x:c r="R21" s="41"/>
    </x:row>
    <x:row r="22">
      <x:c r="A22" s="52"/>
      <x:c r="B22" s="56"/>
      <x:c r="C22" s="53"/>
      <x:c r="D22" s="53"/>
      <x:c r="E22" s="58"/>
      <x:c r="F22" s="53"/>
      <x:c r="G22" s="53"/>
      <x:c r="H22" s="53"/>
      <x:c r="I22" s="53"/>
      <x:c r="J22" s="53"/>
      <x:c r="K22" s="53"/>
      <x:c r="L22" s="56"/>
      <x:c r="M22" s="56"/>
      <x:c r="N22" s="53"/>
      <x:c r="O22" s="53"/>
      <x:c r="P22" s="53"/>
      <x:c r="Q22" s="53" t="str">
        <x:f>IF(OR(A22="",L22=""),"",MAX(0,'00-说明与参数'!$B$7-L22))</x:f>
      </x:c>
      <x:c r="R22" s="54"/>
    </x:row>
    <x:row r="23">
      <x:c r="A23" s="39"/>
      <x:c r="B23" s="45"/>
      <x:c r="C23" s="40"/>
      <x:c r="D23" s="40"/>
      <x:c r="E23" s="47"/>
      <x:c r="F23" s="40"/>
      <x:c r="G23" s="40"/>
      <x:c r="H23" s="40"/>
      <x:c r="I23" s="40"/>
      <x:c r="J23" s="40"/>
      <x:c r="K23" s="40"/>
      <x:c r="L23" s="45"/>
      <x:c r="M23" s="45"/>
      <x:c r="N23" s="40"/>
      <x:c r="O23" s="40"/>
      <x:c r="P23" s="40"/>
      <x:c r="Q23" s="40" t="str">
        <x:f>IF(OR(A23="",L23=""),"",MAX(0,'00-说明与参数'!$B$7-L23))</x:f>
      </x:c>
      <x:c r="R23" s="41"/>
    </x:row>
    <x:row r="24">
      <x:c r="A24" s="52"/>
      <x:c r="B24" s="56"/>
      <x:c r="C24" s="53"/>
      <x:c r="D24" s="53"/>
      <x:c r="E24" s="58"/>
      <x:c r="F24" s="53"/>
      <x:c r="G24" s="53"/>
      <x:c r="H24" s="53"/>
      <x:c r="I24" s="53"/>
      <x:c r="J24" s="53"/>
      <x:c r="K24" s="53"/>
      <x:c r="L24" s="56"/>
      <x:c r="M24" s="56"/>
      <x:c r="N24" s="53"/>
      <x:c r="O24" s="53"/>
      <x:c r="P24" s="53"/>
      <x:c r="Q24" s="53" t="str">
        <x:f>IF(OR(A24="",L24=""),"",MAX(0,'00-说明与参数'!$B$7-L24))</x:f>
      </x:c>
      <x:c r="R24" s="54"/>
    </x:row>
    <x:row r="25">
      <x:c r="A25" s="42"/>
      <x:c r="B25" s="46"/>
      <x:c r="C25" s="43"/>
      <x:c r="D25" s="43"/>
      <x:c r="E25" s="59"/>
      <x:c r="F25" s="43"/>
      <x:c r="G25" s="43"/>
      <x:c r="H25" s="43"/>
      <x:c r="I25" s="43"/>
      <x:c r="J25" s="43"/>
      <x:c r="K25" s="43"/>
      <x:c r="L25" s="46"/>
      <x:c r="M25" s="46"/>
      <x:c r="N25" s="43"/>
      <x:c r="O25" s="43"/>
      <x:c r="P25" s="43"/>
      <x:c r="Q25" s="43" t="str">
        <x:f>IF(OR(A25="",L25=""),"",MAX(0,'00-说明与参数'!$B$7-L25))</x:f>
      </x:c>
      <x:c r="R25" s="44"/>
    </x:row>
  </x:sheetData>
  <x:mergeCells>
    <x:mergeCell ref="A1:R1"/>
    <x:mergeCell ref="A2:R2"/>
  </x:mergeCells>
  <x:conditionalFormatting sqref="P6:P25">
    <x:cfRule type="expression" dxfId="27" priority="1">
      <x:formula>INDIRECT("RC",FALSE)="已关闭"</x:formula>
    </x:cfRule>
    <x:cfRule type="expression" dxfId="28" priority="2">
      <x:formula>INDIRECT("RC",FALSE)="进行中"</x:formula>
    </x:cfRule>
    <x:cfRule type="expression" dxfId="29" priority="3">
      <x:formula>INDIRECT("RC",FALSE)="待复核"</x:formula>
    </x:cfRule>
  </x:conditionalFormatting>
  <x:dataValidations count="2">
    <x:dataValidation type="list" sqref="F6:F25">
      <x:formula1>"低,中,高,重大"</x:formula1>
    </x:dataValidation>
    <x:dataValidation type="list" sqref="P6:P25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58227ac7eb4dd7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42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42" hidden="0" customWidth="1"/>
  </x:cols>
  <x:sheetData>
    <x:row r="1" ht="30" customHeight="1">
      <x:c r="A1" s="80" t="str">
        <x:v>月度异常余额管理报告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 ht="24" customHeight="1">
      <x:c r="A2" s="82" t="str">
        <x:v>自动汇总案例异常；管理层结论仍需结合事实和重大性</x:v>
      </x:c>
      <x:c r="B2" s="81"/>
      <x:c r="C2" s="81"/>
      <x:c r="D2" s="81"/>
      <x:c r="E2" s="81"/>
      <x:c r="F2" s="81"/>
      <x:c r="G2" s="81"/>
      <x:c r="H2" s="81"/>
      <x:c r="I2" s="81"/>
      <x:c r="J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</x:row>
    <x:row r="5" ht="32" customHeight="1">
      <x:c r="A5" s="15" t="str">
        <x:v>核心指标</x:v>
      </x:c>
      <x:c r="B5" s="16" t="str">
        <x:v>公式/金额</x:v>
      </x:c>
      <x:c r="C5" s="16" t="str">
        <x:v>状态</x:v>
      </x:c>
      <x:c r="D5" s="17" t="str">
        <x:v>管理解释</x:v>
      </x:c>
      <x:c r="E5" s="81"/>
      <x:c r="F5" s="15" t="str">
        <x:v>重点事项</x:v>
      </x:c>
      <x:c r="G5" s="16" t="str">
        <x:v>金额</x:v>
      </x:c>
      <x:c r="H5" s="16" t="str">
        <x:v>利润影响</x:v>
      </x:c>
      <x:c r="I5" s="16" t="str">
        <x:v>状态</x:v>
      </x:c>
      <x:c r="J5" s="17" t="str">
        <x:v>管理层动作</x:v>
      </x:c>
    </x:row>
    <x:row r="6">
      <x:c r="A6" s="36" t="str">
        <x:v>异常数量</x:v>
      </x:c>
      <x:c r="B6" s="37" t="n">
        <x:f>COUNTA('03-异常余额清单'!A6:A30)</x:f>
        <x:v>11</x:v>
      </x:c>
      <x:c r="C6" s="37" t="str">
        <x:v>监控</x:v>
      </x:c>
      <x:c r="D6" s="38" t="str">
        <x:v>案例11项</x:v>
      </x:c>
      <x:c r="E6" s="81"/>
      <x:c r="F6" s="36" t="str">
        <x:v>在建工程未转固</x:v>
      </x:c>
      <x:c r="G6" s="73" t="n">
        <x:v>260</x:v>
      </x:c>
      <x:c r="H6" s="73" t="n">
        <x:v>-2</x:v>
      </x:c>
      <x:c r="I6" s="37" t="str">
        <x:v>进行中</x:v>
      </x:c>
      <x:c r="J6" s="38" t="str">
        <x:v>批准转固并追踪流程改造</x:v>
      </x:c>
    </x:row>
    <x:row r="7">
      <x:c r="A7" s="39" t="str">
        <x:v>异常金额合计</x:v>
      </x:c>
      <x:c r="B7" s="47" t="n">
        <x:f>SUM('03-异常余额清单'!W6:W30)</x:f>
        <x:v>721.6</x:v>
      </x:c>
      <x:c r="C7" s="40" t="str">
        <x:v>监控</x:v>
      </x:c>
      <x:c r="D7" s="41" t="str">
        <x:v>按异常事项金额汇总</x:v>
      </x:c>
      <x:c r="E7" s="81"/>
      <x:c r="F7" s="39" t="str">
        <x:v>客户收款未核销</x:v>
      </x:c>
      <x:c r="G7" s="47" t="n">
        <x:v>113</x:v>
      </x:c>
      <x:c r="H7" s="47" t="n">
        <x:v>0</x:v>
      </x:c>
      <x:c r="I7" s="40" t="str">
        <x:v>进行中</x:v>
      </x:c>
      <x:c r="J7" s="41" t="str">
        <x:v>完成AR核销</x:v>
      </x:c>
    </x:row>
    <x:row r="8">
      <x:c r="A8" s="39" t="str">
        <x:v>利润影响合计</x:v>
      </x:c>
      <x:c r="B8" s="47" t="n">
        <x:f>SUM('03-异常余额清单'!P6:P30)</x:f>
        <x:v>3.1999999999999993</x:v>
      </x:c>
      <x:c r="C8" s="40" t="str">
        <x:v>复核</x:v>
      </x:c>
      <x:c r="D8" s="41" t="str">
        <x:v>负数减少利润</x:v>
      </x:c>
      <x:c r="E8" s="81"/>
      <x:c r="F8" s="39" t="str">
        <x:v>暂估收票未冲</x:v>
      </x:c>
      <x:c r="G8" s="47" t="n">
        <x:v>100</x:v>
      </x:c>
      <x:c r="H8" s="47" t="n">
        <x:v>0</x:v>
      </x:c>
      <x:c r="I8" s="40" t="str">
        <x:v>进行中</x:v>
      </x:c>
      <x:c r="J8" s="41" t="str">
        <x:v>关闭暂估</x:v>
      </x:c>
    </x:row>
    <x:row r="9">
      <x:c r="A9" s="39" t="str">
        <x:v>高风险/长期事项</x:v>
      </x:c>
      <x:c r="B9" s="40" t="n">
        <x:f>COUNTIF('03-异常余额清单'!I6:I30,"&gt;365")</x:f>
        <x:v>1</x:v>
      </x:c>
      <x:c r="C9" s="40" t="str">
        <x:v>升级</x:v>
      </x:c>
      <x:c r="D9" s="41" t="str">
        <x:v>超过365天</x:v>
      </x:c>
      <x:c r="E9" s="81"/>
      <x:c r="F9" s="39" t="str">
        <x:v>长期预付</x:v>
      </x:c>
      <x:c r="G9" s="47" t="n">
        <x:v>80</x:v>
      </x:c>
      <x:c r="H9" s="47" t="n">
        <x:v>-24</x:v>
      </x:c>
      <x:c r="I9" s="40" t="str">
        <x:v>进行中</x:v>
      </x:c>
      <x:c r="J9" s="41" t="str">
        <x:v>法务催收和减值复核</x:v>
      </x:c>
    </x:row>
    <x:row r="10">
      <x:c r="A10" s="39" t="str">
        <x:v>待复核数量</x:v>
      </x:c>
      <x:c r="B10" s="40" t="n">
        <x:f>COUNTIF('03-异常余额清单'!U6:U30,"待复核")</x:f>
        <x:v>2</x:v>
      </x:c>
      <x:c r="C10" s="40" t="str">
        <x:v>需复核</x:v>
      </x:c>
      <x:c r="D10" s="41" t="str">
        <x:v>需复核证据</x:v>
      </x:c>
      <x:c r="E10" s="81"/>
      <x:c r="F10" s="39" t="str">
        <x:v>管理费用重复</x:v>
      </x:c>
      <x:c r="G10" s="47" t="n">
        <x:v>35</x:v>
      </x:c>
      <x:c r="H10" s="47" t="n">
        <x:v>35</x:v>
      </x:c>
      <x:c r="I10" s="40" t="str">
        <x:v>进行中</x:v>
      </x:c>
      <x:c r="J10" s="41" t="str">
        <x:v>冲销并限制手工过账</x:v>
      </x:c>
    </x:row>
    <x:row r="11">
      <x:c r="A11" s="39" t="str">
        <x:v>进行中数量</x:v>
      </x:c>
      <x:c r="B11" s="40" t="n">
        <x:f>COUNTIF('03-异常余额清单'!U6:U30,"进行中")</x:f>
        <x:v>9</x:v>
      </x:c>
      <x:c r="C11" s="40" t="str">
        <x:v>推动</x:v>
      </x:c>
      <x:c r="D11" s="41" t="str">
        <x:v>责任人处理中</x:v>
      </x:c>
      <x:c r="E11" s="81"/>
      <x:c r="F11" s="39" t="str">
        <x:v>员工借款</x:v>
      </x:c>
      <x:c r="G11" s="47" t="n">
        <x:v>15</x:v>
      </x:c>
      <x:c r="H11" s="47" t="n">
        <x:v>-9</x:v>
      </x:c>
      <x:c r="I11" s="40" t="str">
        <x:v>进行中</x:v>
      </x:c>
      <x:c r="J11" s="41" t="str">
        <x:v>催收、减值和离职控制</x:v>
      </x:c>
    </x:row>
    <x:row r="12">
      <x:c r="A12" s="39" t="str">
        <x:v>已关闭数量</x:v>
      </x:c>
      <x:c r="B12" s="40" t="n">
        <x:f>COUNTIF('03-异常余额清单'!U6:U30,"已关闭")</x:f>
        <x:v>0</x:v>
      </x:c>
      <x:c r="C12" s="40" t="str">
        <x:v>完成</x:v>
      </x:c>
      <x:c r="D12" s="41" t="str">
        <x:v>正式关闭</x:v>
      </x:c>
      <x:c r="E12" s="81"/>
      <x:c r="F12" s="42" t="str">
        <x:v>增值税差异</x:v>
      </x:c>
      <x:c r="G12" s="59" t="n">
        <x:v>2.6</x:v>
      </x:c>
      <x:c r="H12" s="59" t="n">
        <x:v>-2.6</x:v>
      </x:c>
      <x:c r="I12" s="43" t="str">
        <x:v>进行中</x:v>
      </x:c>
      <x:c r="J12" s="44" t="str">
        <x:v>转出并同步申报</x:v>
      </x:c>
    </x:row>
    <x:row r="13">
      <x:c r="A13" s="39" t="str">
        <x:v>最大单项异常</x:v>
      </x:c>
      <x:c r="B13" s="47" t="n">
        <x:f>MAX('03-异常余额清单'!W6:W30)</x:f>
        <x:v>260</x:v>
      </x:c>
      <x:c r="C13" s="40" t="str">
        <x:v>主管关注</x:v>
      </x:c>
      <x:c r="D13" s="41" t="str">
        <x:v>重大项目优先</x:v>
      </x:c>
      <x:c r="E13" s="81"/>
      <x:c r="F13" s="81"/>
      <x:c r="G13" s="81"/>
      <x:c r="H13" s="81"/>
      <x:c r="I13" s="81"/>
      <x:c r="J13" s="81"/>
    </x:row>
    <x:row r="14">
      <x:c r="A14" s="42" t="str">
        <x:v>关账建议</x:v>
      </x:c>
      <x:c r="B14" s="43" t="str">
        <x:f>IF(B10+B11=0,"可关账","附条件关账/继续清理")</x:f>
        <x:v>附条件关账/继续清理</x:v>
      </x:c>
      <x:c r="C14" s="43" t="str">
        <x:v>CFO批准</x:v>
      </x:c>
      <x:c r="D14" s="44" t="str">
        <x:v>存在长期预付和员工借款未关闭</x:v>
      </x:c>
      <x:c r="E14" s="81"/>
      <x:c r="F14" s="81"/>
      <x:c r="G14" s="81"/>
      <x:c r="H14" s="81"/>
      <x:c r="I14" s="81"/>
      <x:c r="J14" s="81"/>
    </x:row>
  </x:sheetData>
  <x:mergeCells>
    <x:mergeCell ref="A1:L1"/>
    <x:mergeCell ref="A2:L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6" hidden="0" customWidth="1"/>
    <x:col min="4" max="4" width="30" hidden="0" customWidth="1"/>
    <x:col min="5" max="5" width="14" hidden="0" customWidth="1"/>
    <x:col min="6" max="6" width="14" hidden="0" customWidth="1"/>
    <x:col min="7" max="7" width="22" hidden="0" customWidth="1"/>
    <x:col min="8" max="8" width="13" hidden="0" customWidth="1"/>
    <x:col min="9" max="9" width="12" hidden="0" customWidth="1"/>
    <x:col min="10" max="10" width="22" hidden="0" customWidth="1"/>
    <x:col min="11" max="11" width="18" hidden="0" customWidth="1"/>
    <x:col min="12" max="12" width="18" hidden="0" customWidth="1"/>
  </x:cols>
  <x:sheetData>
    <x:row r="1" ht="30" customHeight="1">
      <x:c r="A1" s="80" t="str">
        <x:v>月结／季结／年结科目核对矩阵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 ht="24" customHeight="1">
      <x:c r="A2" s="82" t="str">
        <x:v>年度程序在月度基础上增加盘点、函证、减值、税务和披露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</x:row>
    <x:row r="5" ht="32" customHeight="1">
      <x:c r="A5" s="15" t="str">
        <x:v>科目或事项</x:v>
      </x:c>
      <x:c r="B5" s="16" t="str">
        <x:v>月度程序</x:v>
      </x:c>
      <x:c r="C5" s="16" t="str">
        <x:v>季度追加</x:v>
      </x:c>
      <x:c r="D5" s="16" t="str">
        <x:v>年度追加</x:v>
      </x:c>
      <x:c r="E5" s="16" t="str">
        <x:v>经办岗位</x:v>
      </x:c>
      <x:c r="F5" s="16" t="str">
        <x:v>复核岗位</x:v>
      </x:c>
      <x:c r="G5" s="16" t="str">
        <x:v>支持底稿</x:v>
      </x:c>
      <x:c r="H5" s="16" t="str">
        <x:v>截止时间</x:v>
      </x:c>
      <x:c r="I5" s="16" t="str">
        <x:v>是否强制</x:v>
      </x:c>
      <x:c r="J5" s="16" t="str">
        <x:v>异常升级</x:v>
      </x:c>
      <x:c r="K5" s="16" t="str">
        <x:v>系统来源</x:v>
      </x:c>
      <x:c r="L5" s="17" t="str">
        <x:v>备注</x:v>
      </x:c>
    </x:row>
    <x:row r="6">
      <x:c r="A6" s="49" t="str">
        <x:v>货币资金</x:v>
      </x:c>
      <x:c r="B6" s="50" t="str">
        <x:v>银行调节/账户完整</x:v>
      </x:c>
      <x:c r="C6" s="50" t="str">
        <x:v>受限和融资复核</x:v>
      </x:c>
      <x:c r="D6" s="50" t="str">
        <x:v>函证/现金盘点</x:v>
      </x:c>
      <x:c r="E6" s="50" t="str">
        <x:v>资金</x:v>
      </x:c>
      <x:c r="F6" s="50" t="str">
        <x:v>主管</x:v>
      </x:c>
      <x:c r="G6" s="50" t="str">
        <x:v>调节表</x:v>
      </x:c>
      <x:c r="H6" s="50" t="str">
        <x:v>D+1</x:v>
      </x:c>
      <x:c r="I6" s="50" t="str">
        <x:v>是</x:v>
      </x:c>
      <x:c r="J6" s="50" t="str">
        <x:v>长期未达</x:v>
      </x:c>
      <x:c r="K6" s="50" t="str">
        <x:v>银行/Treasury</x:v>
      </x:c>
      <x:c r="L6" s="51" t="str"/>
    </x:row>
    <x:row r="7">
      <x:c r="A7" s="39" t="str">
        <x:v>往来</x:v>
      </x:c>
      <x:c r="B7" s="40" t="str">
        <x:v>模块GL/账龄/核销</x:v>
      </x:c>
      <x:c r="C7" s="40" t="str">
        <x:v>减值和关联方</x:v>
      </x:c>
      <x:c r="D7" s="40" t="str">
        <x:v>函证/长期清理</x:v>
      </x:c>
      <x:c r="E7" s="40" t="str">
        <x:v>AR/AP</x:v>
      </x:c>
      <x:c r="F7" s="40" t="str">
        <x:v>主管</x:v>
      </x:c>
      <x:c r="G7" s="40" t="str">
        <x:v>账龄/对账</x:v>
      </x:c>
      <x:c r="H7" s="40" t="str">
        <x:v>D+2</x:v>
      </x:c>
      <x:c r="I7" s="40" t="str">
        <x:v>是</x:v>
      </x:c>
      <x:c r="J7" s="40" t="str">
        <x:v>&gt;90天重大</x:v>
      </x:c>
      <x:c r="K7" s="40" t="str">
        <x:v>AR/AP</x:v>
      </x:c>
      <x:c r="L7" s="41" t="str"/>
    </x:row>
    <x:row r="8">
      <x:c r="A8" s="52" t="str">
        <x:v>存货成本</x:v>
      </x:c>
      <x:c r="B8" s="53" t="str">
        <x:v>收发存/负库存/成本</x:v>
      </x:c>
      <x:c r="C8" s="53" t="str">
        <x:v>毛利和跌价迹象</x:v>
      </x:c>
      <x:c r="D8" s="53" t="str">
        <x:v>全面盘点/NRV</x:v>
      </x:c>
      <x:c r="E8" s="53" t="str">
        <x:v>成本</x:v>
      </x:c>
      <x:c r="F8" s="53" t="str">
        <x:v>主管</x:v>
      </x:c>
      <x:c r="G8" s="53" t="str">
        <x:v>收发存/成本表</x:v>
      </x:c>
      <x:c r="H8" s="53" t="str">
        <x:v>D+3</x:v>
      </x:c>
      <x:c r="I8" s="53" t="str">
        <x:v>是</x:v>
      </x:c>
      <x:c r="J8" s="53" t="str">
        <x:v>负库存</x:v>
      </x:c>
      <x:c r="K8" s="53" t="str">
        <x:v>Inventory/Cost</x:v>
      </x:c>
      <x:c r="L8" s="54" t="str"/>
    </x:row>
    <x:row r="9">
      <x:c r="A9" s="39" t="str">
        <x:v>长期资产</x:v>
      </x:c>
      <x:c r="B9" s="40" t="str">
        <x:v>卡片/折旧/转固</x:v>
      </x:c>
      <x:c r="C9" s="40" t="str">
        <x:v>减值迹象</x:v>
      </x:c>
      <x:c r="D9" s="40" t="str">
        <x:v>全面盘点/重分类</x:v>
      </x:c>
      <x:c r="E9" s="40" t="str">
        <x:v>资产</x:v>
      </x:c>
      <x:c r="F9" s="40" t="str">
        <x:v>主管</x:v>
      </x:c>
      <x:c r="G9" s="40" t="str">
        <x:v>卡片/项目表</x:v>
      </x:c>
      <x:c r="H9" s="40" t="str">
        <x:v>D+3</x:v>
      </x:c>
      <x:c r="I9" s="40" t="str">
        <x:v>是</x:v>
      </x:c>
      <x:c r="J9" s="40" t="str">
        <x:v>已用未转固</x:v>
      </x:c>
      <x:c r="K9" s="40" t="str">
        <x:v>FA/项目</x:v>
      </x:c>
      <x:c r="L9" s="41" t="str"/>
    </x:row>
    <x:row r="10">
      <x:c r="A10" s="52" t="str">
        <x:v>薪酬</x:v>
      </x:c>
      <x:c r="B10" s="53" t="str">
        <x:v>五方核对</x:v>
      </x:c>
      <x:c r="C10" s="53" t="str">
        <x:v>奖金和税务</x:v>
      </x:c>
      <x:c r="D10" s="53" t="str">
        <x:v>年终奖/长期福利</x:v>
      </x:c>
      <x:c r="E10" s="53" t="str">
        <x:v>薪酬</x:v>
      </x:c>
      <x:c r="F10" s="53" t="str">
        <x:v>主管</x:v>
      </x:c>
      <x:c r="G10" s="53" t="str">
        <x:v>工资桥</x:v>
      </x:c>
      <x:c r="H10" s="53" t="str">
        <x:v>D+3</x:v>
      </x:c>
      <x:c r="I10" s="53" t="str">
        <x:v>是</x:v>
      </x:c>
      <x:c r="J10" s="53" t="str">
        <x:v>敏感异常</x:v>
      </x:c>
      <x:c r="K10" s="53" t="str">
        <x:v>Payroll</x:v>
      </x:c>
      <x:c r="L10" s="54" t="str"/>
    </x:row>
    <x:row r="11">
      <x:c r="A11" s="39" t="str">
        <x:v>税费</x:v>
      </x:c>
      <x:c r="B11" s="40" t="str">
        <x:v>账票税表款</x:v>
      </x:c>
      <x:c r="C11" s="40" t="str">
        <x:v>所得税预缴</x:v>
      </x:c>
      <x:c r="D11" s="40" t="str">
        <x:v>汇算和递延税</x:v>
      </x:c>
      <x:c r="E11" s="40" t="str">
        <x:v>税务</x:v>
      </x:c>
      <x:c r="F11" s="40" t="str">
        <x:v>主管</x:v>
      </x:c>
      <x:c r="G11" s="40" t="str">
        <x:v>税务底稿</x:v>
      </x:c>
      <x:c r="H11" s="40" t="str">
        <x:v>申报前</x:v>
      </x:c>
      <x:c r="I11" s="40" t="str">
        <x:v>是</x:v>
      </x:c>
      <x:c r="J11" s="40" t="str">
        <x:v>重大差异</x:v>
      </x:c>
      <x:c r="K11" s="40" t="str">
        <x:v>Tax/GL</x:v>
      </x:c>
      <x:c r="L11" s="41" t="str"/>
    </x:row>
    <x:row r="12">
      <x:c r="A12" s="52" t="str">
        <x:v>损益</x:v>
      </x:c>
      <x:c r="B12" s="53" t="str">
        <x:v>业务驱动/波动/截止</x:v>
      </x:c>
      <x:c r="C12" s="53" t="str">
        <x:v>预算和经营分析</x:v>
      </x:c>
      <x:c r="D12" s="53" t="str">
        <x:v>审计调整/年报</x:v>
      </x:c>
      <x:c r="E12" s="53" t="str">
        <x:v>总账</x:v>
      </x:c>
      <x:c r="F12" s="53" t="str">
        <x:v>主管</x:v>
      </x:c>
      <x:c r="G12" s="53" t="str">
        <x:v>分析表</x:v>
      </x:c>
      <x:c r="H12" s="53" t="str">
        <x:v>D+5</x:v>
      </x:c>
      <x:c r="I12" s="53" t="str">
        <x:v>是</x:v>
      </x:c>
      <x:c r="J12" s="53" t="str">
        <x:v>异常增长</x:v>
      </x:c>
      <x:c r="K12" s="53" t="str">
        <x:v>GL/预算</x:v>
      </x:c>
      <x:c r="L12" s="54" t="str"/>
    </x:row>
    <x:row r="13">
      <x:c r="A13" s="39" t="str">
        <x:v>权益融资</x:v>
      </x:c>
      <x:c r="B13" s="40" t="str">
        <x:v>本金利息/权益变动</x:v>
      </x:c>
      <x:c r="C13" s="40" t="str">
        <x:v>契约和分类</x:v>
      </x:c>
      <x:c r="D13" s="40" t="str">
        <x:v>函证/一年内到期/决议</x:v>
      </x:c>
      <x:c r="E13" s="40" t="str">
        <x:v>资金/总账</x:v>
      </x:c>
      <x:c r="F13" s="40" t="str">
        <x:v>主管/CFO</x:v>
      </x:c>
      <x:c r="G13" s="40" t="str">
        <x:v>合同滚动</x:v>
      </x:c>
      <x:c r="H13" s="40" t="str">
        <x:v>D+5</x:v>
      </x:c>
      <x:c r="I13" s="40" t="str">
        <x:v>是</x:v>
      </x:c>
      <x:c r="J13" s="40" t="str">
        <x:v>违约/重大变动</x:v>
      </x:c>
      <x:c r="K13" s="40" t="str">
        <x:v>Treasury/GL</x:v>
      </x:c>
      <x:c r="L13" s="41" t="str"/>
    </x:row>
    <x:row r="14">
      <x:c r="A14" s="52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4"/>
    </x:row>
    <x:row r="15">
      <x:c r="A15" s="39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1"/>
    </x:row>
    <x:row r="16">
      <x:c r="A16" s="52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4"/>
    </x:row>
    <x:row r="17">
      <x:c r="A17" s="39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1"/>
    </x:row>
    <x:row r="18">
      <x:c r="A18" s="52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4"/>
    </x:row>
    <x:row r="19">
      <x:c r="A19" s="39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1"/>
    </x:row>
    <x:row r="20">
      <x:c r="A20" s="52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4"/>
    </x:row>
    <x:row r="21">
      <x:c r="A21" s="39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1"/>
    </x:row>
    <x:row r="22">
      <x:c r="A22" s="60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2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58af1a5fc954612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0" hidden="0" customWidth="1"/>
    <x:col min="4" max="4" width="42" hidden="0" customWidth="1"/>
    <x:col min="5" max="5" width="18" hidden="0" customWidth="1"/>
    <x:col min="6" max="6" width="16" hidden="0" customWidth="1"/>
    <x:col min="7" max="7" width="30" hidden="0" customWidth="1"/>
    <x:col min="8" max="8" width="24" hidden="0" customWidth="1"/>
  </x:cols>
  <x:sheetData>
    <x:row r="1" ht="30" customHeight="1">
      <x:c r="A1" s="80" t="str">
        <x:v>数据字典与异常规则</x:v>
      </x:c>
      <x:c r="B1" s="81"/>
      <x:c r="C1" s="81"/>
      <x:c r="D1" s="81"/>
      <x:c r="E1" s="81"/>
      <x:c r="F1" s="81"/>
      <x:c r="G1" s="81"/>
      <x:c r="H1" s="81"/>
    </x:row>
    <x:row r="2" ht="24" customHeight="1">
      <x:c r="A2" s="82" t="str">
        <x:v>统一科目方向、异常类别、风险等级、状态和处理术语</x:v>
      </x:c>
      <x:c r="B2" s="81"/>
      <x:c r="C2" s="81"/>
      <x:c r="D2" s="81"/>
      <x:c r="E2" s="81"/>
      <x:c r="F2" s="81"/>
      <x:c r="G2" s="81"/>
      <x:c r="H2" s="81"/>
    </x:row>
    <x:row r="3">
      <x:c r="A3" s="81"/>
      <x:c r="B3" s="81"/>
      <x:c r="C3" s="81"/>
      <x:c r="D3" s="81"/>
      <x:c r="E3" s="81"/>
      <x:c r="F3" s="81"/>
      <x:c r="G3" s="81"/>
      <x:c r="H3" s="81"/>
    </x:row>
    <x:row r="4">
      <x:c r="A4" s="81"/>
      <x:c r="B4" s="81"/>
      <x:c r="C4" s="81"/>
      <x:c r="D4" s="81"/>
      <x:c r="E4" s="81"/>
      <x:c r="F4" s="81"/>
      <x:c r="G4" s="81"/>
      <x:c r="H4" s="81"/>
    </x:row>
    <x:row r="5" ht="32" customHeight="1">
      <x:c r="A5" s="15" t="str">
        <x:v>类别</x:v>
      </x:c>
      <x:c r="B5" s="16" t="str">
        <x:v>代码</x:v>
      </x:c>
      <x:c r="C5" s="16" t="str">
        <x:v>名称</x:v>
      </x:c>
      <x:c r="D5" s="16" t="str">
        <x:v>定义/触发</x:v>
      </x:c>
      <x:c r="E5" s="16" t="str">
        <x:v>默认责任</x:v>
      </x:c>
      <x:c r="F5" s="16" t="str">
        <x:v>是否主管复核</x:v>
      </x:c>
      <x:c r="G5" s="16" t="str">
        <x:v>关闭条件</x:v>
      </x:c>
      <x:c r="H5" s="17" t="str">
        <x:v>备注</x:v>
      </x:c>
    </x:row>
    <x:row r="6">
      <x:c r="A6" s="49" t="str">
        <x:v>异常</x:v>
      </x:c>
      <x:c r="B6" s="50" t="str">
        <x:v>E01</x:v>
      </x:c>
      <x:c r="C6" s="50" t="str">
        <x:v>方向异常</x:v>
      </x:c>
      <x:c r="D6" s="50" t="str">
        <x:v>余额与常态方向相反</x:v>
      </x:c>
      <x:c r="E6" s="50" t="str">
        <x:v>科目责任人</x:v>
      </x:c>
      <x:c r="F6" s="50" t="str">
        <x:v>是</x:v>
      </x:c>
      <x:c r="G6" s="50" t="str">
        <x:v>查明原因并处理</x:v>
      </x:c>
      <x:c r="H6" s="51" t="str">
        <x:v>反向不必然错误</x:v>
      </x:c>
    </x:row>
    <x:row r="7">
      <x:c r="A7" s="39" t="str">
        <x:v>异常</x:v>
      </x:c>
      <x:c r="B7" s="40" t="str">
        <x:v>E02</x:v>
      </x:c>
      <x:c r="C7" s="40" t="str">
        <x:v>账龄异常</x:v>
      </x:c>
      <x:c r="D7" s="40" t="str">
        <x:v>超过内部阈值</x:v>
      </x:c>
      <x:c r="E7" s="40" t="str">
        <x:v>业务+财务</x:v>
      </x:c>
      <x:c r="F7" s="40" t="str">
        <x:v>是</x:v>
      </x:c>
      <x:c r="G7" s="40" t="str">
        <x:v>书面计划和证据</x:v>
      </x:c>
      <x:c r="H7" s="41" t="str">
        <x:v>不能直接核销</x:v>
      </x:c>
    </x:row>
    <x:row r="8">
      <x:c r="A8" s="52" t="str">
        <x:v>异常</x:v>
      </x:c>
      <x:c r="B8" s="53" t="str">
        <x:v>E03</x:v>
      </x:c>
      <x:c r="C8" s="53" t="str">
        <x:v>勾稽异常</x:v>
      </x:c>
      <x:c r="D8" s="53" t="str">
        <x:v>两数据源不可调节一致</x:v>
      </x:c>
      <x:c r="E8" s="53" t="str">
        <x:v>数据所有者</x:v>
      </x:c>
      <x:c r="F8" s="53" t="str">
        <x:v>是</x:v>
      </x:c>
      <x:c r="G8" s="53" t="str">
        <x:v>差异为零或合理调节</x:v>
      </x:c>
      <x:c r="H8" s="54" t="str">
        <x:v>禁止强行调账</x:v>
      </x:c>
    </x:row>
    <x:row r="9">
      <x:c r="A9" s="39" t="str">
        <x:v>异常</x:v>
      </x:c>
      <x:c r="B9" s="40" t="str">
        <x:v>E04</x:v>
      </x:c>
      <x:c r="C9" s="40" t="str">
        <x:v>波动异常</x:v>
      </x:c>
      <x:c r="D9" s="40" t="str">
        <x:v>环比超过参数</x:v>
      </x:c>
      <x:c r="E9" s="40" t="str">
        <x:v>总账</x:v>
      </x:c>
      <x:c r="F9" s="40" t="str">
        <x:v>视金额</x:v>
      </x:c>
      <x:c r="G9" s="40" t="str">
        <x:v>业务解释和凭证</x:v>
      </x:c>
      <x:c r="H9" s="41" t="str"/>
    </x:row>
    <x:row r="10">
      <x:c r="A10" s="52" t="str">
        <x:v>差异</x:v>
      </x:c>
      <x:c r="B10" s="53" t="str">
        <x:v>D01</x:v>
      </x:c>
      <x:c r="C10" s="53" t="str">
        <x:v>口径性</x:v>
      </x:c>
      <x:c r="D10" s="53" t="str">
        <x:v>范围、含税、币种等不同</x:v>
      </x:c>
      <x:c r="E10" s="53" t="str">
        <x:v>总账</x:v>
      </x:c>
      <x:c r="F10" s="53" t="str">
        <x:v>否</x:v>
      </x:c>
      <x:c r="G10" s="53" t="str">
        <x:v>统一口径</x:v>
      </x:c>
      <x:c r="H10" s="54" t="str"/>
    </x:row>
    <x:row r="11">
      <x:c r="A11" s="39" t="str">
        <x:v>差异</x:v>
      </x:c>
      <x:c r="B11" s="40" t="str">
        <x:v>D02</x:v>
      </x:c>
      <x:c r="C11" s="40" t="str">
        <x:v>时间性</x:v>
      </x:c>
      <x:c r="D11" s="40" t="str">
        <x:v>真实业务处理时间不同</x:v>
      </x:c>
      <x:c r="E11" s="40" t="str">
        <x:v>模块会计</x:v>
      </x:c>
      <x:c r="F11" s="40" t="str">
        <x:v>视账龄</x:v>
      </x:c>
      <x:c r="G11" s="40" t="str">
        <x:v>调节并后续关闭</x:v>
      </x:c>
      <x:c r="H11" s="41" t="str"/>
    </x:row>
    <x:row r="12">
      <x:c r="A12" s="52" t="str">
        <x:v>差异</x:v>
      </x:c>
      <x:c r="B12" s="53" t="str">
        <x:v>D03</x:v>
      </x:c>
      <x:c r="C12" s="53" t="str">
        <x:v>系统性</x:v>
      </x:c>
      <x:c r="D12" s="53" t="str">
        <x:v>接口、映射、主数据错误</x:v>
      </x:c>
      <x:c r="E12" s="53" t="str">
        <x:v>IT+财务</x:v>
      </x:c>
      <x:c r="F12" s="53" t="str">
        <x:v>是</x:v>
      </x:c>
      <x:c r="G12" s="53" t="str">
        <x:v>系统修复并复核</x:v>
      </x:c>
      <x:c r="H12" s="54" t="str"/>
    </x:row>
    <x:row r="13">
      <x:c r="A13" s="39" t="str">
        <x:v>差异</x:v>
      </x:c>
      <x:c r="B13" s="40" t="str">
        <x:v>D04</x:v>
      </x:c>
      <x:c r="C13" s="40" t="str">
        <x:v>账务错误</x:v>
      </x:c>
      <x:c r="D13" s="40" t="str">
        <x:v>漏记重记错科目错期</x:v>
      </x:c>
      <x:c r="E13" s="40" t="str">
        <x:v>总账</x:v>
      </x:c>
      <x:c r="F13" s="40" t="str">
        <x:v>是</x:v>
      </x:c>
      <x:c r="G13" s="40" t="str">
        <x:v>调整凭证和复核</x:v>
      </x:c>
      <x:c r="H13" s="41" t="str"/>
    </x:row>
    <x:row r="14">
      <x:c r="A14" s="52" t="str">
        <x:v>处理</x:v>
      </x:c>
      <x:c r="B14" s="53" t="str">
        <x:v>P01</x:v>
      </x:c>
      <x:c r="C14" s="53" t="str">
        <x:v>核销</x:v>
      </x:c>
      <x:c r="D14" s="53" t="str">
        <x:v>收付款匹配或批准注销债权</x:v>
      </x:c>
      <x:c r="E14" s="53" t="str">
        <x:v>模块会计</x:v>
      </x:c>
      <x:c r="F14" s="53" t="str">
        <x:v>是</x:v>
      </x:c>
      <x:c r="G14" s="53" t="str">
        <x:v>未结项关闭/审批</x:v>
      </x:c>
      <x:c r="H14" s="54" t="str"/>
    </x:row>
    <x:row r="15">
      <x:c r="A15" s="39" t="str">
        <x:v>处理</x:v>
      </x:c>
      <x:c r="B15" s="40" t="str">
        <x:v>P02</x:v>
      </x:c>
      <x:c r="C15" s="40" t="str">
        <x:v>冲销</x:v>
      </x:c>
      <x:c r="D15" s="40" t="str">
        <x:v>反向撤销原记录</x:v>
      </x:c>
      <x:c r="E15" s="40" t="str">
        <x:v>总账</x:v>
      </x:c>
      <x:c r="F15" s="40" t="str">
        <x:v>是</x:v>
      </x:c>
      <x:c r="G15" s="40" t="str">
        <x:v>原错账归零</x:v>
      </x:c>
      <x:c r="H15" s="41" t="str"/>
    </x:row>
    <x:row r="16">
      <x:c r="A16" s="52" t="str">
        <x:v>处理</x:v>
      </x:c>
      <x:c r="B16" s="53" t="str">
        <x:v>P03</x:v>
      </x:c>
      <x:c r="C16" s="53" t="str">
        <x:v>重分类</x:v>
      </x:c>
      <x:c r="D16" s="53" t="str">
        <x:v>总额不变改变科目列报</x:v>
      </x:c>
      <x:c r="E16" s="53" t="str">
        <x:v>总账</x:v>
      </x:c>
      <x:c r="F16" s="53" t="str">
        <x:v>是</x:v>
      </x:c>
      <x:c r="G16" s="53" t="str">
        <x:v>科目反映实质</x:v>
      </x:c>
      <x:c r="H16" s="54" t="str"/>
    </x:row>
    <x:row r="17">
      <x:c r="A17" s="39" t="str">
        <x:v>处理</x:v>
      </x:c>
      <x:c r="B17" s="40" t="str">
        <x:v>P04</x:v>
      </x:c>
      <x:c r="C17" s="40" t="str">
        <x:v>减值</x:v>
      </x:c>
      <x:c r="D17" s="40" t="str">
        <x:v>确认预期损失或价值下降</x:v>
      </x:c>
      <x:c r="E17" s="40" t="str">
        <x:v>总账</x:v>
      </x:c>
      <x:c r="F17" s="40" t="str">
        <x:v>是</x:v>
      </x:c>
      <x:c r="G17" s="40" t="str">
        <x:v>模型审批和披露</x:v>
      </x:c>
      <x:c r="H17" s="41" t="str"/>
    </x:row>
    <x:row r="18">
      <x:c r="A18" s="52" t="str">
        <x:v>状态</x:v>
      </x:c>
      <x:c r="B18" s="53" t="str">
        <x:v>S01</x:v>
      </x:c>
      <x:c r="C18" s="53" t="str">
        <x:v>未开始</x:v>
      </x:c>
      <x:c r="D18" s="53" t="str">
        <x:v>尚未处理</x:v>
      </x:c>
      <x:c r="E18" s="53" t="str">
        <x:v>责任人</x:v>
      </x:c>
      <x:c r="F18" s="53" t="str">
        <x:v>否</x:v>
      </x:c>
      <x:c r="G18" s="53" t="str">
        <x:v>不适用</x:v>
      </x:c>
      <x:c r="H18" s="54" t="str"/>
    </x:row>
    <x:row r="19">
      <x:c r="A19" s="39" t="str">
        <x:v>状态</x:v>
      </x:c>
      <x:c r="B19" s="40" t="str">
        <x:v>S02</x:v>
      </x:c>
      <x:c r="C19" s="40" t="str">
        <x:v>进行中</x:v>
      </x:c>
      <x:c r="D19" s="40" t="str">
        <x:v>已分配并处理</x:v>
      </x:c>
      <x:c r="E19" s="40" t="str">
        <x:v>责任人</x:v>
      </x:c>
      <x:c r="F19" s="40" t="str">
        <x:v>否</x:v>
      </x:c>
      <x:c r="G19" s="40" t="str">
        <x:v>动作完成</x:v>
      </x:c>
      <x:c r="H19" s="41" t="str"/>
    </x:row>
    <x:row r="20">
      <x:c r="A20" s="52" t="str">
        <x:v>状态</x:v>
      </x:c>
      <x:c r="B20" s="53" t="str">
        <x:v>S03</x:v>
      </x:c>
      <x:c r="C20" s="53" t="str">
        <x:v>待复核</x:v>
      </x:c>
      <x:c r="D20" s="53" t="str">
        <x:v>经办完成</x:v>
      </x:c>
      <x:c r="E20" s="53" t="str">
        <x:v>复核人</x:v>
      </x:c>
      <x:c r="F20" s="53" t="str">
        <x:v>是</x:v>
      </x:c>
      <x:c r="G20" s="53" t="str">
        <x:v>复核通过</x:v>
      </x:c>
      <x:c r="H20" s="54" t="str"/>
    </x:row>
    <x:row r="21">
      <x:c r="A21" s="39" t="str">
        <x:v>状态</x:v>
      </x:c>
      <x:c r="B21" s="40" t="str">
        <x:v>S04</x:v>
      </x:c>
      <x:c r="C21" s="40" t="str">
        <x:v>已关闭</x:v>
      </x:c>
      <x:c r="D21" s="40" t="str">
        <x:v>证据与处理完成</x:v>
      </x:c>
      <x:c r="E21" s="40" t="str">
        <x:v>复核人</x:v>
      </x:c>
      <x:c r="F21" s="40" t="str">
        <x:v>是</x:v>
      </x:c>
      <x:c r="G21" s="40" t="str">
        <x:v>关闭证据归档</x:v>
      </x:c>
      <x:c r="H21" s="41" t="str"/>
    </x:row>
    <x:row r="22">
      <x:c r="A22" s="52"/>
      <x:c r="B22" s="53"/>
      <x:c r="C22" s="53"/>
      <x:c r="D22" s="53"/>
      <x:c r="E22" s="53"/>
      <x:c r="F22" s="53"/>
      <x:c r="G22" s="53"/>
      <x:c r="H22" s="54"/>
    </x:row>
    <x:row r="23">
      <x:c r="A23" s="39"/>
      <x:c r="B23" s="40"/>
      <x:c r="C23" s="40"/>
      <x:c r="D23" s="40"/>
      <x:c r="E23" s="40"/>
      <x:c r="F23" s="40"/>
      <x:c r="G23" s="40"/>
      <x:c r="H23" s="41"/>
    </x:row>
    <x:row r="24">
      <x:c r="A24" s="52"/>
      <x:c r="B24" s="53"/>
      <x:c r="C24" s="53"/>
      <x:c r="D24" s="53"/>
      <x:c r="E24" s="53"/>
      <x:c r="F24" s="53"/>
      <x:c r="G24" s="53"/>
      <x:c r="H24" s="54"/>
    </x:row>
    <x:row r="25">
      <x:c r="A25" s="42"/>
      <x:c r="B25" s="43"/>
      <x:c r="C25" s="43"/>
      <x:c r="D25" s="43"/>
      <x:c r="E25" s="43"/>
      <x:c r="F25" s="43"/>
      <x:c r="G25" s="43"/>
      <x:c r="H25" s="44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22e45f52233408d"/>
  </x:tableParts>
</x:worksheet>
</file>