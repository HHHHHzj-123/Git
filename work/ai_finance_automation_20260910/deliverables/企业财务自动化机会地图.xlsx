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6c4e59091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总览" sheetId="1" r:id="R3d5cf2cf33394d68"/>
    <x:sheet xmlns:r="http://schemas.openxmlformats.org/officeDocument/2006/relationships" name="01-机会地图" sheetId="2" r:id="Rff01326088c4409c"/>
    <x:sheet xmlns:r="http://schemas.openxmlformats.org/officeDocument/2006/relationships" name="02-ROI测算" sheetId="3" r:id="Rfadf0e7d8cb44f0f"/>
    <x:sheet xmlns:r="http://schemas.openxmlformats.org/officeDocument/2006/relationships" name="03-评分模型" sheetId="4" r:id="Rea5fc8c248594a18"/>
    <x:sheet xmlns:r="http://schemas.openxmlformats.org/officeDocument/2006/relationships" name="04-工具矩阵" sheetId="5" r:id="R313182ca38844066"/>
    <x:sheet xmlns:r="http://schemas.openxmlformats.org/officeDocument/2006/relationships" name="05-全景评估" sheetId="6" r:id="R466cb3a57f9a43df"/>
    <x:sheet xmlns:r="http://schemas.openxmlformats.org/officeDocument/2006/relationships" name="06-3个月路线" sheetId="7" r:id="R0bb88a45e50a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¥#,##0"/>
    <x:numFmt numFmtId="202" formatCode="0.0%"/>
  </x:numFmts>
  <x:fonts count="5">
    <x:font>
      <x:sz val="11"/>
      <x:name val="Carlito"/>
    </x:font>
    <x:font>
      <x:b/>
      <x:sz val="16"/>
      <x:color rgb="FF000000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9abd730aa4aeb" /><Relationship Type="http://schemas.openxmlformats.org/officeDocument/2006/relationships/theme" Target="/xl/theme/theme1.xml" Id="Re8587efd3fe04113" /><Relationship Type="http://schemas.openxmlformats.org/officeDocument/2006/relationships/sharedStrings" Target="/xl/sharedStrings.xml" Id="R940cb792bdb74aa3" /><Relationship Type="http://schemas.openxmlformats.org/officeDocument/2006/relationships/worksheet" Target="/xl/worksheets/sheet1.xml" Id="R3d5cf2cf33394d68" /><Relationship Type="http://schemas.openxmlformats.org/officeDocument/2006/relationships/worksheet" Target="/xl/worksheets/sheet2.xml" Id="Rff01326088c4409c" /><Relationship Type="http://schemas.openxmlformats.org/officeDocument/2006/relationships/worksheet" Target="/xl/worksheets/sheet3.xml" Id="Rfadf0e7d8cb44f0f" /><Relationship Type="http://schemas.openxmlformats.org/officeDocument/2006/relationships/worksheet" Target="/xl/worksheets/sheet4.xml" Id="Rea5fc8c248594a18" /><Relationship Type="http://schemas.openxmlformats.org/officeDocument/2006/relationships/worksheet" Target="/xl/worksheets/sheet5.xml" Id="R313182ca38844066" /><Relationship Type="http://schemas.openxmlformats.org/officeDocument/2006/relationships/worksheet" Target="/xl/worksheets/sheet6.xml" Id="R466cb3a57f9a43df" /><Relationship Type="http://schemas.openxmlformats.org/officeDocument/2006/relationships/worksheet" Target="/xl/worksheets/sheet7.xml" Id="R0bb88a45e50a4f24" /></Relationships>
</file>

<file path=xl/tables/table1.xml><?xml version="1.0" encoding="utf-8"?>
<x:table xmlns:x="http://schemas.openxmlformats.org/spreadsheetml/2006/main" id="1" name="OpportunityMap" displayName="OpportunityMap" ref="A5:Q25" headerRowCount="1" totalsRowCount="0" totalsRowShown="0">
  <x:tableColumns count="17">
    <x:tableColumn id="1" name="编号"/>
    <x:tableColumn id="2" name="流程"/>
    <x:tableColumn id="3" name="任务"/>
    <x:tableColumn id="4" name="频率"/>
    <x:tableColumn id="5" name="每次耗时分钟"/>
    <x:tableColumn id="6" name="月度节约小时"/>
    <x:tableColumn id="7" name="规则清晰度1-5"/>
    <x:tableColumn id="8" name="数据结构1-5"/>
    <x:tableColumn id="9" name="判断程度1-5"/>
    <x:tableColumn id="10" name="风险1-5"/>
    <x:tableColumn id="11" name="推荐工具"/>
    <x:tableColumn id="12" name="难度Level"/>
    <x:tableColumn id="13" name="原型小时"/>
    <x:tableColumn id="14" name="预计月省小时"/>
    <x:tableColumn id="15" name="人工保留步骤"/>
    <x:tableColumn id="16" name="自动化潜力"/>
    <x:tableColumn id="17" name="优先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IModel" displayName="ROIModel" ref="A5:O25" headerRowCount="1" totalsRowCount="0" totalsRowShown="0">
  <x:tableColumns count="15">
    <x:tableColumn id="1" name="编号"/>
    <x:tableColumn id="2" name="项目"/>
    <x:tableColumn id="3" name="收益月数"/>
    <x:tableColumn id="4" name="月省小时"/>
    <x:tableColumn id="5" name="小时人工成本"/>
    <x:tableColumn id="6" name="其他年收益"/>
    <x:tableColumn id="7" name="开发小时"/>
    <x:tableColumn id="8" name="开发小时成本"/>
    <x:tableColumn id="9" name="软件及培训"/>
    <x:tableColumn id="10" name="月维护小时"/>
    <x:tableColumn id="11" name="首年收益"/>
    <x:tableColumn id="12" name="首年TCO"/>
    <x:tableColumn id="13" name="首年ROI"/>
    <x:tableColumn id="14" name="回收期月"/>
    <x:tableColumn id="15" name="建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reModel" displayName="ScoreModel" ref="A5:E18" headerRowCount="1" totalsRowCount="0" totalsRowShown="0">
  <x:tableColumns count="5">
    <x:tableColumn id="1" name="维度"/>
    <x:tableColumn id="2" name="指标"/>
    <x:tableColumn id="3" name="权重"/>
    <x:tableColumn id="4" name="5分标准"/>
    <x:tableColumn id="5" name="1分标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olMatrix" displayName="ToolMatrix" ref="A5:D14" headerRowCount="1" totalsRowCount="0" totalsRowShown="0">
  <x:tableColumns count="4">
    <x:tableColumn id="1" name="工具"/>
    <x:tableColumn id="2" name="适用问题"/>
    <x:tableColumn id="3" name="典型场景"/>
    <x:tableColumn id="4" name="不适合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norama" displayName="Panorama" ref="A5:H21" headerRowCount="1" totalsRowCount="0" totalsRowShown="0">
  <x:tableColumns count="8">
    <x:tableColumn id="1" name="领域"/>
    <x:tableColumn id="2" name="典型任务"/>
    <x:tableColumn id="3" name="重复"/>
    <x:tableColumn id="4" name="规则"/>
    <x:tableColumn id="5" name="判断"/>
    <x:tableColumn id="6" name="价值"/>
    <x:tableColumn id="7" name="工具"/>
    <x:tableColumn id="8" name="人工保留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oadmap" displayName="Roadmap" ref="A5:D17" headerRowCount="1" totalsRowCount="0" totalsRowShown="0">
  <x:tableColumns count="4">
    <x:tableColumn id="1" name="周"/>
    <x:tableColumn id="2" name="重点"/>
    <x:tableColumn id="3" name="练习成果"/>
    <x:tableColumn id="4" name="完成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d0597ed3d642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50ea0332284f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878e1ad09241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aa9ef7a1d443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8dd5e2eef644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19fcf72bce46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6" hidden="0" customWidth="1"/>
    <x:col min="4" max="4" width="46" hidden="0" customWidth="1"/>
  </x:cols>
  <x:sheetData>
    <x:row r="1" ht="30" customHeight="1">
      <x:c r="A1" s="1" t="str">
        <x:v>企业财务自动化机会地图</x:v>
      </x:c>
    </x:row>
    <x:row r="2" ht="28" customHeight="1">
      <x:c r="A2" s="3" t="str">
        <x:v>先测量，再评分，再做ROI。黄色单元格为可修改假设。</x:v>
      </x:c>
    </x:row>
    <x:row r="5" ht="34" customHeight="1">
      <x:c r="A5" s="9" t="str">
        <x:v>指标</x:v>
      </x:c>
      <x:c r="B5" s="9" t="str">
        <x:v>当前</x:v>
      </x:c>
      <x:c r="C5" s="9" t="str">
        <x:v>判断标准</x:v>
      </x:c>
      <x:c r="D5" s="9" t="str">
        <x:v>用途</x:v>
      </x:c>
    </x:row>
    <x:row r="6">
      <x:c r="A6" s="13" t="str">
        <x:v>项目数</x:v>
      </x:c>
      <x:c r="B6" s="13" t="n">
        <x:f>COUNTA('01-机会地图'!A6:A25)</x:f>
        <x:v>20</x:v>
      </x:c>
      <x:c r="C6" s="13" t="n">
        <x:v>20</x:v>
      </x:c>
      <x:c r="D6" s="13" t="str">
        <x:v>全部候选</x:v>
      </x:c>
    </x:row>
    <x:row r="7">
      <x:c r="A7" s="13" t="str">
        <x:v>优先项目</x:v>
      </x:c>
      <x:c r="B7" s="13" t="n">
        <x:f>COUNTIF('01-机会地图'!Q6:Q25,"优先")</x:f>
        <x:v>5</x:v>
      </x:c>
      <x:c r="C7" s="13" t="n">
        <x:v>5</x:v>
      </x:c>
      <x:c r="D7" s="13" t="str">
        <x:v>银行、暂估、挂账、TB、报表</x:v>
      </x:c>
    </x:row>
    <x:row r="8">
      <x:c r="A8" s="13" t="str">
        <x:v>总原型投入小时</x:v>
      </x:c>
      <x:c r="B8" s="13" t="n">
        <x:f>SUM('01-机会地图'!L6:L25)</x:f>
        <x:v>47</x:v>
      </x:c>
      <x:c r="C8" s="13" t="str">
        <x:v>按项目</x:v>
      </x:c>
      <x:c r="D8" s="13" t="str">
        <x:v>不等于生产上线工时</x:v>
      </x:c>
    </x:row>
    <x:row r="9">
      <x:c r="A9" s="13" t="str">
        <x:v>月度节约小时</x:v>
      </x:c>
      <x:c r="B9" s="13" t="n">
        <x:f>SUM('01-机会地图'!M6:M25)</x:f>
        <x:v>488</x:v>
      </x:c>
      <x:c r="C9" s="13" t="str">
        <x:v>案例假设</x:v>
      </x:c>
      <x:c r="D9" s="13" t="str">
        <x:v>进入企业后重测</x:v>
      </x:c>
    </x:row>
    <x:row r="10">
      <x:c r="A10" s="13" t="str">
        <x:v>平均回收期（月）</x:v>
      </x:c>
      <x:c r="B10" s="14" t="n">
        <x:f>AVERAGE('02-ROI测算'!N6:N25)</x:f>
        <x:v>7.354285714285714</x:v>
      </x:c>
      <x:c r="C10" s="13" t="str">
        <x:v>越短越优先</x:v>
      </x:c>
      <x:c r="D10" s="13" t="str">
        <x:v>同时考虑风险与复用</x:v>
      </x:c>
    </x:row>
    <x:row r="11">
      <x:c r="A11" s="13" t="str">
        <x:v>AI Agent项目</x:v>
      </x:c>
      <x:c r="B11" s="13" t="n">
        <x:f>COUNTIF('01-机会地图'!K6:K25,"*Agent*")</x:f>
        <x:v>0</x:v>
      </x:c>
      <x:c r="C11" s="13" t="str">
        <x:v>安排在最后</x:v>
      </x:c>
      <x:c r="D11" s="13" t="str">
        <x:v>先稳定数据、规则和权限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11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1" hidden="0" customWidth="1"/>
    <x:col min="11" max="11" width="26" hidden="0" customWidth="1"/>
    <x:col min="12" max="12" width="12" hidden="0" customWidth="1"/>
    <x:col min="13" max="13" width="13" hidden="0" customWidth="1"/>
    <x:col min="14" max="14" width="15" hidden="0" customWidth="1"/>
    <x:col min="15" max="15" width="34" hidden="0" customWidth="1"/>
    <x:col min="16" max="16" width="14" hidden="0" customWidth="1"/>
    <x:col min="17" max="17" width="11" hidden="0" customWidth="1"/>
  </x:cols>
  <x:sheetData>
    <x:row r="1" ht="30" customHeight="1">
      <x:c r="A1" s="1" t="str">
        <x:v>财务自动化机会地图</x:v>
      </x:c>
    </x:row>
    <x:row r="2" ht="28" customHeight="1">
      <x:c r="A2" s="3" t="str">
        <x:v>评分为初筛，必须结合权限门槛和ROI。</x:v>
      </x:c>
    </x:row>
    <x:row r="5" ht="34" customHeight="1">
      <x:c r="A5" s="9" t="str">
        <x:v>编号</x:v>
      </x:c>
      <x:c r="B5" s="9" t="str">
        <x:v>流程</x:v>
      </x:c>
      <x:c r="C5" s="9" t="str">
        <x:v>任务</x:v>
      </x:c>
      <x:c r="D5" s="9" t="str">
        <x:v>频率</x:v>
      </x:c>
      <x:c r="E5" s="9" t="str">
        <x:v>每次耗时分钟</x:v>
      </x:c>
      <x:c r="F5" s="9" t="str">
        <x:v>月度节约小时</x:v>
      </x:c>
      <x:c r="G5" s="9" t="str">
        <x:v>规则清晰度1-5</x:v>
      </x:c>
      <x:c r="H5" s="9" t="str">
        <x:v>数据结构1-5</x:v>
      </x:c>
      <x:c r="I5" s="9" t="str">
        <x:v>判断程度1-5</x:v>
      </x:c>
      <x:c r="J5" s="9" t="str">
        <x:v>风险1-5</x:v>
      </x:c>
      <x:c r="K5" s="9" t="str">
        <x:v>推荐工具</x:v>
      </x:c>
      <x:c r="L5" s="9" t="str">
        <x:v>难度Level</x:v>
      </x:c>
      <x:c r="M5" s="9" t="str">
        <x:v>原型小时</x:v>
      </x:c>
      <x:c r="N5" s="9" t="str">
        <x:v>预计月省小时</x:v>
      </x:c>
      <x:c r="O5" s="9" t="str">
        <x:v>人工保留步骤</x:v>
      </x:c>
      <x:c r="P5" s="9" t="str">
        <x:v>自动化潜力</x:v>
      </x:c>
      <x:c r="Q5" s="9" t="str">
        <x:v>优先级</x:v>
      </x:c>
    </x:row>
    <x:row r="6">
      <x:c r="A6" s="13" t="str">
        <x:v>AUT-01</x:v>
      </x:c>
      <x:c r="B6" s="13" t="str">
        <x:v>银行与资金</x:v>
      </x:c>
      <x:c r="C6" s="13" t="str">
        <x:v>银行流水自动对账</x:v>
      </x:c>
      <x:c r="D6" s="13" t="str">
        <x:v>高频</x:v>
      </x:c>
      <x:c r="E6" s="15" t="n">
        <x:v>3</x:v>
      </x:c>
      <x:c r="F6" s="15" t="n">
        <x:v>10</x:v>
      </x:c>
      <x:c r="G6" s="15" t="n">
        <x:v>5</x:v>
      </x:c>
      <x:c r="H6" s="15" t="n">
        <x:v>3</x:v>
      </x:c>
      <x:c r="I6" s="15" t="n">
        <x:v>4</x:v>
      </x:c>
      <x:c r="J6" s="15" t="n">
        <x:v>2</x:v>
      </x:c>
      <x:c r="K6" s="13" t="str">
        <x:v>Power Query＋Excel，复杂组合匹配再用Python</x:v>
      </x:c>
      <x:c r="L6" s="15" t="n">
        <x:v>2</x:v>
      </x:c>
      <x:c r="M6" s="15" t="n">
        <x:v>28</x:v>
      </x:c>
      <x:c r="N6" s="15" t="n">
        <x:v>10</x:v>
      </x:c>
      <x:c r="O6" s="13" t="str">
        <x:v>人工判断、复核和批准</x:v>
      </x:c>
      <x:c r="P6" s="13" t="str">
        <x:f>IF(AND(G6&gt;=4,H6&gt;=3,I6&lt;=4),"高","中")</x:f>
        <x:v>高</x:v>
      </x:c>
      <x:c r="Q6" s="13" t="str">
        <x:v>优先</x:v>
      </x:c>
    </x:row>
    <x:row r="7">
      <x:c r="A7" s="13" t="str">
        <x:v>AUT-02</x:v>
      </x:c>
      <x:c r="B7" s="13" t="str">
        <x:v>销售与应收</x:v>
      </x:c>
      <x:c r="C7" s="13" t="str">
        <x:v>客户回款自动匹配</x:v>
      </x:c>
      <x:c r="D7" s="13" t="str">
        <x:v>高频</x:v>
      </x:c>
      <x:c r="E7" s="15" t="n">
        <x:v>5</x:v>
      </x:c>
      <x:c r="F7" s="15" t="n">
        <x:v>12</x:v>
      </x:c>
      <x:c r="G7" s="15" t="n">
        <x:v>5</x:v>
      </x:c>
      <x:c r="H7" s="15" t="n">
        <x:v>4</x:v>
      </x:c>
      <x:c r="I7" s="15" t="n">
        <x:v>4</x:v>
      </x:c>
      <x:c r="J7" s="15" t="n">
        <x:v>2</x:v>
      </x:c>
      <x:c r="K7" s="13" t="str">
        <x:v>Power Query/Python</x:v>
      </x:c>
      <x:c r="L7" s="15" t="n">
        <x:v>3</x:v>
      </x:c>
      <x:c r="M7" s="15" t="n">
        <x:v>36</x:v>
      </x:c>
      <x:c r="N7" s="15" t="n">
        <x:v>12</x:v>
      </x:c>
      <x:c r="O7" s="13" t="str">
        <x:v>人工判断、复核和批准</x:v>
      </x:c>
      <x:c r="P7" s="13" t="str">
        <x:f>IF(AND(G7&gt;=4,H7&gt;=3,I7&lt;=4),"高","中")</x:f>
        <x:v>高</x:v>
      </x:c>
      <x:c r="Q7" s="13" t="str">
        <x:v>后续</x:v>
      </x:c>
    </x:row>
    <x:row r="8">
      <x:c r="A8" s="13" t="str">
        <x:v>AUT-03</x:v>
      </x:c>
      <x:c r="B8" s="13" t="str">
        <x:v>采购与应付</x:v>
      </x:c>
      <x:c r="C8" s="13" t="str">
        <x:v>应付重复付款检查</x:v>
      </x:c>
      <x:c r="D8" s="13" t="str">
        <x:v>高频</x:v>
      </x:c>
      <x:c r="E8" s="15" t="n">
        <x:v>3</x:v>
      </x:c>
      <x:c r="F8" s="15" t="n">
        <x:v>4</x:v>
      </x:c>
      <x:c r="G8" s="15" t="n">
        <x:v>5</x:v>
      </x:c>
      <x:c r="H8" s="15" t="n">
        <x:v>4</x:v>
      </x:c>
      <x:c r="I8" s="15" t="n">
        <x:v>4</x:v>
      </x:c>
      <x:c r="J8" s="15" t="n">
        <x:v>2</x:v>
      </x:c>
      <x:c r="K8" s="13" t="str">
        <x:v>Excel/Power Query</x:v>
      </x:c>
      <x:c r="L8" s="15" t="n">
        <x:v>2</x:v>
      </x:c>
      <x:c r="M8" s="15" t="n">
        <x:v>14</x:v>
      </x:c>
      <x:c r="N8" s="15" t="n">
        <x:v>4</x:v>
      </x:c>
      <x:c r="O8" s="13" t="str">
        <x:v>人工判断、复核和批准</x:v>
      </x:c>
      <x:c r="P8" s="13" t="str">
        <x:f>IF(AND(G8&gt;=4,H8&gt;=3,I8&lt;=4),"高","中")</x:f>
        <x:v>高</x:v>
      </x:c>
      <x:c r="Q8" s="13" t="str">
        <x:v>后续</x:v>
      </x:c>
    </x:row>
    <x:row r="9">
      <x:c r="A9" s="13" t="str">
        <x:v>AUT-04</x:v>
      </x:c>
      <x:c r="B9" s="13" t="str">
        <x:v>发票</x:v>
      </x:c>
      <x:c r="C9" s="13" t="str">
        <x:v>发票重复识别</x:v>
      </x:c>
      <x:c r="D9" s="13" t="str">
        <x:v>高频</x:v>
      </x:c>
      <x:c r="E9" s="15" t="n">
        <x:v>3</x:v>
      </x:c>
      <x:c r="F9" s="15" t="n">
        <x:v>5</x:v>
      </x:c>
      <x:c r="G9" s="15" t="n">
        <x:v>5</x:v>
      </x:c>
      <x:c r="H9" s="15" t="n">
        <x:v>4</x:v>
      </x:c>
      <x:c r="I9" s="15" t="n">
        <x:v>4</x:v>
      </x:c>
      <x:c r="J9" s="15" t="n">
        <x:v>2</x:v>
      </x:c>
      <x:c r="K9" s="13" t="str">
        <x:v>Power Query/规则引擎</x:v>
      </x:c>
      <x:c r="L9" s="15" t="n">
        <x:v>2</x:v>
      </x:c>
      <x:c r="M9" s="15" t="n">
        <x:v>14</x:v>
      </x:c>
      <x:c r="N9" s="15" t="n">
        <x:v>5</x:v>
      </x:c>
      <x:c r="O9" s="13" t="str">
        <x:v>人工判断、复核和批准</x:v>
      </x:c>
      <x:c r="P9" s="13" t="str">
        <x:f>IF(AND(G9&gt;=4,H9&gt;=3,I9&lt;=4),"高","中")</x:f>
        <x:v>高</x:v>
      </x:c>
      <x:c r="Q9" s="13" t="str">
        <x:v>后续</x:v>
      </x:c>
    </x:row>
    <x:row r="10">
      <x:c r="A10" s="13" t="str">
        <x:v>AUT-05</x:v>
      </x:c>
      <x:c r="B10" s="13" t="str">
        <x:v>采购与应付</x:v>
      </x:c>
      <x:c r="C10" s="13" t="str">
        <x:v>暂估自动匹配</x:v>
      </x:c>
      <x:c r="D10" s="13" t="str">
        <x:v>高频</x:v>
      </x:c>
      <x:c r="E10" s="15" t="n">
        <x:v>3</x:v>
      </x:c>
      <x:c r="F10" s="15" t="n">
        <x:v>10</x:v>
      </x:c>
      <x:c r="G10" s="15" t="n">
        <x:v>5</x:v>
      </x:c>
      <x:c r="H10" s="15" t="n">
        <x:v>3</x:v>
      </x:c>
      <x:c r="I10" s="15" t="n">
        <x:v>4</x:v>
      </x:c>
      <x:c r="J10" s="15" t="n">
        <x:v>2</x:v>
      </x:c>
      <x:c r="K10" s="13" t="str">
        <x:v>Power Query/Python</x:v>
      </x:c>
      <x:c r="L10" s="15" t="n">
        <x:v>3</x:v>
      </x:c>
      <x:c r="M10" s="15" t="n">
        <x:v>34</x:v>
      </x:c>
      <x:c r="N10" s="15" t="n">
        <x:v>10</x:v>
      </x:c>
      <x:c r="O10" s="13" t="str">
        <x:v>人工判断、复核和批准</x:v>
      </x:c>
      <x:c r="P10" s="13" t="str">
        <x:f>IF(AND(G10&gt;=4,H10&gt;=3,I10&lt;=4),"高","中")</x:f>
        <x:v>高</x:v>
      </x:c>
      <x:c r="Q10" s="13" t="str">
        <x:v>优先</x:v>
      </x:c>
    </x:row>
    <x:row r="11">
      <x:c r="A11" s="13" t="str">
        <x:v>AUT-06</x:v>
      </x:c>
      <x:c r="B11" s="13" t="str">
        <x:v>费用与月结</x:v>
      </x:c>
      <x:c r="C11" s="13" t="str">
        <x:v>预提费用自动计算</x:v>
      </x:c>
      <x:c r="D11" s="13" t="str">
        <x:v>月度</x:v>
      </x:c>
      <x:c r="E11" s="15" t="n">
        <x:v>3</x:v>
      </x:c>
      <x:c r="F11" s="15" t="n">
        <x:v>4</x:v>
      </x:c>
      <x:c r="G11" s="15" t="n">
        <x:v>5</x:v>
      </x:c>
      <x:c r="H11" s="15" t="n">
        <x:v>4</x:v>
      </x:c>
      <x:c r="I11" s="15" t="n">
        <x:v>4</x:v>
      </x:c>
      <x:c r="J11" s="15" t="n">
        <x:v>2</x:v>
      </x:c>
      <x:c r="K11" s="13" t="str">
        <x:v>Excel/Power Query</x:v>
      </x:c>
      <x:c r="L11" s="15" t="n">
        <x:v>1</x:v>
      </x:c>
      <x:c r="M11" s="15" t="n">
        <x:v>12</x:v>
      </x:c>
      <x:c r="N11" s="15" t="n">
        <x:v>4</x:v>
      </x:c>
      <x:c r="O11" s="13" t="str">
        <x:v>人工判断、复核和批准</x:v>
      </x:c>
      <x:c r="P11" s="13" t="str">
        <x:f>IF(AND(G11&gt;=4,H11&gt;=3,I11&lt;=4),"高","中")</x:f>
        <x:v>高</x:v>
      </x:c>
      <x:c r="Q11" s="13" t="str">
        <x:v>后续</x:v>
      </x:c>
    </x:row>
    <x:row r="12">
      <x:c r="A12" s="13" t="str">
        <x:v>AUT-07</x:v>
      </x:c>
      <x:c r="B12" s="13" t="str">
        <x:v>销售与应收</x:v>
      </x:c>
      <x:c r="C12" s="13" t="str">
        <x:v>应收账龄自动分析</x:v>
      </x:c>
      <x:c r="D12" s="13" t="str">
        <x:v>月度</x:v>
      </x:c>
      <x:c r="E12" s="15" t="n">
        <x:v>3</x:v>
      </x:c>
      <x:c r="F12" s="15" t="n">
        <x:v>6</x:v>
      </x:c>
      <x:c r="G12" s="15" t="n">
        <x:v>5</x:v>
      </x:c>
      <x:c r="H12" s="15" t="n">
        <x:v>4</x:v>
      </x:c>
      <x:c r="I12" s="15" t="n">
        <x:v>4</x:v>
      </x:c>
      <x:c r="J12" s="15" t="n">
        <x:v>2</x:v>
      </x:c>
      <x:c r="K12" s="13" t="str">
        <x:v>Power Query/Power BI</x:v>
      </x:c>
      <x:c r="L12" s="15" t="n">
        <x:v>2</x:v>
      </x:c>
      <x:c r="M12" s="15" t="n">
        <x:v>16</x:v>
      </x:c>
      <x:c r="N12" s="15" t="n">
        <x:v>6</x:v>
      </x:c>
      <x:c r="O12" s="13" t="str">
        <x:v>人工判断、复核和批准</x:v>
      </x:c>
      <x:c r="P12" s="13" t="str">
        <x:f>IF(AND(G12&gt;=4,H12&gt;=3,I12&lt;=4),"高","中")</x:f>
        <x:v>高</x:v>
      </x:c>
      <x:c r="Q12" s="13" t="str">
        <x:v>后续</x:v>
      </x:c>
    </x:row>
    <x:row r="13">
      <x:c r="A13" s="13" t="str">
        <x:v>AUT-08</x:v>
      </x:c>
      <x:c r="B13" s="13" t="str">
        <x:v>全科目核对</x:v>
      </x:c>
      <x:c r="C13" s="13" t="str">
        <x:v>长期挂账自动扫描</x:v>
      </x:c>
      <x:c r="D13" s="13" t="str">
        <x:v>月度</x:v>
      </x:c>
      <x:c r="E13" s="15" t="n">
        <x:v>3</x:v>
      </x:c>
      <x:c r="F13" s="15" t="n">
        <x:v>6</x:v>
      </x:c>
      <x:c r="G13" s="15" t="n">
        <x:v>5</x:v>
      </x:c>
      <x:c r="H13" s="15" t="n">
        <x:v>4</x:v>
      </x:c>
      <x:c r="I13" s="15" t="n">
        <x:v>4</x:v>
      </x:c>
      <x:c r="J13" s="15" t="n">
        <x:v>2</x:v>
      </x:c>
      <x:c r="K13" s="13" t="str">
        <x:v>Power Query/Excel</x:v>
      </x:c>
      <x:c r="L13" s="15" t="n">
        <x:v>2</x:v>
      </x:c>
      <x:c r="M13" s="15" t="n">
        <x:v>18</x:v>
      </x:c>
      <x:c r="N13" s="15" t="n">
        <x:v>6</x:v>
      </x:c>
      <x:c r="O13" s="13" t="str">
        <x:v>人工判断、复核和批准</x:v>
      </x:c>
      <x:c r="P13" s="13" t="str">
        <x:f>IF(AND(G13&gt;=4,H13&gt;=3,I13&lt;=4),"高","中")</x:f>
        <x:v>高</x:v>
      </x:c>
      <x:c r="Q13" s="13" t="str">
        <x:v>优先</x:v>
      </x:c>
    </x:row>
    <x:row r="14">
      <x:c r="A14" s="13" t="str">
        <x:v>AUT-09</x:v>
      </x:c>
      <x:c r="B14" s="13" t="str">
        <x:v>全科目核对</x:v>
      </x:c>
      <x:c r="C14" s="13" t="str">
        <x:v>TB异常余额检查</x:v>
      </x:c>
      <x:c r="D14" s="13" t="str">
        <x:v>月度</x:v>
      </x:c>
      <x:c r="E14" s="15" t="n">
        <x:v>3</x:v>
      </x:c>
      <x:c r="F14" s="15" t="n">
        <x:v>8</x:v>
      </x:c>
      <x:c r="G14" s="15" t="n">
        <x:v>5</x:v>
      </x:c>
      <x:c r="H14" s="15" t="n">
        <x:v>3</x:v>
      </x:c>
      <x:c r="I14" s="15" t="n">
        <x:v>4</x:v>
      </x:c>
      <x:c r="J14" s="15" t="n">
        <x:v>2</x:v>
      </x:c>
      <x:c r="K14" s="13" t="str">
        <x:v>Excel/Python</x:v>
      </x:c>
      <x:c r="L14" s="15" t="n">
        <x:v>3</x:v>
      </x:c>
      <x:c r="M14" s="15" t="n">
        <x:v>28</x:v>
      </x:c>
      <x:c r="N14" s="15" t="n">
        <x:v>8</x:v>
      </x:c>
      <x:c r="O14" s="13" t="str">
        <x:v>人工判断、复核和批准</x:v>
      </x:c>
      <x:c r="P14" s="13" t="str">
        <x:f>IF(AND(G14&gt;=4,H14&gt;=3,I14&lt;=4),"高","中")</x:f>
        <x:v>高</x:v>
      </x:c>
      <x:c r="Q14" s="13" t="str">
        <x:v>优先</x:v>
      </x:c>
    </x:row>
    <x:row r="15">
      <x:c r="A15" s="13" t="str">
        <x:v>AUT-10</x:v>
      </x:c>
      <x:c r="B15" s="13" t="str">
        <x:v>月结</x:v>
      </x:c>
      <x:c r="C15" s="13" t="str">
        <x:v>子模块与GL自动对账</x:v>
      </x:c>
      <x:c r="D15" s="13" t="str">
        <x:v>月度</x:v>
      </x:c>
      <x:c r="E15" s="15" t="n">
        <x:v>3</x:v>
      </x:c>
      <x:c r="F15" s="15" t="n">
        <x:v>7</x:v>
      </x:c>
      <x:c r="G15" s="15" t="n">
        <x:v>5</x:v>
      </x:c>
      <x:c r="H15" s="15" t="n">
        <x:v>4</x:v>
      </x:c>
      <x:c r="I15" s="15" t="n">
        <x:v>4</x:v>
      </x:c>
      <x:c r="J15" s="15" t="n">
        <x:v>2</x:v>
      </x:c>
      <x:c r="K15" s="13" t="str">
        <x:v>Power Query</x:v>
      </x:c>
      <x:c r="L15" s="15" t="n">
        <x:v>2</x:v>
      </x:c>
      <x:c r="M15" s="15" t="n">
        <x:v>22</x:v>
      </x:c>
      <x:c r="N15" s="15" t="n">
        <x:v>7</x:v>
      </x:c>
      <x:c r="O15" s="13" t="str">
        <x:v>人工判断、复核和批准</x:v>
      </x:c>
      <x:c r="P15" s="13" t="str">
        <x:f>IF(AND(G15&gt;=4,H15&gt;=3,I15&lt;=4),"高","中")</x:f>
        <x:v>高</x:v>
      </x:c>
      <x:c r="Q15" s="13" t="str">
        <x:v>后续</x:v>
      </x:c>
    </x:row>
    <x:row r="16">
      <x:c r="A16" s="13" t="str">
        <x:v>AUT-11</x:v>
      </x:c>
      <x:c r="B16" s="13" t="str">
        <x:v>固定资产</x:v>
      </x:c>
      <x:c r="C16" s="13" t="str">
        <x:v>固定资产异常检查</x:v>
      </x:c>
      <x:c r="D16" s="13" t="str">
        <x:v>月度</x:v>
      </x:c>
      <x:c r="E16" s="15" t="n">
        <x:v>3</x:v>
      </x:c>
      <x:c r="F16" s="15" t="n">
        <x:v>3</x:v>
      </x:c>
      <x:c r="G16" s="15" t="n">
        <x:v>5</x:v>
      </x:c>
      <x:c r="H16" s="15" t="n">
        <x:v>4</x:v>
      </x:c>
      <x:c r="I16" s="15" t="n">
        <x:v>4</x:v>
      </x:c>
      <x:c r="J16" s="15" t="n">
        <x:v>2</x:v>
      </x:c>
      <x:c r="K16" s="13" t="str">
        <x:v>Excel/Power Query</x:v>
      </x:c>
      <x:c r="L16" s="15" t="n">
        <x:v>2</x:v>
      </x:c>
      <x:c r="M16" s="15" t="n">
        <x:v>16</x:v>
      </x:c>
      <x:c r="N16" s="15" t="n">
        <x:v>3</x:v>
      </x:c>
      <x:c r="O16" s="13" t="str">
        <x:v>人工判断、复核和批准</x:v>
      </x:c>
      <x:c r="P16" s="13" t="str">
        <x:f>IF(AND(G16&gt;=4,H16&gt;=3,I16&lt;=4),"高","中")</x:f>
        <x:v>高</x:v>
      </x:c>
      <x:c r="Q16" s="13" t="str">
        <x:v>后续</x:v>
      </x:c>
    </x:row>
    <x:row r="17">
      <x:c r="A17" s="13" t="str">
        <x:v>AUT-12</x:v>
      </x:c>
      <x:c r="B17" s="13" t="str">
        <x:v>存货</x:v>
      </x:c>
      <x:c r="C17" s="13" t="str">
        <x:v>负库存扫描</x:v>
      </x:c>
      <x:c r="D17" s="13" t="str">
        <x:v>月度</x:v>
      </x:c>
      <x:c r="E17" s="15" t="n">
        <x:v>3</x:v>
      </x:c>
      <x:c r="F17" s="15" t="n">
        <x:v>3</x:v>
      </x:c>
      <x:c r="G17" s="15" t="n">
        <x:v>5</x:v>
      </x:c>
      <x:c r="H17" s="15" t="n">
        <x:v>4</x:v>
      </x:c>
      <x:c r="I17" s="15" t="n">
        <x:v>4</x:v>
      </x:c>
      <x:c r="J17" s="15" t="n">
        <x:v>2</x:v>
      </x:c>
      <x:c r="K17" s="13" t="str">
        <x:v>Power Query</x:v>
      </x:c>
      <x:c r="L17" s="15" t="n">
        <x:v>2</x:v>
      </x:c>
      <x:c r="M17" s="15" t="n">
        <x:v>10</x:v>
      </x:c>
      <x:c r="N17" s="15" t="n">
        <x:v>3</x:v>
      </x:c>
      <x:c r="O17" s="13" t="str">
        <x:v>人工判断、复核和批准</x:v>
      </x:c>
      <x:c r="P17" s="13" t="str">
        <x:f>IF(AND(G17&gt;=4,H17&gt;=3,I17&lt;=4),"高","中")</x:f>
        <x:v>高</x:v>
      </x:c>
      <x:c r="Q17" s="13" t="str">
        <x:v>后续</x:v>
      </x:c>
    </x:row>
    <x:row r="18">
      <x:c r="A18" s="13" t="str">
        <x:v>AUT-13</x:v>
      </x:c>
      <x:c r="B18" s="13" t="str">
        <x:v>存货</x:v>
      </x:c>
      <x:c r="C18" s="13" t="str">
        <x:v>存货库龄分析</x:v>
      </x:c>
      <x:c r="D18" s="13" t="str">
        <x:v>月度</x:v>
      </x:c>
      <x:c r="E18" s="15" t="n">
        <x:v>3</x:v>
      </x:c>
      <x:c r="F18" s="15" t="n">
        <x:v>7</x:v>
      </x:c>
      <x:c r="G18" s="15" t="n">
        <x:v>5</x:v>
      </x:c>
      <x:c r="H18" s="15" t="n">
        <x:v>3</x:v>
      </x:c>
      <x:c r="I18" s="15" t="n">
        <x:v>4</x:v>
      </x:c>
      <x:c r="J18" s="15" t="n">
        <x:v>2</x:v>
      </x:c>
      <x:c r="K18" s="13" t="str">
        <x:v>Power Query/Power BI</x:v>
      </x:c>
      <x:c r="L18" s="15" t="n">
        <x:v>3</x:v>
      </x:c>
      <x:c r="M18" s="15" t="n">
        <x:v>26</x:v>
      </x:c>
      <x:c r="N18" s="15" t="n">
        <x:v>7</x:v>
      </x:c>
      <x:c r="O18" s="13" t="str">
        <x:v>人工判断、复核和批准</x:v>
      </x:c>
      <x:c r="P18" s="13" t="str">
        <x:f>IF(AND(G18&gt;=4,H18&gt;=3,I18&lt;=4),"高","中")</x:f>
        <x:v>高</x:v>
      </x:c>
      <x:c r="Q18" s="13" t="str">
        <x:v>后续</x:v>
      </x:c>
    </x:row>
    <x:row r="19">
      <x:c r="A19" s="13" t="str">
        <x:v>AUT-14</x:v>
      </x:c>
      <x:c r="B19" s="13" t="str">
        <x:v>成本</x:v>
      </x:c>
      <x:c r="C19" s="13" t="str">
        <x:v>BOM异常分析</x:v>
      </x:c>
      <x:c r="D19" s="13" t="str">
        <x:v>月度</x:v>
      </x:c>
      <x:c r="E19" s="15" t="n">
        <x:v>5</x:v>
      </x:c>
      <x:c r="F19" s="15" t="n">
        <x:v>8</x:v>
      </x:c>
      <x:c r="G19" s="15" t="n">
        <x:v>5</x:v>
      </x:c>
      <x:c r="H19" s="15" t="n">
        <x:v>4</x:v>
      </x:c>
      <x:c r="I19" s="15" t="n">
        <x:v>4</x:v>
      </x:c>
      <x:c r="J19" s="15" t="n">
        <x:v>2</x:v>
      </x:c>
      <x:c r="K19" s="13" t="str">
        <x:v>Python/Power BI</x:v>
      </x:c>
      <x:c r="L19" s="15" t="n">
        <x:v>3</x:v>
      </x:c>
      <x:c r="M19" s="15" t="n">
        <x:v>44</x:v>
      </x:c>
      <x:c r="N19" s="15" t="n">
        <x:v>8</x:v>
      </x:c>
      <x:c r="O19" s="13" t="str">
        <x:v>人工判断、复核和批准</x:v>
      </x:c>
      <x:c r="P19" s="13" t="str">
        <x:f>IF(AND(G19&gt;=4,H19&gt;=3,I19&lt;=4),"高","中")</x:f>
        <x:v>高</x:v>
      </x:c>
      <x:c r="Q19" s="13" t="str">
        <x:v>后续</x:v>
      </x:c>
    </x:row>
    <x:row r="20">
      <x:c r="A20" s="13" t="str">
        <x:v>AUT-15</x:v>
      </x:c>
      <x:c r="B20" s="13" t="str">
        <x:v>成本</x:v>
      </x:c>
      <x:c r="C20" s="13" t="str">
        <x:v>单位成本波动分析</x:v>
      </x:c>
      <x:c r="D20" s="13" t="str">
        <x:v>月度</x:v>
      </x:c>
      <x:c r="E20" s="15" t="n">
        <x:v>5</x:v>
      </x:c>
      <x:c r="F20" s="15" t="n">
        <x:v>10</x:v>
      </x:c>
      <x:c r="G20" s="15" t="n">
        <x:v>5</x:v>
      </x:c>
      <x:c r="H20" s="15" t="n">
        <x:v>4</x:v>
      </x:c>
      <x:c r="I20" s="15" t="n">
        <x:v>4</x:v>
      </x:c>
      <x:c r="J20" s="15" t="n">
        <x:v>2</x:v>
      </x:c>
      <x:c r="K20" s="13" t="str">
        <x:v>Power Query/Python/BI</x:v>
      </x:c>
      <x:c r="L20" s="15" t="n">
        <x:v>3</x:v>
      </x:c>
      <x:c r="M20" s="15" t="n">
        <x:v>46</x:v>
      </x:c>
      <x:c r="N20" s="15" t="n">
        <x:v>10</x:v>
      </x:c>
      <x:c r="O20" s="13" t="str">
        <x:v>人工判断、复核和批准</x:v>
      </x:c>
      <x:c r="P20" s="13" t="str">
        <x:f>IF(AND(G20&gt;=4,H20&gt;=3,I20&lt;=4),"高","中")</x:f>
        <x:v>高</x:v>
      </x:c>
      <x:c r="Q20" s="13" t="str">
        <x:v>后续</x:v>
      </x:c>
    </x:row>
    <x:row r="21">
      <x:c r="A21" s="13" t="str">
        <x:v>AUT-16</x:v>
      </x:c>
      <x:c r="B21" s="13" t="str">
        <x:v>财务报表</x:v>
      </x:c>
      <x:c r="C21" s="13" t="str">
        <x:v>财务报表自动勾稽</x:v>
      </x:c>
      <x:c r="D21" s="13" t="str">
        <x:v>月度</x:v>
      </x:c>
      <x:c r="E21" s="15" t="n">
        <x:v>3</x:v>
      </x:c>
      <x:c r="F21" s="15" t="n">
        <x:v>5</x:v>
      </x:c>
      <x:c r="G21" s="15" t="n">
        <x:v>5</x:v>
      </x:c>
      <x:c r="H21" s="15" t="n">
        <x:v>4</x:v>
      </x:c>
      <x:c r="I21" s="15" t="n">
        <x:v>4</x:v>
      </x:c>
      <x:c r="J21" s="15" t="n">
        <x:v>2</x:v>
      </x:c>
      <x:c r="K21" s="13" t="str">
        <x:v>Excel/Python</x:v>
      </x:c>
      <x:c r="L21" s="15" t="n">
        <x:v>2</x:v>
      </x:c>
      <x:c r="M21" s="15" t="n">
        <x:v>18</x:v>
      </x:c>
      <x:c r="N21" s="15" t="n">
        <x:v>5</x:v>
      </x:c>
      <x:c r="O21" s="13" t="str">
        <x:v>人工判断、复核和批准</x:v>
      </x:c>
      <x:c r="P21" s="13" t="str">
        <x:f>IF(AND(G21&gt;=4,H21&gt;=3,I21&lt;=4),"高","中")</x:f>
        <x:v>高</x:v>
      </x:c>
      <x:c r="Q21" s="13" t="str">
        <x:v>优先</x:v>
      </x:c>
    </x:row>
    <x:row r="22">
      <x:c r="A22" s="13" t="str">
        <x:v>AUT-17</x:v>
      </x:c>
      <x:c r="B22" s="13" t="str">
        <x:v>月结</x:v>
      </x:c>
      <x:c r="C22" s="13" t="str">
        <x:v>月结Checklist追踪</x:v>
      </x:c>
      <x:c r="D22" s="13" t="str">
        <x:v>月度</x:v>
      </x:c>
      <x:c r="E22" s="15" t="n">
        <x:v>3</x:v>
      </x:c>
      <x:c r="F22" s="15" t="n">
        <x:v>4</x:v>
      </x:c>
      <x:c r="G22" s="15" t="n">
        <x:v>5</x:v>
      </x:c>
      <x:c r="H22" s="15" t="n">
        <x:v>3</x:v>
      </x:c>
      <x:c r="I22" s="15" t="n">
        <x:v>4</x:v>
      </x:c>
      <x:c r="J22" s="15" t="n">
        <x:v>2</x:v>
      </x:c>
      <x:c r="K22" s="13" t="str">
        <x:v>Excel/协同系统，后期Agent</x:v>
      </x:c>
      <x:c r="L22" s="15" t="n">
        <x:v>2</x:v>
      </x:c>
      <x:c r="M22" s="15" t="n">
        <x:v>20</x:v>
      </x:c>
      <x:c r="N22" s="15" t="n">
        <x:v>4</x:v>
      </x:c>
      <x:c r="O22" s="13" t="str">
        <x:v>人工判断、复核和批准</x:v>
      </x:c>
      <x:c r="P22" s="13" t="str">
        <x:f>IF(AND(G22&gt;=4,H22&gt;=3,I22&lt;=4),"高","中")</x:f>
        <x:v>高</x:v>
      </x:c>
      <x:c r="Q22" s="13" t="str">
        <x:v>后续</x:v>
      </x:c>
    </x:row>
    <x:row r="23">
      <x:c r="A23" s="13" t="str">
        <x:v>AUT-18</x:v>
      </x:c>
      <x:c r="B23" s="13" t="str">
        <x:v>资料归档</x:v>
      </x:c>
      <x:c r="C23" s="13" t="str">
        <x:v>财务资料自动归档</x:v>
      </x:c>
      <x:c r="D23" s="13" t="str">
        <x:v>月度</x:v>
      </x:c>
      <x:c r="E23" s="15" t="n">
        <x:v>3</x:v>
      </x:c>
      <x:c r="F23" s="15" t="n">
        <x:v>6</x:v>
      </x:c>
      <x:c r="G23" s="15" t="n">
        <x:v>5</x:v>
      </x:c>
      <x:c r="H23" s="15" t="n">
        <x:v>4</x:v>
      </x:c>
      <x:c r="I23" s="15" t="n">
        <x:v>4</x:v>
      </x:c>
      <x:c r="J23" s="15" t="n">
        <x:v>2</x:v>
      </x:c>
      <x:c r="K23" s="13" t="str">
        <x:v>Python/RPA</x:v>
      </x:c>
      <x:c r="L23" s="15" t="n">
        <x:v>3</x:v>
      </x:c>
      <x:c r="M23" s="15" t="n">
        <x:v>28</x:v>
      </x:c>
      <x:c r="N23" s="15" t="n">
        <x:v>6</x:v>
      </x:c>
      <x:c r="O23" s="13" t="str">
        <x:v>人工判断、复核和批准</x:v>
      </x:c>
      <x:c r="P23" s="13" t="str">
        <x:f>IF(AND(G23&gt;=4,H23&gt;=3,I23&lt;=4),"高","中")</x:f>
        <x:v>高</x:v>
      </x:c>
      <x:c r="Q23" s="13" t="str">
        <x:v>后续</x:v>
      </x:c>
    </x:row>
    <x:row r="24">
      <x:c r="A24" s="13" t="str">
        <x:v>AUT-19</x:v>
      </x:c>
      <x:c r="B24" s="13" t="str">
        <x:v>审计支持</x:v>
      </x:c>
      <x:c r="C24" s="13" t="str">
        <x:v>审计PBC跟踪</x:v>
      </x:c>
      <x:c r="D24" s="13" t="str">
        <x:v>月度</x:v>
      </x:c>
      <x:c r="E24" s="15" t="n">
        <x:v>3</x:v>
      </x:c>
      <x:c r="F24" s="15" t="n">
        <x:v>12</x:v>
      </x:c>
      <x:c r="G24" s="15" t="n">
        <x:v>5</x:v>
      </x:c>
      <x:c r="H24" s="15" t="n">
        <x:v>4</x:v>
      </x:c>
      <x:c r="I24" s="15" t="n">
        <x:v>4</x:v>
      </x:c>
      <x:c r="J24" s="15" t="n">
        <x:v>2</x:v>
      </x:c>
      <x:c r="K24" s="13" t="str">
        <x:v>Excel/协同系统</x:v>
      </x:c>
      <x:c r="L24" s="15" t="n">
        <x:v>2</x:v>
      </x:c>
      <x:c r="M24" s="15" t="n">
        <x:v>18</x:v>
      </x:c>
      <x:c r="N24" s="15" t="n">
        <x:v>12</x:v>
      </x:c>
      <x:c r="O24" s="13" t="str">
        <x:v>人工判断、复核和批准</x:v>
      </x:c>
      <x:c r="P24" s="13" t="str">
        <x:f>IF(AND(G24&gt;=4,H24&gt;=3,I24&lt;=4),"高","中")</x:f>
        <x:v>高</x:v>
      </x:c>
      <x:c r="Q24" s="13" t="str">
        <x:v>后续</x:v>
      </x:c>
    </x:row>
    <x:row r="25">
      <x:c r="A25" s="13" t="str">
        <x:v>AUT-20</x:v>
      </x:c>
      <x:c r="B25" s="13" t="str">
        <x:v>财务分析</x:v>
      </x:c>
      <x:c r="C25" s="13" t="str">
        <x:v>财务分析自动刷新</x:v>
      </x:c>
      <x:c r="D25" s="13" t="str">
        <x:v>月度</x:v>
      </x:c>
      <x:c r="E25" s="15" t="n">
        <x:v>5</x:v>
      </x:c>
      <x:c r="F25" s="15" t="n">
        <x:v>12</x:v>
      </x:c>
      <x:c r="G25" s="15" t="n">
        <x:v>5</x:v>
      </x:c>
      <x:c r="H25" s="15" t="n">
        <x:v>4</x:v>
      </x:c>
      <x:c r="I25" s="15" t="n">
        <x:v>4</x:v>
      </x:c>
      <x:c r="J25" s="15" t="n">
        <x:v>2</x:v>
      </x:c>
      <x:c r="K25" s="13" t="str">
        <x:v>Power Query/Power BI</x:v>
      </x:c>
      <x:c r="L25" s="15" t="n">
        <x:v>3</x:v>
      </x:c>
      <x:c r="M25" s="15" t="n">
        <x:v>40</x:v>
      </x:c>
      <x:c r="N25" s="15" t="n">
        <x:v>12</x:v>
      </x:c>
      <x:c r="O25" s="13" t="str">
        <x:v>人工判断、复核和批准</x:v>
      </x:c>
      <x:c r="P25" s="13" t="str">
        <x:f>IF(AND(G25&gt;=4,H25&gt;=3,I25&lt;=4),"高","中")</x:f>
        <x:v>高</x:v>
      </x:c>
      <x:c r="Q25" s="13" t="str">
        <x:v>后续</x:v>
      </x:c>
    </x:row>
  </x:sheetData>
  <x:mergeCells>
    <x:mergeCell ref="A1:Q1"/>
    <x:mergeCell ref="A2:Q2"/>
  </x:mergeCells>
  <x:conditionalFormatting sqref="Q6:Q25">
    <x:cfRule type="containsText" dxfId="0" priority="1" operator="containsText" text="优先"/>
  </x:conditionalFormatting>
  <x:pageMargins left="0.7" right="0.7" top="0.75" bottom="0.75" header="0.3" footer="0.3"/>
  <x:tableParts count="1">
    <x:tablePart xmlns:r="http://schemas.openxmlformats.org/officeDocument/2006/relationships" r:id="R49d0597ed3d6420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0" hidden="0" customWidth="1"/>
    <x:col min="4" max="4" width="12" hidden="0" customWidth="1"/>
    <x:col min="5" max="5" width="13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3" hidden="0" customWidth="1"/>
    <x:col min="11" max="11" width="15" hidden="0" customWidth="1"/>
    <x:col min="12" max="12" width="15" hidden="0" customWidth="1"/>
    <x:col min="13" max="13" width="12" hidden="0" customWidth="1"/>
    <x:col min="14" max="14" width="12" hidden="0" customWidth="1"/>
    <x:col min="15" max="15" width="11" hidden="0" customWidth="1"/>
  </x:cols>
  <x:sheetData>
    <x:row r="1" ht="30" customHeight="1">
      <x:c r="A1" s="1" t="str">
        <x:v>自动化项目ROI</x:v>
      </x:c>
    </x:row>
    <x:row r="2" ht="28" customHeight="1">
      <x:c r="A2" s="3" t="str">
        <x:v>黄色为假设；首年收益和TCO均以人民币及小时成本估算。</x:v>
      </x:c>
    </x:row>
    <x:row r="5" ht="34" customHeight="1">
      <x:c r="A5" s="9" t="str">
        <x:v>编号</x:v>
      </x:c>
      <x:c r="B5" s="9" t="str">
        <x:v>项目</x:v>
      </x:c>
      <x:c r="C5" s="9" t="str">
        <x:v>收益月数</x:v>
      </x:c>
      <x:c r="D5" s="9" t="str">
        <x:v>月省小时</x:v>
      </x:c>
      <x:c r="E5" s="9" t="str">
        <x:v>小时人工成本</x:v>
      </x:c>
      <x:c r="F5" s="9" t="str">
        <x:v>其他年收益</x:v>
      </x:c>
      <x:c r="G5" s="9" t="str">
        <x:v>开发小时</x:v>
      </x:c>
      <x:c r="H5" s="9" t="str">
        <x:v>开发小时成本</x:v>
      </x:c>
      <x:c r="I5" s="9" t="str">
        <x:v>软件及培训</x:v>
      </x:c>
      <x:c r="J5" s="9" t="str">
        <x:v>月维护小时</x:v>
      </x:c>
      <x:c r="K5" s="9" t="str">
        <x:v>首年收益</x:v>
      </x:c>
      <x:c r="L5" s="9" t="str">
        <x:v>首年TCO</x:v>
      </x:c>
      <x:c r="M5" s="9" t="str">
        <x:v>首年ROI</x:v>
      </x:c>
      <x:c r="N5" s="9" t="str">
        <x:v>回收期月</x:v>
      </x:c>
      <x:c r="O5" s="9" t="str">
        <x:v>建议</x:v>
      </x:c>
    </x:row>
    <x:row r="6">
      <x:c r="A6" s="13" t="str">
        <x:v>AUT-01</x:v>
      </x:c>
      <x:c r="B6" s="13" t="str">
        <x:v>银行流水自动对账</x:v>
      </x:c>
      <x:c r="C6" s="15" t="n">
        <x:v>12</x:v>
      </x:c>
      <x:c r="D6" s="15" t="n">
        <x:v>10</x:v>
      </x:c>
      <x:c r="E6" s="15" t="n">
        <x:v>120</x:v>
      </x:c>
      <x:c r="F6" s="15" t="n">
        <x:v>0</x:v>
      </x:c>
      <x:c r="G6" s="15" t="n">
        <x:v>28</x:v>
      </x:c>
      <x:c r="H6" s="15" t="n">
        <x:v>180</x:v>
      </x:c>
      <x:c r="I6" s="15" t="n">
        <x:v>0</x:v>
      </x:c>
      <x:c r="J6" s="15" t="n">
        <x:v>2</x:v>
      </x:c>
      <x:c r="K6" s="16" t="n">
        <x:f>D6*C6*E6+F6</x:f>
        <x:v>14400</x:v>
      </x:c>
      <x:c r="L6" s="16" t="n">
        <x:f>G6*H6+I6+J6*D6*E6</x:f>
        <x:v>7440</x:v>
      </x:c>
      <x:c r="M6" s="17" t="n">
        <x:f>IF(L6=0,0,(K6-L6)/L6)</x:f>
        <x:v>0.9354838709677419</x:v>
      </x:c>
      <x:c r="N6" s="14" t="n">
        <x:f>IF(D6*E6=0,999,L6/(D6*E6))</x:f>
        <x:v>6.2</x:v>
      </x:c>
      <x:c r="O6" s="13" t="str">
        <x:f>IF(N6&lt;=6,"优先",IF(N6&lt;=12,"评估","暂缓"))</x:f>
        <x:v>评估</x:v>
      </x:c>
    </x:row>
    <x:row r="7">
      <x:c r="A7" s="13" t="str">
        <x:v>AUT-02</x:v>
      </x:c>
      <x:c r="B7" s="13" t="str">
        <x:v>客户回款自动匹配</x:v>
      </x:c>
      <x:c r="C7" s="15" t="n">
        <x:v>12</x:v>
      </x:c>
      <x:c r="D7" s="15" t="n">
        <x:v>12</x:v>
      </x:c>
      <x:c r="E7" s="15" t="n">
        <x:v>120</x:v>
      </x:c>
      <x:c r="F7" s="15" t="n">
        <x:v>0</x:v>
      </x:c>
      <x:c r="G7" s="15" t="n">
        <x:v>36</x:v>
      </x:c>
      <x:c r="H7" s="15" t="n">
        <x:v>180</x:v>
      </x:c>
      <x:c r="I7" s="15" t="n">
        <x:v>0</x:v>
      </x:c>
      <x:c r="J7" s="15" t="n">
        <x:v>2</x:v>
      </x:c>
      <x:c r="K7" s="16" t="n">
        <x:f>D7*C7*E7+F7</x:f>
        <x:v>17280</x:v>
      </x:c>
      <x:c r="L7" s="16" t="n">
        <x:f>G7*H7+I7+J7*D7*E7</x:f>
        <x:v>9360</x:v>
      </x:c>
      <x:c r="M7" s="17" t="n">
        <x:f>IF(L7=0,0,(K7-L7)/L7)</x:f>
        <x:v>0.8461538461538461</x:v>
      </x:c>
      <x:c r="N7" s="14" t="n">
        <x:f>IF(D7*E7=0,999,L7/(D7*E7))</x:f>
        <x:v>6.5</x:v>
      </x:c>
      <x:c r="O7" s="13" t="str">
        <x:f>IF(N7&lt;=6,"优先",IF(N7&lt;=12,"评估","暂缓"))</x:f>
        <x:v>评估</x:v>
      </x:c>
    </x:row>
    <x:row r="8">
      <x:c r="A8" s="13" t="str">
        <x:v>AUT-03</x:v>
      </x:c>
      <x:c r="B8" s="13" t="str">
        <x:v>应付重复付款检查</x:v>
      </x:c>
      <x:c r="C8" s="15" t="n">
        <x:v>12</x:v>
      </x:c>
      <x:c r="D8" s="15" t="n">
        <x:v>4</x:v>
      </x:c>
      <x:c r="E8" s="15" t="n">
        <x:v>120</x:v>
      </x:c>
      <x:c r="F8" s="15" t="n">
        <x:v>0</x:v>
      </x:c>
      <x:c r="G8" s="15" t="n">
        <x:v>14</x:v>
      </x:c>
      <x:c r="H8" s="15" t="n">
        <x:v>180</x:v>
      </x:c>
      <x:c r="I8" s="15" t="n">
        <x:v>0</x:v>
      </x:c>
      <x:c r="J8" s="15" t="n">
        <x:v>2</x:v>
      </x:c>
      <x:c r="K8" s="16" t="n">
        <x:f>D8*C8*E8+F8</x:f>
        <x:v>5760</x:v>
      </x:c>
      <x:c r="L8" s="16" t="n">
        <x:f>G8*H8+I8+J8*D8*E8</x:f>
        <x:v>3480</x:v>
      </x:c>
      <x:c r="M8" s="17" t="n">
        <x:f>IF(L8=0,0,(K8-L8)/L8)</x:f>
        <x:v>0.6551724137931034</x:v>
      </x:c>
      <x:c r="N8" s="14" t="n">
        <x:f>IF(D8*E8=0,999,L8/(D8*E8))</x:f>
        <x:v>7.25</x:v>
      </x:c>
      <x:c r="O8" s="13" t="str">
        <x:f>IF(N8&lt;=6,"优先",IF(N8&lt;=12,"评估","暂缓"))</x:f>
        <x:v>评估</x:v>
      </x:c>
    </x:row>
    <x:row r="9">
      <x:c r="A9" s="13" t="str">
        <x:v>AUT-04</x:v>
      </x:c>
      <x:c r="B9" s="13" t="str">
        <x:v>发票重复识别</x:v>
      </x:c>
      <x:c r="C9" s="15" t="n">
        <x:v>12</x:v>
      </x:c>
      <x:c r="D9" s="15" t="n">
        <x:v>5</x:v>
      </x:c>
      <x:c r="E9" s="15" t="n">
        <x:v>120</x:v>
      </x:c>
      <x:c r="F9" s="15" t="n">
        <x:v>0</x:v>
      </x:c>
      <x:c r="G9" s="15" t="n">
        <x:v>14</x:v>
      </x:c>
      <x:c r="H9" s="15" t="n">
        <x:v>180</x:v>
      </x:c>
      <x:c r="I9" s="15" t="n">
        <x:v>0</x:v>
      </x:c>
      <x:c r="J9" s="15" t="n">
        <x:v>2</x:v>
      </x:c>
      <x:c r="K9" s="16" t="n">
        <x:f>D9*C9*E9+F9</x:f>
        <x:v>7200</x:v>
      </x:c>
      <x:c r="L9" s="16" t="n">
        <x:f>G9*H9+I9+J9*D9*E9</x:f>
        <x:v>3720</x:v>
      </x:c>
      <x:c r="M9" s="17" t="n">
        <x:f>IF(L9=0,0,(K9-L9)/L9)</x:f>
        <x:v>0.9354838709677419</x:v>
      </x:c>
      <x:c r="N9" s="14" t="n">
        <x:f>IF(D9*E9=0,999,L9/(D9*E9))</x:f>
        <x:v>6.2</x:v>
      </x:c>
      <x:c r="O9" s="13" t="str">
        <x:f>IF(N9&lt;=6,"优先",IF(N9&lt;=12,"评估","暂缓"))</x:f>
        <x:v>评估</x:v>
      </x:c>
    </x:row>
    <x:row r="10">
      <x:c r="A10" s="13" t="str">
        <x:v>AUT-05</x:v>
      </x:c>
      <x:c r="B10" s="13" t="str">
        <x:v>暂估自动匹配</x:v>
      </x:c>
      <x:c r="C10" s="15" t="n">
        <x:v>12</x:v>
      </x:c>
      <x:c r="D10" s="15" t="n">
        <x:v>10</x:v>
      </x:c>
      <x:c r="E10" s="15" t="n">
        <x:v>120</x:v>
      </x:c>
      <x:c r="F10" s="15" t="n">
        <x:v>0</x:v>
      </x:c>
      <x:c r="G10" s="15" t="n">
        <x:v>34</x:v>
      </x:c>
      <x:c r="H10" s="15" t="n">
        <x:v>180</x:v>
      </x:c>
      <x:c r="I10" s="15" t="n">
        <x:v>0</x:v>
      </x:c>
      <x:c r="J10" s="15" t="n">
        <x:v>2</x:v>
      </x:c>
      <x:c r="K10" s="16" t="n">
        <x:f>D10*C10*E10+F10</x:f>
        <x:v>14400</x:v>
      </x:c>
      <x:c r="L10" s="16" t="n">
        <x:f>G10*H10+I10+J10*D10*E10</x:f>
        <x:v>8520</x:v>
      </x:c>
      <x:c r="M10" s="17" t="n">
        <x:f>IF(L10=0,0,(K10-L10)/L10)</x:f>
        <x:v>0.6901408450704225</x:v>
      </x:c>
      <x:c r="N10" s="14" t="n">
        <x:f>IF(D10*E10=0,999,L10/(D10*E10))</x:f>
        <x:v>7.1</x:v>
      </x:c>
      <x:c r="O10" s="13" t="str">
        <x:f>IF(N10&lt;=6,"优先",IF(N10&lt;=12,"评估","暂缓"))</x:f>
        <x:v>评估</x:v>
      </x:c>
    </x:row>
    <x:row r="11">
      <x:c r="A11" s="13" t="str">
        <x:v>AUT-06</x:v>
      </x:c>
      <x:c r="B11" s="13" t="str">
        <x:v>预提费用自动计算</x:v>
      </x:c>
      <x:c r="C11" s="15" t="n">
        <x:v>12</x:v>
      </x:c>
      <x:c r="D11" s="15" t="n">
        <x:v>4</x:v>
      </x:c>
      <x:c r="E11" s="15" t="n">
        <x:v>120</x:v>
      </x:c>
      <x:c r="F11" s="15" t="n">
        <x:v>0</x:v>
      </x:c>
      <x:c r="G11" s="15" t="n">
        <x:v>12</x:v>
      </x:c>
      <x:c r="H11" s="15" t="n">
        <x:v>180</x:v>
      </x:c>
      <x:c r="I11" s="15" t="n">
        <x:v>0</x:v>
      </x:c>
      <x:c r="J11" s="15" t="n">
        <x:v>2</x:v>
      </x:c>
      <x:c r="K11" s="16" t="n">
        <x:f>D11*C11*E11+F11</x:f>
        <x:v>5760</x:v>
      </x:c>
      <x:c r="L11" s="16" t="n">
        <x:f>G11*H11+I11+J11*D11*E11</x:f>
        <x:v>3120</x:v>
      </x:c>
      <x:c r="M11" s="17" t="n">
        <x:f>IF(L11=0,0,(K11-L11)/L11)</x:f>
        <x:v>0.8461538461538461</x:v>
      </x:c>
      <x:c r="N11" s="14" t="n">
        <x:f>IF(D11*E11=0,999,L11/(D11*E11))</x:f>
        <x:v>6.5</x:v>
      </x:c>
      <x:c r="O11" s="13" t="str">
        <x:f>IF(N11&lt;=6,"优先",IF(N11&lt;=12,"评估","暂缓"))</x:f>
        <x:v>评估</x:v>
      </x:c>
    </x:row>
    <x:row r="12">
      <x:c r="A12" s="13" t="str">
        <x:v>AUT-07</x:v>
      </x:c>
      <x:c r="B12" s="13" t="str">
        <x:v>应收账龄自动分析</x:v>
      </x:c>
      <x:c r="C12" s="15" t="n">
        <x:v>12</x:v>
      </x:c>
      <x:c r="D12" s="15" t="n">
        <x:v>6</x:v>
      </x:c>
      <x:c r="E12" s="15" t="n">
        <x:v>120</x:v>
      </x:c>
      <x:c r="F12" s="15" t="n">
        <x:v>0</x:v>
      </x:c>
      <x:c r="G12" s="15" t="n">
        <x:v>16</x:v>
      </x:c>
      <x:c r="H12" s="15" t="n">
        <x:v>180</x:v>
      </x:c>
      <x:c r="I12" s="15" t="n">
        <x:v>0</x:v>
      </x:c>
      <x:c r="J12" s="15" t="n">
        <x:v>2</x:v>
      </x:c>
      <x:c r="K12" s="16" t="n">
        <x:f>D12*C12*E12+F12</x:f>
        <x:v>8640</x:v>
      </x:c>
      <x:c r="L12" s="16" t="n">
        <x:f>G12*H12+I12+J12*D12*E12</x:f>
        <x:v>4320</x:v>
      </x:c>
      <x:c r="M12" s="17" t="n">
        <x:f>IF(L12=0,0,(K12-L12)/L12)</x:f>
        <x:v>1</x:v>
      </x:c>
      <x:c r="N12" s="14" t="n">
        <x:f>IF(D12*E12=0,999,L12/(D12*E12))</x:f>
        <x:v>6</x:v>
      </x:c>
      <x:c r="O12" s="13" t="str">
        <x:f>IF(N12&lt;=6,"优先",IF(N12&lt;=12,"评估","暂缓"))</x:f>
        <x:v>优先</x:v>
      </x:c>
    </x:row>
    <x:row r="13">
      <x:c r="A13" s="13" t="str">
        <x:v>AUT-08</x:v>
      </x:c>
      <x:c r="B13" s="13" t="str">
        <x:v>长期挂账自动扫描</x:v>
      </x:c>
      <x:c r="C13" s="15" t="n">
        <x:v>12</x:v>
      </x:c>
      <x:c r="D13" s="15" t="n">
        <x:v>6</x:v>
      </x:c>
      <x:c r="E13" s="15" t="n">
        <x:v>120</x:v>
      </x:c>
      <x:c r="F13" s="15" t="n">
        <x:v>0</x:v>
      </x:c>
      <x:c r="G13" s="15" t="n">
        <x:v>18</x:v>
      </x:c>
      <x:c r="H13" s="15" t="n">
        <x:v>180</x:v>
      </x:c>
      <x:c r="I13" s="15" t="n">
        <x:v>0</x:v>
      </x:c>
      <x:c r="J13" s="15" t="n">
        <x:v>2</x:v>
      </x:c>
      <x:c r="K13" s="16" t="n">
        <x:f>D13*C13*E13+F13</x:f>
        <x:v>8640</x:v>
      </x:c>
      <x:c r="L13" s="16" t="n">
        <x:f>G13*H13+I13+J13*D13*E13</x:f>
        <x:v>4680</x:v>
      </x:c>
      <x:c r="M13" s="17" t="n">
        <x:f>IF(L13=0,0,(K13-L13)/L13)</x:f>
        <x:v>0.8461538461538461</x:v>
      </x:c>
      <x:c r="N13" s="14" t="n">
        <x:f>IF(D13*E13=0,999,L13/(D13*E13))</x:f>
        <x:v>6.5</x:v>
      </x:c>
      <x:c r="O13" s="13" t="str">
        <x:f>IF(N13&lt;=6,"优先",IF(N13&lt;=12,"评估","暂缓"))</x:f>
        <x:v>评估</x:v>
      </x:c>
    </x:row>
    <x:row r="14">
      <x:c r="A14" s="13" t="str">
        <x:v>AUT-09</x:v>
      </x:c>
      <x:c r="B14" s="13" t="str">
        <x:v>TB异常余额检查</x:v>
      </x:c>
      <x:c r="C14" s="15" t="n">
        <x:v>12</x:v>
      </x:c>
      <x:c r="D14" s="15" t="n">
        <x:v>8</x:v>
      </x:c>
      <x:c r="E14" s="15" t="n">
        <x:v>120</x:v>
      </x:c>
      <x:c r="F14" s="15" t="n">
        <x:v>0</x:v>
      </x:c>
      <x:c r="G14" s="15" t="n">
        <x:v>28</x:v>
      </x:c>
      <x:c r="H14" s="15" t="n">
        <x:v>180</x:v>
      </x:c>
      <x:c r="I14" s="15" t="n">
        <x:v>0</x:v>
      </x:c>
      <x:c r="J14" s="15" t="n">
        <x:v>2</x:v>
      </x:c>
      <x:c r="K14" s="16" t="n">
        <x:f>D14*C14*E14+F14</x:f>
        <x:v>11520</x:v>
      </x:c>
      <x:c r="L14" s="16" t="n">
        <x:f>G14*H14+I14+J14*D14*E14</x:f>
        <x:v>6960</x:v>
      </x:c>
      <x:c r="M14" s="17" t="n">
        <x:f>IF(L14=0,0,(K14-L14)/L14)</x:f>
        <x:v>0.6551724137931034</x:v>
      </x:c>
      <x:c r="N14" s="14" t="n">
        <x:f>IF(D14*E14=0,999,L14/(D14*E14))</x:f>
        <x:v>7.25</x:v>
      </x:c>
      <x:c r="O14" s="13" t="str">
        <x:f>IF(N14&lt;=6,"优先",IF(N14&lt;=12,"评估","暂缓"))</x:f>
        <x:v>评估</x:v>
      </x:c>
    </x:row>
    <x:row r="15">
      <x:c r="A15" s="13" t="str">
        <x:v>AUT-10</x:v>
      </x:c>
      <x:c r="B15" s="13" t="str">
        <x:v>子模块与GL自动对账</x:v>
      </x:c>
      <x:c r="C15" s="15" t="n">
        <x:v>12</x:v>
      </x:c>
      <x:c r="D15" s="15" t="n">
        <x:v>7</x:v>
      </x:c>
      <x:c r="E15" s="15" t="n">
        <x:v>120</x:v>
      </x:c>
      <x:c r="F15" s="15" t="n">
        <x:v>0</x:v>
      </x:c>
      <x:c r="G15" s="15" t="n">
        <x:v>22</x:v>
      </x:c>
      <x:c r="H15" s="15" t="n">
        <x:v>180</x:v>
      </x:c>
      <x:c r="I15" s="15" t="n">
        <x:v>0</x:v>
      </x:c>
      <x:c r="J15" s="15" t="n">
        <x:v>2</x:v>
      </x:c>
      <x:c r="K15" s="16" t="n">
        <x:f>D15*C15*E15+F15</x:f>
        <x:v>10080</x:v>
      </x:c>
      <x:c r="L15" s="16" t="n">
        <x:f>G15*H15+I15+J15*D15*E15</x:f>
        <x:v>5640</x:v>
      </x:c>
      <x:c r="M15" s="17" t="n">
        <x:f>IF(L15=0,0,(K15-L15)/L15)</x:f>
        <x:v>0.7872340425531915</x:v>
      </x:c>
      <x:c r="N15" s="14" t="n">
        <x:f>IF(D15*E15=0,999,L15/(D15*E15))</x:f>
        <x:v>6.714285714285714</x:v>
      </x:c>
      <x:c r="O15" s="13" t="str">
        <x:f>IF(N15&lt;=6,"优先",IF(N15&lt;=12,"评估","暂缓"))</x:f>
        <x:v>评估</x:v>
      </x:c>
    </x:row>
    <x:row r="16">
      <x:c r="A16" s="13" t="str">
        <x:v>AUT-11</x:v>
      </x:c>
      <x:c r="B16" s="13" t="str">
        <x:v>固定资产异常检查</x:v>
      </x:c>
      <x:c r="C16" s="15" t="n">
        <x:v>12</x:v>
      </x:c>
      <x:c r="D16" s="15" t="n">
        <x:v>3</x:v>
      </x:c>
      <x:c r="E16" s="15" t="n">
        <x:v>120</x:v>
      </x:c>
      <x:c r="F16" s="15" t="n">
        <x:v>0</x:v>
      </x:c>
      <x:c r="G16" s="15" t="n">
        <x:v>16</x:v>
      </x:c>
      <x:c r="H16" s="15" t="n">
        <x:v>180</x:v>
      </x:c>
      <x:c r="I16" s="15" t="n">
        <x:v>0</x:v>
      </x:c>
      <x:c r="J16" s="15" t="n">
        <x:v>2</x:v>
      </x:c>
      <x:c r="K16" s="16" t="n">
        <x:f>D16*C16*E16+F16</x:f>
        <x:v>4320</x:v>
      </x:c>
      <x:c r="L16" s="16" t="n">
        <x:f>G16*H16+I16+J16*D16*E16</x:f>
        <x:v>3600</x:v>
      </x:c>
      <x:c r="M16" s="17" t="n">
        <x:f>IF(L16=0,0,(K16-L16)/L16)</x:f>
        <x:v>0.2</x:v>
      </x:c>
      <x:c r="N16" s="14" t="n">
        <x:f>IF(D16*E16=0,999,L16/(D16*E16))</x:f>
        <x:v>10</x:v>
      </x:c>
      <x:c r="O16" s="13" t="str">
        <x:f>IF(N16&lt;=6,"优先",IF(N16&lt;=12,"评估","暂缓"))</x:f>
        <x:v>评估</x:v>
      </x:c>
    </x:row>
    <x:row r="17">
      <x:c r="A17" s="13" t="str">
        <x:v>AUT-12</x:v>
      </x:c>
      <x:c r="B17" s="13" t="str">
        <x:v>负库存扫描</x:v>
      </x:c>
      <x:c r="C17" s="15" t="n">
        <x:v>12</x:v>
      </x:c>
      <x:c r="D17" s="15" t="n">
        <x:v>3</x:v>
      </x:c>
      <x:c r="E17" s="15" t="n">
        <x:v>120</x:v>
      </x:c>
      <x:c r="F17" s="15" t="n">
        <x:v>0</x:v>
      </x:c>
      <x:c r="G17" s="15" t="n">
        <x:v>10</x:v>
      </x:c>
      <x:c r="H17" s="15" t="n">
        <x:v>180</x:v>
      </x:c>
      <x:c r="I17" s="15" t="n">
        <x:v>0</x:v>
      </x:c>
      <x:c r="J17" s="15" t="n">
        <x:v>2</x:v>
      </x:c>
      <x:c r="K17" s="16" t="n">
        <x:f>D17*C17*E17+F17</x:f>
        <x:v>4320</x:v>
      </x:c>
      <x:c r="L17" s="16" t="n">
        <x:f>G17*H17+I17+J17*D17*E17</x:f>
        <x:v>2520</x:v>
      </x:c>
      <x:c r="M17" s="17" t="n">
        <x:f>IF(L17=0,0,(K17-L17)/L17)</x:f>
        <x:v>0.7142857142857143</x:v>
      </x:c>
      <x:c r="N17" s="14" t="n">
        <x:f>IF(D17*E17=0,999,L17/(D17*E17))</x:f>
        <x:v>7</x:v>
      </x:c>
      <x:c r="O17" s="13" t="str">
        <x:f>IF(N17&lt;=6,"优先",IF(N17&lt;=12,"评估","暂缓"))</x:f>
        <x:v>评估</x:v>
      </x:c>
    </x:row>
    <x:row r="18">
      <x:c r="A18" s="13" t="str">
        <x:v>AUT-13</x:v>
      </x:c>
      <x:c r="B18" s="13" t="str">
        <x:v>存货库龄分析</x:v>
      </x:c>
      <x:c r="C18" s="15" t="n">
        <x:v>12</x:v>
      </x:c>
      <x:c r="D18" s="15" t="n">
        <x:v>7</x:v>
      </x:c>
      <x:c r="E18" s="15" t="n">
        <x:v>120</x:v>
      </x:c>
      <x:c r="F18" s="15" t="n">
        <x:v>0</x:v>
      </x:c>
      <x:c r="G18" s="15" t="n">
        <x:v>26</x:v>
      </x:c>
      <x:c r="H18" s="15" t="n">
        <x:v>180</x:v>
      </x:c>
      <x:c r="I18" s="15" t="n">
        <x:v>0</x:v>
      </x:c>
      <x:c r="J18" s="15" t="n">
        <x:v>2</x:v>
      </x:c>
      <x:c r="K18" s="16" t="n">
        <x:f>D18*C18*E18+F18</x:f>
        <x:v>10080</x:v>
      </x:c>
      <x:c r="L18" s="16" t="n">
        <x:f>G18*H18+I18+J18*D18*E18</x:f>
        <x:v>6360</x:v>
      </x:c>
      <x:c r="M18" s="17" t="n">
        <x:f>IF(L18=0,0,(K18-L18)/L18)</x:f>
        <x:v>0.5849056603773585</x:v>
      </x:c>
      <x:c r="N18" s="14" t="n">
        <x:f>IF(D18*E18=0,999,L18/(D18*E18))</x:f>
        <x:v>7.571428571428571</x:v>
      </x:c>
      <x:c r="O18" s="13" t="str">
        <x:f>IF(N18&lt;=6,"优先",IF(N18&lt;=12,"评估","暂缓"))</x:f>
        <x:v>评估</x:v>
      </x:c>
    </x:row>
    <x:row r="19">
      <x:c r="A19" s="13" t="str">
        <x:v>AUT-14</x:v>
      </x:c>
      <x:c r="B19" s="13" t="str">
        <x:v>BOM异常分析</x:v>
      </x:c>
      <x:c r="C19" s="15" t="n">
        <x:v>12</x:v>
      </x:c>
      <x:c r="D19" s="15" t="n">
        <x:v>8</x:v>
      </x:c>
      <x:c r="E19" s="15" t="n">
        <x:v>120</x:v>
      </x:c>
      <x:c r="F19" s="15" t="n">
        <x:v>0</x:v>
      </x:c>
      <x:c r="G19" s="15" t="n">
        <x:v>44</x:v>
      </x:c>
      <x:c r="H19" s="15" t="n">
        <x:v>180</x:v>
      </x:c>
      <x:c r="I19" s="15" t="n">
        <x:v>0</x:v>
      </x:c>
      <x:c r="J19" s="15" t="n">
        <x:v>2</x:v>
      </x:c>
      <x:c r="K19" s="16" t="n">
        <x:f>D19*C19*E19+F19</x:f>
        <x:v>11520</x:v>
      </x:c>
      <x:c r="L19" s="16" t="n">
        <x:f>G19*H19+I19+J19*D19*E19</x:f>
        <x:v>9840</x:v>
      </x:c>
      <x:c r="M19" s="17" t="n">
        <x:f>IF(L19=0,0,(K19-L19)/L19)</x:f>
        <x:v>0.17073170731707318</x:v>
      </x:c>
      <x:c r="N19" s="14" t="n">
        <x:f>IF(D19*E19=0,999,L19/(D19*E19))</x:f>
        <x:v>10.25</x:v>
      </x:c>
      <x:c r="O19" s="13" t="str">
        <x:f>IF(N19&lt;=6,"优先",IF(N19&lt;=12,"评估","暂缓"))</x:f>
        <x:v>评估</x:v>
      </x:c>
    </x:row>
    <x:row r="20">
      <x:c r="A20" s="13" t="str">
        <x:v>AUT-15</x:v>
      </x:c>
      <x:c r="B20" s="13" t="str">
        <x:v>单位成本波动分析</x:v>
      </x:c>
      <x:c r="C20" s="15" t="n">
        <x:v>12</x:v>
      </x:c>
      <x:c r="D20" s="15" t="n">
        <x:v>10</x:v>
      </x:c>
      <x:c r="E20" s="15" t="n">
        <x:v>120</x:v>
      </x:c>
      <x:c r="F20" s="15" t="n">
        <x:v>0</x:v>
      </x:c>
      <x:c r="G20" s="15" t="n">
        <x:v>46</x:v>
      </x:c>
      <x:c r="H20" s="15" t="n">
        <x:v>180</x:v>
      </x:c>
      <x:c r="I20" s="15" t="n">
        <x:v>0</x:v>
      </x:c>
      <x:c r="J20" s="15" t="n">
        <x:v>2</x:v>
      </x:c>
      <x:c r="K20" s="16" t="n">
        <x:f>D20*C20*E20+F20</x:f>
        <x:v>14400</x:v>
      </x:c>
      <x:c r="L20" s="16" t="n">
        <x:f>G20*H20+I20+J20*D20*E20</x:f>
        <x:v>10680</x:v>
      </x:c>
      <x:c r="M20" s="17" t="n">
        <x:f>IF(L20=0,0,(K20-L20)/L20)</x:f>
        <x:v>0.34831460674157305</x:v>
      </x:c>
      <x:c r="N20" s="14" t="n">
        <x:f>IF(D20*E20=0,999,L20/(D20*E20))</x:f>
        <x:v>8.9</x:v>
      </x:c>
      <x:c r="O20" s="13" t="str">
        <x:f>IF(N20&lt;=6,"优先",IF(N20&lt;=12,"评估","暂缓"))</x:f>
        <x:v>评估</x:v>
      </x:c>
    </x:row>
    <x:row r="21">
      <x:c r="A21" s="13" t="str">
        <x:v>AUT-16</x:v>
      </x:c>
      <x:c r="B21" s="13" t="str">
        <x:v>财务报表自动勾稽</x:v>
      </x:c>
      <x:c r="C21" s="15" t="n">
        <x:v>12</x:v>
      </x:c>
      <x:c r="D21" s="15" t="n">
        <x:v>5</x:v>
      </x:c>
      <x:c r="E21" s="15" t="n">
        <x:v>120</x:v>
      </x:c>
      <x:c r="F21" s="15" t="n">
        <x:v>0</x:v>
      </x:c>
      <x:c r="G21" s="15" t="n">
        <x:v>18</x:v>
      </x:c>
      <x:c r="H21" s="15" t="n">
        <x:v>180</x:v>
      </x:c>
      <x:c r="I21" s="15" t="n">
        <x:v>0</x:v>
      </x:c>
      <x:c r="J21" s="15" t="n">
        <x:v>2</x:v>
      </x:c>
      <x:c r="K21" s="16" t="n">
        <x:f>D21*C21*E21+F21</x:f>
        <x:v>7200</x:v>
      </x:c>
      <x:c r="L21" s="16" t="n">
        <x:f>G21*H21+I21+J21*D21*E21</x:f>
        <x:v>4440</x:v>
      </x:c>
      <x:c r="M21" s="17" t="n">
        <x:f>IF(L21=0,0,(K21-L21)/L21)</x:f>
        <x:v>0.6216216216216216</x:v>
      </x:c>
      <x:c r="N21" s="14" t="n">
        <x:f>IF(D21*E21=0,999,L21/(D21*E21))</x:f>
        <x:v>7.4</x:v>
      </x:c>
      <x:c r="O21" s="13" t="str">
        <x:f>IF(N21&lt;=6,"优先",IF(N21&lt;=12,"评估","暂缓"))</x:f>
        <x:v>评估</x:v>
      </x:c>
    </x:row>
    <x:row r="22">
      <x:c r="A22" s="13" t="str">
        <x:v>AUT-17</x:v>
      </x:c>
      <x:c r="B22" s="13" t="str">
        <x:v>月结Checklist追踪</x:v>
      </x:c>
      <x:c r="C22" s="15" t="n">
        <x:v>12</x:v>
      </x:c>
      <x:c r="D22" s="15" t="n">
        <x:v>4</x:v>
      </x:c>
      <x:c r="E22" s="15" t="n">
        <x:v>120</x:v>
      </x:c>
      <x:c r="F22" s="15" t="n">
        <x:v>0</x:v>
      </x:c>
      <x:c r="G22" s="15" t="n">
        <x:v>20</x:v>
      </x:c>
      <x:c r="H22" s="15" t="n">
        <x:v>180</x:v>
      </x:c>
      <x:c r="I22" s="15" t="n">
        <x:v>0</x:v>
      </x:c>
      <x:c r="J22" s="15" t="n">
        <x:v>2</x:v>
      </x:c>
      <x:c r="K22" s="16" t="n">
        <x:f>D22*C22*E22+F22</x:f>
        <x:v>5760</x:v>
      </x:c>
      <x:c r="L22" s="16" t="n">
        <x:f>G22*H22+I22+J22*D22*E22</x:f>
        <x:v>4560</x:v>
      </x:c>
      <x:c r="M22" s="17" t="n">
        <x:f>IF(L22=0,0,(K22-L22)/L22)</x:f>
        <x:v>0.2631578947368421</x:v>
      </x:c>
      <x:c r="N22" s="14" t="n">
        <x:f>IF(D22*E22=0,999,L22/(D22*E22))</x:f>
        <x:v>9.5</x:v>
      </x:c>
      <x:c r="O22" s="13" t="str">
        <x:f>IF(N22&lt;=6,"优先",IF(N22&lt;=12,"评估","暂缓"))</x:f>
        <x:v>评估</x:v>
      </x:c>
    </x:row>
    <x:row r="23">
      <x:c r="A23" s="13" t="str">
        <x:v>AUT-18</x:v>
      </x:c>
      <x:c r="B23" s="13" t="str">
        <x:v>财务资料自动归档</x:v>
      </x:c>
      <x:c r="C23" s="15" t="n">
        <x:v>12</x:v>
      </x:c>
      <x:c r="D23" s="15" t="n">
        <x:v>6</x:v>
      </x:c>
      <x:c r="E23" s="15" t="n">
        <x:v>120</x:v>
      </x:c>
      <x:c r="F23" s="15" t="n">
        <x:v>0</x:v>
      </x:c>
      <x:c r="G23" s="15" t="n">
        <x:v>28</x:v>
      </x:c>
      <x:c r="H23" s="15" t="n">
        <x:v>180</x:v>
      </x:c>
      <x:c r="I23" s="15" t="n">
        <x:v>0</x:v>
      </x:c>
      <x:c r="J23" s="15" t="n">
        <x:v>2</x:v>
      </x:c>
      <x:c r="K23" s="16" t="n">
        <x:f>D23*C23*E23+F23</x:f>
        <x:v>8640</x:v>
      </x:c>
      <x:c r="L23" s="16" t="n">
        <x:f>G23*H23+I23+J23*D23*E23</x:f>
        <x:v>6480</x:v>
      </x:c>
      <x:c r="M23" s="17" t="n">
        <x:f>IF(L23=0,0,(K23-L23)/L23)</x:f>
        <x:v>0.3333333333333333</x:v>
      </x:c>
      <x:c r="N23" s="14" t="n">
        <x:f>IF(D23*E23=0,999,L23/(D23*E23))</x:f>
        <x:v>9</x:v>
      </x:c>
      <x:c r="O23" s="13" t="str">
        <x:f>IF(N23&lt;=6,"优先",IF(N23&lt;=12,"评估","暂缓"))</x:f>
        <x:v>评估</x:v>
      </x:c>
    </x:row>
    <x:row r="24">
      <x:c r="A24" s="13" t="str">
        <x:v>AUT-19</x:v>
      </x:c>
      <x:c r="B24" s="13" t="str">
        <x:v>审计PBC跟踪</x:v>
      </x:c>
      <x:c r="C24" s="15" t="n">
        <x:v>12</x:v>
      </x:c>
      <x:c r="D24" s="15" t="n">
        <x:v>12</x:v>
      </x:c>
      <x:c r="E24" s="15" t="n">
        <x:v>120</x:v>
      </x:c>
      <x:c r="F24" s="15" t="n">
        <x:v>0</x:v>
      </x:c>
      <x:c r="G24" s="15" t="n">
        <x:v>18</x:v>
      </x:c>
      <x:c r="H24" s="15" t="n">
        <x:v>180</x:v>
      </x:c>
      <x:c r="I24" s="15" t="n">
        <x:v>0</x:v>
      </x:c>
      <x:c r="J24" s="15" t="n">
        <x:v>2</x:v>
      </x:c>
      <x:c r="K24" s="16" t="n">
        <x:f>D24*C24*E24+F24</x:f>
        <x:v>17280</x:v>
      </x:c>
      <x:c r="L24" s="16" t="n">
        <x:f>G24*H24+I24+J24*D24*E24</x:f>
        <x:v>6120</x:v>
      </x:c>
      <x:c r="M24" s="17" t="n">
        <x:f>IF(L24=0,0,(K24-L24)/L24)</x:f>
        <x:v>1.8235294117647058</x:v>
      </x:c>
      <x:c r="N24" s="14" t="n">
        <x:f>IF(D24*E24=0,999,L24/(D24*E24))</x:f>
        <x:v>4.25</x:v>
      </x:c>
      <x:c r="O24" s="13" t="str">
        <x:f>IF(N24&lt;=6,"优先",IF(N24&lt;=12,"评估","暂缓"))</x:f>
        <x:v>优先</x:v>
      </x:c>
    </x:row>
    <x:row r="25">
      <x:c r="A25" s="13" t="str">
        <x:v>AUT-20</x:v>
      </x:c>
      <x:c r="B25" s="13" t="str">
        <x:v>财务分析自动刷新</x:v>
      </x:c>
      <x:c r="C25" s="15" t="n">
        <x:v>12</x:v>
      </x:c>
      <x:c r="D25" s="15" t="n">
        <x:v>12</x:v>
      </x:c>
      <x:c r="E25" s="15" t="n">
        <x:v>120</x:v>
      </x:c>
      <x:c r="F25" s="15" t="n">
        <x:v>0</x:v>
      </x:c>
      <x:c r="G25" s="15" t="n">
        <x:v>40</x:v>
      </x:c>
      <x:c r="H25" s="15" t="n">
        <x:v>180</x:v>
      </x:c>
      <x:c r="I25" s="15" t="n">
        <x:v>0</x:v>
      </x:c>
      <x:c r="J25" s="15" t="n">
        <x:v>2</x:v>
      </x:c>
      <x:c r="K25" s="16" t="n">
        <x:f>D25*C25*E25+F25</x:f>
        <x:v>17280</x:v>
      </x:c>
      <x:c r="L25" s="16" t="n">
        <x:f>G25*H25+I25+J25*D25*E25</x:f>
        <x:v>10080</x:v>
      </x:c>
      <x:c r="M25" s="17" t="n">
        <x:f>IF(L25=0,0,(K25-L25)/L25)</x:f>
        <x:v>0.7142857142857143</x:v>
      </x:c>
      <x:c r="N25" s="14" t="n">
        <x:f>IF(D25*E25=0,999,L25/(D25*E25))</x:f>
        <x:v>7</x:v>
      </x:c>
      <x:c r="O25" s="13" t="str">
        <x:f>IF(N25&lt;=6,"优先",IF(N25&lt;=12,"评估","暂缓"))</x:f>
        <x:v>评估</x:v>
      </x:c>
    </x:row>
  </x:sheetData>
  <x:mergeCells>
    <x:mergeCell ref="A1:O1"/>
    <x:mergeCell ref="A2:O2"/>
  </x:mergeCells>
  <x:conditionalFormatting sqref="O6:O25">
    <x:cfRule type="containsText" dxfId="1" priority="1" operator="containsText" text="优先"/>
  </x:conditionalFormatting>
  <x:pageMargins left="0.7" right="0.7" top="0.75" bottom="0.75" header="0.3" footer="0.3"/>
  <x:tableParts count="1">
    <x:tablePart xmlns:r="http://schemas.openxmlformats.org/officeDocument/2006/relationships" r:id="Rcf50ea0332284f0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32" hidden="0" customWidth="1"/>
    <x:col min="5" max="5" width="32" hidden="0" customWidth="1"/>
  </x:cols>
  <x:sheetData>
    <x:row r="1" ht="30" customHeight="1">
      <x:c r="A1" s="1" t="str">
        <x:v>自动化可行性评分</x:v>
      </x:c>
    </x:row>
    <x:row r="2" ht="28" customHeight="1">
      <x:c r="A2" s="3" t="str">
        <x:v>项目得分 = 收益 + 可行性 + 可维护性 - 风险扣分。</x:v>
      </x:c>
    </x:row>
    <x:row r="5" ht="34" customHeight="1">
      <x:c r="A5" s="9" t="str">
        <x:v>维度</x:v>
      </x:c>
      <x:c r="B5" s="9" t="str">
        <x:v>指标</x:v>
      </x:c>
      <x:c r="C5" s="9" t="str">
        <x:v>权重</x:v>
      </x:c>
      <x:c r="D5" s="9" t="str">
        <x:v>5分标准</x:v>
      </x:c>
      <x:c r="E5" s="9" t="str">
        <x:v>1分标准</x:v>
      </x:c>
    </x:row>
    <x:row r="6">
      <x:c r="A6" s="13" t="str">
        <x:v>收益</x:v>
      </x:c>
      <x:c r="B6" s="13" t="str">
        <x:v>月度人工耗时</x:v>
      </x:c>
      <x:c r="C6" s="13" t="n">
        <x:v>15</x:v>
      </x:c>
      <x:c r="D6" s="13" t="str">
        <x:v>每月超过20小时</x:v>
      </x:c>
      <x:c r="E6" s="13" t="str">
        <x:v>每月不足1小时</x:v>
      </x:c>
    </x:row>
    <x:row r="7">
      <x:c r="A7" s="13" t="str">
        <x:v>收益</x:v>
      </x:c>
      <x:c r="B7" s="13" t="str">
        <x:v>发生频率</x:v>
      </x:c>
      <x:c r="C7" s="13" t="n">
        <x:v>8</x:v>
      </x:c>
      <x:c r="D7" s="13" t="str">
        <x:v>日频</x:v>
      </x:c>
      <x:c r="E7" s="13" t="str">
        <x:v>年频</x:v>
      </x:c>
    </x:row>
    <x:row r="8">
      <x:c r="A8" s="13" t="str">
        <x:v>收益</x:v>
      </x:c>
      <x:c r="B8" s="13" t="str">
        <x:v>错误风险降低</x:v>
      </x:c>
      <x:c r="C8" s="13" t="n">
        <x:v>12</x:v>
      </x:c>
      <x:c r="D8" s="13" t="str">
        <x:v>可明显减少重大错漏</x:v>
      </x:c>
      <x:c r="E8" s="13" t="str">
        <x:v>影响很小</x:v>
      </x:c>
    </x:row>
    <x:row r="9">
      <x:c r="A9" s="13" t="str">
        <x:v>收益</x:v>
      </x:c>
      <x:c r="B9" s="13" t="str">
        <x:v>复用范围</x:v>
      </x:c>
      <x:c r="C9" s="13" t="n">
        <x:v>8</x:v>
      </x:c>
      <x:c r="D9" s="13" t="str">
        <x:v>多主体多期间</x:v>
      </x:c>
      <x:c r="E9" s="13" t="str">
        <x:v>单次使用</x:v>
      </x:c>
    </x:row>
    <x:row r="10">
      <x:c r="A10" s="13" t="str">
        <x:v>收益</x:v>
      </x:c>
      <x:c r="B10" s="13" t="str">
        <x:v>月结关键程度</x:v>
      </x:c>
      <x:c r="C10" s="13" t="n">
        <x:v>7</x:v>
      </x:c>
      <x:c r="D10" s="13" t="str">
        <x:v>关键路径</x:v>
      </x:c>
      <x:c r="E10" s="13" t="str">
        <x:v>非关键</x:v>
      </x:c>
    </x:row>
    <x:row r="11">
      <x:c r="A11" s="13" t="str">
        <x:v>可行性</x:v>
      </x:c>
      <x:c r="B11" s="13" t="str">
        <x:v>规则清晰度</x:v>
      </x:c>
      <x:c r="C11" s="13" t="n">
        <x:v>12</x:v>
      </x:c>
      <x:c r="D11" s="13" t="str">
        <x:v>可完全写成规则</x:v>
      </x:c>
      <x:c r="E11" s="13" t="str">
        <x:v>主要靠判断</x:v>
      </x:c>
    </x:row>
    <x:row r="12">
      <x:c r="A12" s="13" t="str">
        <x:v>可行性</x:v>
      </x:c>
      <x:c r="B12" s="13" t="str">
        <x:v>数据结构化</x:v>
      </x:c>
      <x:c r="C12" s="13" t="n">
        <x:v>10</x:v>
      </x:c>
      <x:c r="D12" s="13" t="str">
        <x:v>稳定表格/API</x:v>
      </x:c>
      <x:c r="E12" s="13" t="str">
        <x:v>非结构化且不完整</x:v>
      </x:c>
    </x:row>
    <x:row r="13">
      <x:c r="A13" s="13" t="str">
        <x:v>可行性</x:v>
      </x:c>
      <x:c r="B13" s="13" t="str">
        <x:v>来源稳定性</x:v>
      </x:c>
      <x:c r="C13" s="13" t="n">
        <x:v>8</x:v>
      </x:c>
      <x:c r="D13" s="13" t="str">
        <x:v>字段长期稳定</x:v>
      </x:c>
      <x:c r="E13" s="13" t="str">
        <x:v>经常变化</x:v>
      </x:c>
    </x:row>
    <x:row r="14">
      <x:c r="A14" s="13" t="str">
        <x:v>可行性</x:v>
      </x:c>
      <x:c r="B14" s="13" t="str">
        <x:v>异常比例</x:v>
      </x:c>
      <x:c r="C14" s="13" t="n">
        <x:v>5</x:v>
      </x:c>
      <x:c r="D14" s="13" t="str">
        <x:v>低于5%</x:v>
      </x:c>
      <x:c r="E14" s="13" t="str">
        <x:v>超过50%</x:v>
      </x:c>
    </x:row>
    <x:row r="15">
      <x:c r="A15" s="13" t="str">
        <x:v>可行性</x:v>
      </x:c>
      <x:c r="B15" s="13" t="str">
        <x:v>工具可用性</x:v>
      </x:c>
      <x:c r="C15" s="13" t="n">
        <x:v>5</x:v>
      </x:c>
      <x:c r="D15" s="13" t="str">
        <x:v>ERP/API可用</x:v>
      </x:c>
      <x:c r="E15" s="13" t="str">
        <x:v>无法合法取得</x:v>
      </x:c>
    </x:row>
    <x:row r="16">
      <x:c r="A16" s="13" t="str">
        <x:v>维护</x:v>
      </x:c>
      <x:c r="B16" s="13" t="str">
        <x:v>维护难度</x:v>
      </x:c>
      <x:c r="C16" s="13" t="n">
        <x:v>5</x:v>
      </x:c>
      <x:c r="D16" s="13" t="str">
        <x:v>财务可自行修改</x:v>
      </x:c>
      <x:c r="E16" s="13" t="str">
        <x:v>依赖外部开发</x:v>
      </x:c>
    </x:row>
    <x:row r="17">
      <x:c r="A17" s="13" t="str">
        <x:v>维护</x:v>
      </x:c>
      <x:c r="B17" s="13" t="str">
        <x:v>用户接受</x:v>
      </x:c>
      <x:c r="C17" s="13" t="n">
        <x:v>3</x:v>
      </x:c>
      <x:c r="D17" s="13" t="str">
        <x:v>输入标准稳定</x:v>
      </x:c>
      <x:c r="E17" s="13" t="str">
        <x:v>经常不按规则</x:v>
      </x:c>
    </x:row>
    <x:row r="18">
      <x:c r="A18" s="13" t="str">
        <x:v>维护</x:v>
      </x:c>
      <x:c r="B18" s="13" t="str">
        <x:v>回退能力</x:v>
      </x:c>
      <x:c r="C18" s="13" t="n">
        <x:v>2</x:v>
      </x:c>
      <x:c r="D18" s="13" t="str">
        <x:v>有验证过的手工流程</x:v>
      </x:c>
      <x:c r="E18" s="13" t="str">
        <x:v>无回退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3878e1ad092413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36" hidden="0" customWidth="1"/>
    <x:col min="4" max="4" width="36" hidden="0" customWidth="1"/>
  </x:cols>
  <x:sheetData>
    <x:row r="1" ht="30" customHeight="1">
      <x:c r="A1" s="1" t="str">
        <x:v>财务问题与工具选择</x:v>
      </x:c>
    </x:row>
    <x:row r="2" ht="28" customHeight="1">
      <x:c r="A2" s="3" t="str">
        <x:v>从最简单、最确定且易维护的方案开始。</x:v>
      </x:c>
    </x:row>
    <x:row r="5" ht="34" customHeight="1">
      <x:c r="A5" s="9" t="str">
        <x:v>工具</x:v>
      </x:c>
      <x:c r="B5" s="9" t="str">
        <x:v>适用问题</x:v>
      </x:c>
      <x:c r="C5" s="9" t="str">
        <x:v>典型场景</x:v>
      </x:c>
      <x:c r="D5" s="9" t="str">
        <x:v>不适合</x:v>
      </x:c>
    </x:row>
    <x:row r="6">
      <x:c r="A6" s="13" t="str">
        <x:v>Excel</x:v>
      </x:c>
      <x:c r="B6" s="13" t="str">
        <x:v>少量到中等数据、明确公式、需要人工复核</x:v>
      </x:c>
      <x:c r="C6" s="13" t="str">
        <x:v>预提、报表勾稽、检查清单</x:v>
      </x:c>
      <x:c r="D6" s="13" t="str">
        <x:v>复杂组合匹配和大量文件</x:v>
      </x:c>
    </x:row>
    <x:row r="7">
      <x:c r="A7" s="13" t="str">
        <x:v>Power Query</x:v>
      </x:c>
      <x:c r="B7" s="13" t="str">
        <x:v>多文件导入、清洗、追加、合并、重复刷新</x:v>
      </x:c>
      <x:c r="C7" s="13" t="str">
        <x:v>银行流水、发票、应收应付</x:v>
      </x:c>
      <x:c r="D7" s="13" t="str">
        <x:v>复杂算法和系统动作</x:v>
      </x:c>
    </x:row>
    <x:row r="8">
      <x:c r="A8" s="13" t="str">
        <x:v>Power BI</x:v>
      </x:c>
      <x:c r="B8" s="13" t="str">
        <x:v>持续更新的指标模型和分析展示</x:v>
      </x:c>
      <x:c r="C8" s="13" t="str">
        <x:v>应收、库存、月结Dashboard</x:v>
      </x:c>
      <x:c r="D8" s="13" t="str">
        <x:v>正式记账和审批</x:v>
      </x:c>
    </x:row>
    <x:row r="9">
      <x:c r="A9" s="13" t="str">
        <x:v>Python</x:v>
      </x:c>
      <x:c r="B9" s="13" t="str">
        <x:v>大数据、复杂匹配、批量文件和规则扫描</x:v>
      </x:c>
      <x:c r="C9" s="13" t="str">
        <x:v>组合对账、TB异常、成本波动</x:v>
      </x:c>
      <x:c r="D9" s="13" t="str">
        <x:v>几十行数据且Excel已经稳定</x:v>
      </x:c>
    </x:row>
    <x:row r="10">
      <x:c r="A10" s="13" t="str">
        <x:v>RPA</x:v>
      </x:c>
      <x:c r="B10" s="13" t="str">
        <x:v>无API但界面步骤固定</x:v>
      </x:c>
      <x:c r="C10" s="13" t="str">
        <x:v>定期下载、上传、回执归档</x:v>
      </x:c>
      <x:c r="D10" s="13" t="str">
        <x:v>验证码、高风险操作、界面频繁变化</x:v>
      </x:c>
    </x:row>
    <x:row r="11">
      <x:c r="A11" s="13" t="str">
        <x:v>ERP原生功能</x:v>
      </x:c>
      <x:c r="B11" s="13" t="str">
        <x:v>系统已有标准模块和权限控制</x:v>
      </x:c>
      <x:c r="C11" s="13" t="str">
        <x:v>自动折旧、三单匹配、凭证接口</x:v>
      </x:c>
      <x:c r="D11" s="13" t="str">
        <x:v>主数据和配置不可靠</x:v>
      </x:c>
    </x:row>
    <x:row r="12">
      <x:c r="A12" s="13" t="str">
        <x:v>API</x:v>
      </x:c>
      <x:c r="B12" s="13" t="str">
        <x:v>系统开放稳定接口并获正式授权</x:v>
      </x:c>
      <x:c r="C12" s="13" t="str">
        <x:v>ERP、银企、OA、发票平台连接</x:v>
      </x:c>
      <x:c r="D12" s="13" t="str">
        <x:v>厂商不支持或缺少权限</x:v>
      </x:c>
    </x:row>
    <x:row r="13">
      <x:c r="A13" s="13" t="str">
        <x:v>AI</x:v>
      </x:c>
      <x:c r="B13" s="13" t="str">
        <x:v>文本理解、语义分类、初步解释</x:v>
      </x:c>
      <x:c r="C13" s="13" t="str">
        <x:v>合同摘要、邮件分类、异常说明初稿</x:v>
      </x:c>
      <x:c r="D13" s="13" t="str">
        <x:v>精确计算、自动审批和最终判断</x:v>
      </x:c>
    </x:row>
    <x:row r="14">
      <x:c r="A14" s="13" t="str">
        <x:v>AI Agent</x:v>
      </x:c>
      <x:c r="B14" s="13" t="str">
        <x:v>成熟流程上的多步骤编排</x:v>
      </x:c>
      <x:c r="C14" s="13" t="str">
        <x:v>月结进度、Issue汇总、资料检查</x:v>
      </x:c>
      <x:c r="D14" s="13" t="str">
        <x:v>基础数据、规则、权限和日志尚未稳定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4aa9ef7a1d4439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4" hidden="0" customWidth="1"/>
    <x:col min="8" max="8" width="38" hidden="0" customWidth="1"/>
  </x:cols>
  <x:sheetData>
    <x:row r="1" ht="30" customHeight="1">
      <x:c r="A1" s="1" t="str">
        <x:v>各财务领域自动化评估</x:v>
      </x:c>
    </x:row>
    <x:row r="2" ht="28" customHeight="1">
      <x:c r="A2" s="3" t="str">
        <x:v>自动化结果为建议和异常清单，不等于业务正确。</x:v>
      </x:c>
    </x:row>
    <x:row r="5" ht="34" customHeight="1">
      <x:c r="A5" s="9" t="str">
        <x:v>领域</x:v>
      </x:c>
      <x:c r="B5" s="9" t="str">
        <x:v>典型任务</x:v>
      </x:c>
      <x:c r="C5" s="9" t="str">
        <x:v>重复</x:v>
      </x:c>
      <x:c r="D5" s="9" t="str">
        <x:v>规则</x:v>
      </x:c>
      <x:c r="E5" s="9" t="str">
        <x:v>判断</x:v>
      </x:c>
      <x:c r="F5" s="9" t="str">
        <x:v>价值</x:v>
      </x:c>
      <x:c r="G5" s="9" t="str">
        <x:v>工具</x:v>
      </x:c>
      <x:c r="H5" s="9" t="str">
        <x:v>人工保留</x:v>
      </x:c>
    </x:row>
    <x:row r="6">
      <x:c r="A6" s="13" t="str">
        <x:v>采购与应付</x:v>
      </x:c>
      <x:c r="B6" s="13" t="str">
        <x:v>三单匹配、重复付款、账户变更</x:v>
      </x:c>
      <x:c r="C6" s="13" t="str">
        <x:v>高</x:v>
      </x:c>
      <x:c r="D6" s="13" t="str">
        <x:v>高</x:v>
      </x:c>
      <x:c r="E6" s="13" t="str">
        <x:v>中</x:v>
      </x:c>
      <x:c r="F6" s="13" t="str">
        <x:v>高</x:v>
      </x:c>
      <x:c r="G6" s="13" t="str">
        <x:v>Power Query/Python</x:v>
      </x:c>
      <x:c r="H6" s="13" t="str">
        <x:v>付款审批与供应商真实性</x:v>
      </x:c>
    </x:row>
    <x:row r="7">
      <x:c r="A7" s="13" t="str">
        <x:v>销售与应收</x:v>
      </x:c>
      <x:c r="B7" s="13" t="str">
        <x:v>回款认领、账龄、核销建议</x:v>
      </x:c>
      <x:c r="C7" s="13" t="str">
        <x:v>高</x:v>
      </x:c>
      <x:c r="D7" s="13" t="str">
        <x:v>中高</x:v>
      </x:c>
      <x:c r="E7" s="13" t="str">
        <x:v>中</x:v>
      </x:c>
      <x:c r="F7" s="13" t="str">
        <x:v>高</x:v>
      </x:c>
      <x:c r="G7" s="13" t="str">
        <x:v>Power Query/Python</x:v>
      </x:c>
      <x:c r="H7" s="13" t="str">
        <x:v>折扣、争议、坏账判断</x:v>
      </x:c>
    </x:row>
    <x:row r="8">
      <x:c r="A8" s="13" t="str">
        <x:v>费用报销</x:v>
      </x:c>
      <x:c r="B8" s="13" t="str">
        <x:v>标准、日期、重复票、预算</x:v>
      </x:c>
      <x:c r="C8" s="13" t="str">
        <x:v>高</x:v>
      </x:c>
      <x:c r="D8" s="13" t="str">
        <x:v>中高</x:v>
      </x:c>
      <x:c r="E8" s="13" t="str">
        <x:v>中高</x:v>
      </x:c>
      <x:c r="F8" s="13" t="str">
        <x:v>中高</x:v>
      </x:c>
      <x:c r="G8" s="13" t="str">
        <x:v>规则/OCR/AI辅助</x:v>
      </x:c>
      <x:c r="H8" s="13" t="str">
        <x:v>招待、礼品和私人消费</x:v>
      </x:c>
    </x:row>
    <x:row r="9">
      <x:c r="A9" s="13" t="str">
        <x:v>发票</x:v>
      </x:c>
      <x:c r="B9" s="13" t="str">
        <x:v>字段、验真、重复、税率</x:v>
      </x:c>
      <x:c r="C9" s="13" t="str">
        <x:v>高</x:v>
      </x:c>
      <x:c r="D9" s="13" t="str">
        <x:v>高</x:v>
      </x:c>
      <x:c r="E9" s="13" t="str">
        <x:v>中</x:v>
      </x:c>
      <x:c r="F9" s="13" t="str">
        <x:v>高</x:v>
      </x:c>
      <x:c r="G9" s="13" t="str">
        <x:v>数电票/规则/OCR</x:v>
      </x:c>
      <x:c r="H9" s="13" t="str">
        <x:v>业务真实性与抵扣资格</x:v>
      </x:c>
    </x:row>
    <x:row r="10">
      <x:c r="A10" s="13" t="str">
        <x:v>银行与资金</x:v>
      </x:c>
      <x:c r="B10" s="13" t="str">
        <x:v>流水匹配、未达、余额调节</x:v>
      </x:c>
      <x:c r="C10" s="13" t="str">
        <x:v>高</x:v>
      </x:c>
      <x:c r="D10" s="13" t="str">
        <x:v>高</x:v>
      </x:c>
      <x:c r="E10" s="13" t="str">
        <x:v>中</x:v>
      </x:c>
      <x:c r="F10" s="13" t="str">
        <x:v>高</x:v>
      </x:c>
      <x:c r="G10" s="13" t="str">
        <x:v>Power Query/Python</x:v>
      </x:c>
      <x:c r="H10" s="13" t="str">
        <x:v>未知款和组合匹配</x:v>
      </x:c>
    </x:row>
    <x:row r="11">
      <x:c r="A11" s="13" t="str">
        <x:v>工资薪酬</x:v>
      </x:c>
      <x:c r="B11" s="13" t="str">
        <x:v>花名册、工资、个税、实发核对</x:v>
      </x:c>
      <x:c r="C11" s="13" t="str">
        <x:v>高</x:v>
      </x:c>
      <x:c r="D11" s="13" t="str">
        <x:v>高</x:v>
      </x:c>
      <x:c r="E11" s="13" t="str">
        <x:v>中</x:v>
      </x:c>
      <x:c r="F11" s="13" t="str">
        <x:v>高</x:v>
      </x:c>
      <x:c r="G11" s="13" t="str">
        <x:v>Power Query</x:v>
      </x:c>
      <x:c r="H11" s="13" t="str">
        <x:v>个人信息权限和异常确认</x:v>
      </x:c>
    </x:row>
    <x:row r="12">
      <x:c r="A12" s="13" t="str">
        <x:v>存货</x:v>
      </x:c>
      <x:c r="B12" s="13" t="str">
        <x:v>负库存、库龄、无移动、盘点差异</x:v>
      </x:c>
      <x:c r="C12" s="13" t="str">
        <x:v>高</x:v>
      </x:c>
      <x:c r="D12" s="13" t="str">
        <x:v>高</x:v>
      </x:c>
      <x:c r="E12" s="13" t="str">
        <x:v>中</x:v>
      </x:c>
      <x:c r="F12" s="13" t="str">
        <x:v>高</x:v>
      </x:c>
      <x:c r="G12" s="13" t="str">
        <x:v>Power Query/BI</x:v>
      </x:c>
      <x:c r="H12" s="13" t="str">
        <x:v>呆滞原因与减值</x:v>
      </x:c>
    </x:row>
    <x:row r="13">
      <x:c r="A13" s="13" t="str">
        <x:v>成本</x:v>
      </x:c>
      <x:c r="B13" s="13" t="str">
        <x:v>BOM、耗用、单位成本、毛利波动</x:v>
      </x:c>
      <x:c r="C13" s="13" t="str">
        <x:v>中高</x:v>
      </x:c>
      <x:c r="D13" s="13" t="str">
        <x:v>中</x:v>
      </x:c>
      <x:c r="E13" s="13" t="str">
        <x:v>高</x:v>
      </x:c>
      <x:c r="F13" s="13" t="str">
        <x:v>中高</x:v>
      </x:c>
      <x:c r="G13" s="13" t="str">
        <x:v>Python/BI</x:v>
      </x:c>
      <x:c r="H13" s="13" t="str">
        <x:v>经营原因与口径判断</x:v>
      </x:c>
    </x:row>
    <x:row r="14">
      <x:c r="A14" s="13" t="str">
        <x:v>固定资产</x:v>
      </x:c>
      <x:c r="B14" s="13" t="str">
        <x:v>折旧、卡片GL、闲置、转固提醒</x:v>
      </x:c>
      <x:c r="C14" s="13" t="str">
        <x:v>中</x:v>
      </x:c>
      <x:c r="D14" s="13" t="str">
        <x:v>高</x:v>
      </x:c>
      <x:c r="E14" s="13" t="str">
        <x:v>中</x:v>
      </x:c>
      <x:c r="F14" s="13" t="str">
        <x:v>中高</x:v>
      </x:c>
      <x:c r="G14" s="13" t="str">
        <x:v>ERP/Power Query</x:v>
      </x:c>
      <x:c r="H14" s="13" t="str">
        <x:v>转固时点和减值</x:v>
      </x:c>
    </x:row>
    <x:row r="15">
      <x:c r="A15" s="13" t="str">
        <x:v>税务</x:v>
      </x:c>
      <x:c r="B15" s="13" t="str">
        <x:v>销进项整理、账票税核对、资料归档</x:v>
      </x:c>
      <x:c r="C15" s="13" t="str">
        <x:v>高</x:v>
      </x:c>
      <x:c r="D15" s="13" t="str">
        <x:v>中高</x:v>
      </x:c>
      <x:c r="E15" s="13" t="str">
        <x:v>高</x:v>
      </x:c>
      <x:c r="F15" s="13" t="str">
        <x:v>中高</x:v>
      </x:c>
      <x:c r="G15" s="13" t="str">
        <x:v>ERP/Power Query</x:v>
      </x:c>
      <x:c r="H15" s="13" t="str">
        <x:v>政策、申报复核与提交</x:v>
      </x:c>
    </x:row>
    <x:row r="16">
      <x:c r="A16" s="13" t="str">
        <x:v>全科目核对</x:v>
      </x:c>
      <x:c r="B16" s="13" t="str">
        <x:v>方向、账龄、余额和模块差异</x:v>
      </x:c>
      <x:c r="C16" s="13" t="str">
        <x:v>高</x:v>
      </x:c>
      <x:c r="D16" s="13" t="str">
        <x:v>高</x:v>
      </x:c>
      <x:c r="E16" s="13" t="str">
        <x:v>中高</x:v>
      </x:c>
      <x:c r="F16" s="13" t="str">
        <x:v>高</x:v>
      </x:c>
      <x:c r="G16" s="13" t="str">
        <x:v>Excel/Python</x:v>
      </x:c>
      <x:c r="H16" s="13" t="str">
        <x:v>异常实质与调账判断</x:v>
      </x:c>
    </x:row>
    <x:row r="17">
      <x:c r="A17" s="13" t="str">
        <x:v>月结</x:v>
      </x:c>
      <x:c r="B17" s="13" t="str">
        <x:v>任务、依赖、证据、延期与Issue</x:v>
      </x:c>
      <x:c r="C17" s="13" t="str">
        <x:v>高</x:v>
      </x:c>
      <x:c r="D17" s="13" t="str">
        <x:v>中高</x:v>
      </x:c>
      <x:c r="E17" s="13" t="str">
        <x:v>中</x:v>
      </x:c>
      <x:c r="F17" s="13" t="str">
        <x:v>高</x:v>
      </x:c>
      <x:c r="G17" s="13" t="str">
        <x:v>Excel/协同系统</x:v>
      </x:c>
      <x:c r="H17" s="13" t="str">
        <x:v>重大事项升级与关闭</x:v>
      </x:c>
    </x:row>
    <x:row r="18">
      <x:c r="A18" s="13" t="str">
        <x:v>财务报表</x:v>
      </x:c>
      <x:c r="B18" s="13" t="str">
        <x:v>映射、公式、滚动与勾稽</x:v>
      </x:c>
      <x:c r="C18" s="13" t="str">
        <x:v>高</x:v>
      </x:c>
      <x:c r="D18" s="13" t="str">
        <x:v>高</x:v>
      </x:c>
      <x:c r="E18" s="13" t="str">
        <x:v>中</x:v>
      </x:c>
      <x:c r="F18" s="13" t="str">
        <x:v>高</x:v>
      </x:c>
      <x:c r="G18" s="13" t="str">
        <x:v>Excel/Python</x:v>
      </x:c>
      <x:c r="H18" s="13" t="str">
        <x:v>列报和重大调整</x:v>
      </x:c>
    </x:row>
    <x:row r="19">
      <x:c r="A19" s="13" t="str">
        <x:v>财务分析</x:v>
      </x:c>
      <x:c r="B19" s="13" t="str">
        <x:v>刷新、同比、预算、PVM和Bridge</x:v>
      </x:c>
      <x:c r="C19" s="13" t="str">
        <x:v>中高</x:v>
      </x:c>
      <x:c r="D19" s="13" t="str">
        <x:v>中高</x:v>
      </x:c>
      <x:c r="E19" s="13" t="str">
        <x:v>高</x:v>
      </x:c>
      <x:c r="F19" s="13" t="str">
        <x:v>中高</x:v>
      </x:c>
      <x:c r="G19" s="13" t="str">
        <x:v>PQ/BI/Python</x:v>
      </x:c>
      <x:c r="H19" s="13" t="str">
        <x:v>经营解释与行动建议</x:v>
      </x:c>
    </x:row>
    <x:row r="20">
      <x:c r="A20" s="13" t="str">
        <x:v>资料归档</x:v>
      </x:c>
      <x:c r="B20" s="13" t="str">
        <x:v>命名、分类、清单和PBC</x:v>
      </x:c>
      <x:c r="C20" s="13" t="str">
        <x:v>高</x:v>
      </x:c>
      <x:c r="D20" s="13" t="str">
        <x:v>高</x:v>
      </x:c>
      <x:c r="E20" s="13" t="str">
        <x:v>低</x:v>
      </x:c>
      <x:c r="F20" s="13" t="str">
        <x:v>高</x:v>
      </x:c>
      <x:c r="G20" s="13" t="str">
        <x:v>Python/RPA</x:v>
      </x:c>
      <x:c r="H20" s="13" t="str">
        <x:v>权限和资料完整性</x:v>
      </x:c>
    </x:row>
    <x:row r="21">
      <x:c r="A21" s="13" t="str">
        <x:v>审计支持</x:v>
      </x:c>
      <x:c r="B21" s="13" t="str">
        <x:v>PBC状态、追问、未决事项</x:v>
      </x:c>
      <x:c r="C21" s="13" t="str">
        <x:v>高</x:v>
      </x:c>
      <x:c r="D21" s="13" t="str">
        <x:v>高</x:v>
      </x:c>
      <x:c r="E21" s="13" t="str">
        <x:v>中</x:v>
      </x:c>
      <x:c r="F21" s="13" t="str">
        <x:v>高</x:v>
      </x:c>
      <x:c r="G21" s="13" t="str">
        <x:v>Excel/协同系统</x:v>
      </x:c>
      <x:c r="H21" s="13" t="str">
        <x:v>缺失资料与审计判断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48dd5e2eef6442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34" hidden="0" customWidth="1"/>
    <x:col min="4" max="4" width="13" hidden="0" customWidth="1"/>
  </x:cols>
  <x:sheetData>
    <x:row r="1" ht="30" customHeight="1">
      <x:c r="A1" s="1" t="str">
        <x:v>三个月学习路线</x:v>
      </x:c>
    </x:row>
    <x:row r="2" ht="28" customHeight="1">
      <x:c r="A2" s="3" t="str">
        <x:v>Agent安排在数据、规则、工具和权限成熟之后。</x:v>
      </x:c>
    </x:row>
    <x:row r="5" ht="34" customHeight="1">
      <x:c r="A5" s="9" t="str">
        <x:v>周</x:v>
      </x:c>
      <x:c r="B5" s="9" t="str">
        <x:v>重点</x:v>
      </x:c>
      <x:c r="C5" s="9" t="str">
        <x:v>练习成果</x:v>
      </x:c>
      <x:c r="D5" s="9" t="str">
        <x:v>完成状态</x:v>
      </x:c>
    </x:row>
    <x:row r="6">
      <x:c r="A6" s="13" t="n">
        <x:v>1</x:v>
      </x:c>
      <x:c r="B6" s="13" t="str">
        <x:v>测量、ROI与Excel</x:v>
      </x:c>
      <x:c r="C6" s="13" t="str">
        <x:v>报表勾稽原型</x:v>
      </x:c>
      <x:c r="D6" s="13" t="str">
        <x:v>未开始</x:v>
      </x:c>
    </x:row>
    <x:row r="7">
      <x:c r="A7" s="13" t="n">
        <x:v>2</x:v>
      </x:c>
      <x:c r="B7" s="13" t="str">
        <x:v>Power Query清洗</x:v>
      </x:c>
      <x:c r="C7" s="13" t="str">
        <x:v>统一字段模板</x:v>
      </x:c>
      <x:c r="D7" s="13" t="str">
        <x:v>未开始</x:v>
      </x:c>
    </x:row>
    <x:row r="8">
      <x:c r="A8" s="13" t="n">
        <x:v>3</x:v>
      </x:c>
      <x:c r="B8" s="13" t="str">
        <x:v>银行对账</x:v>
      </x:c>
      <x:c r="C8" s="13" t="str">
        <x:v>对账工具</x:v>
      </x:c>
      <x:c r="D8" s="13" t="str">
        <x:v>未开始</x:v>
      </x:c>
    </x:row>
    <x:row r="9">
      <x:c r="A9" s="13" t="n">
        <x:v>4</x:v>
      </x:c>
      <x:c r="B9" s="13" t="str">
        <x:v>长期挂账</x:v>
      </x:c>
      <x:c r="C9" s="13" t="str">
        <x:v>异常清单</x:v>
      </x:c>
      <x:c r="D9" s="13" t="str">
        <x:v>未开始</x:v>
      </x:c>
    </x:row>
    <x:row r="10">
      <x:c r="A10" s="13" t="n">
        <x:v>5</x:v>
      </x:c>
      <x:c r="B10" s="13" t="str">
        <x:v>Python与pandas</x:v>
      </x:c>
      <x:c r="C10" s="13" t="str">
        <x:v>读写合并</x:v>
      </x:c>
      <x:c r="D10" s="13" t="str">
        <x:v>未开始</x:v>
      </x:c>
    </x:row>
    <x:row r="11">
      <x:c r="A11" s="13" t="n">
        <x:v>6</x:v>
      </x:c>
      <x:c r="B11" s="13" t="str">
        <x:v>暂估匹配</x:v>
      </x:c>
      <x:c r="C11" s="13" t="str">
        <x:v>到票差异</x:v>
      </x:c>
      <x:c r="D11" s="13" t="str">
        <x:v>未开始</x:v>
      </x:c>
    </x:row>
    <x:row r="12">
      <x:c r="A12" s="13" t="n">
        <x:v>7</x:v>
      </x:c>
      <x:c r="B12" s="13" t="str">
        <x:v>TB规则库</x:v>
      </x:c>
      <x:c r="C12" s="13" t="str">
        <x:v>异常余额</x:v>
      </x:c>
      <x:c r="D12" s="13" t="str">
        <x:v>未开始</x:v>
      </x:c>
    </x:row>
    <x:row r="13">
      <x:c r="A13" s="13" t="n">
        <x:v>8</x:v>
      </x:c>
      <x:c r="B13" s="13" t="str">
        <x:v>UAT和并行验证</x:v>
      </x:c>
      <x:c r="C13" s="13" t="str">
        <x:v>上线证据</x:v>
      </x:c>
      <x:c r="D13" s="13" t="str">
        <x:v>未开始</x:v>
      </x:c>
    </x:row>
    <x:row r="14">
      <x:c r="A14" s="13" t="n">
        <x:v>9</x:v>
      </x:c>
      <x:c r="B14" s="13" t="str">
        <x:v>Power BI模型</x:v>
      </x:c>
      <x:c r="C14" s="13" t="str">
        <x:v>月结看板</x:v>
      </x:c>
      <x:c r="D14" s="13" t="str">
        <x:v>未开始</x:v>
      </x:c>
    </x:row>
    <x:row r="15">
      <x:c r="A15" s="13" t="n">
        <x:v>10</x:v>
      </x:c>
      <x:c r="B15" s="13" t="str">
        <x:v>API和RPA边界</x:v>
      </x:c>
      <x:c r="C15" s="13" t="str">
        <x:v>接口决策</x:v>
      </x:c>
      <x:c r="D15" s="13" t="str">
        <x:v>未开始</x:v>
      </x:c>
    </x:row>
    <x:row r="16">
      <x:c r="A16" s="13" t="n">
        <x:v>11</x:v>
      </x:c>
      <x:c r="B16" s="13" t="str">
        <x:v>AI辅助</x:v>
      </x:c>
      <x:c r="C16" s="13" t="str">
        <x:v>合同摘要</x:v>
      </x:c>
      <x:c r="D16" s="13" t="str">
        <x:v>未开始</x:v>
      </x:c>
    </x:row>
    <x:row r="17">
      <x:c r="A17" s="13" t="n">
        <x:v>12</x:v>
      </x:c>
      <x:c r="B17" s="13" t="str">
        <x:v>受控Agent</x:v>
      </x:c>
      <x:c r="C17" s="13" t="str">
        <x:v>Close Agent概念验证</x:v>
      </x:c>
      <x:c r="D17" s="13" t="str">
        <x:v>未开始</x:v>
      </x:c>
    </x:row>
  </x:sheetData>
  <x:mergeCells>
    <x:mergeCell ref="A1:D1"/>
    <x:mergeCell ref="A2:D2"/>
  </x:mergeCells>
  <x:conditionalFormatting sqref="D6:D17">
    <x:cfRule type="containsText" dxfId="2" priority="1" operator="containsText" text="已完成"/>
    <x:cfRule type="containsText" dxfId="3" priority="2" operator="containsText" text="待复核"/>
    <x:cfRule type="containsText" dxfId="4" priority="3" operator="containsText" text="未通过"/>
  </x:conditionalFormatting>
  <x:dataValidations count="1">
    <x:dataValidation type="list" sqref="D6:D17">
      <x:formula1>"未开始,进行中,待复核,已完成"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19fcf72bce46a1"/>
  </x:tableParts>
</x:worksheet>
</file>