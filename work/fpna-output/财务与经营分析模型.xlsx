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c9f86d79ea45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-Dashboard" sheetId="1" r:id="R1319955ac6574b0a"/>
    <x:sheet xmlns:r="http://schemas.openxmlformats.org/officeDocument/2006/relationships" name="01-控制面板" sheetId="2" r:id="Rcc9df3836da0476f"/>
    <x:sheet xmlns:r="http://schemas.openxmlformats.org/officeDocument/2006/relationships" name="02-历史财务报表" sheetId="3" r:id="Re6a66b92ae5d49da"/>
    <x:sheet xmlns:r="http://schemas.openxmlformats.org/officeDocument/2006/relationships" name="03-销售明细" sheetId="4" r:id="R8aa65ea97b13470f"/>
    <x:sheet xmlns:r="http://schemas.openxmlformats.org/officeDocument/2006/relationships" name="04-月度财务数据" sheetId="5" r:id="R169e9e6724454b82"/>
    <x:sheet xmlns:r="http://schemas.openxmlformats.org/officeDocument/2006/relationships" name="05-预算vs实际" sheetId="6" r:id="R58a7e3eee3fc4bb5"/>
    <x:sheet xmlns:r="http://schemas.openxmlformats.org/officeDocument/2006/relationships" name="06-同比环比" sheetId="7" r:id="R3cae10d9bf1f43ba"/>
    <x:sheet xmlns:r="http://schemas.openxmlformats.org/officeDocument/2006/relationships" name="07-收入PVM" sheetId="8" r:id="Rc7d7a371c3254bda"/>
    <x:sheet xmlns:r="http://schemas.openxmlformats.org/officeDocument/2006/relationships" name="08-产品收入结构" sheetId="9" r:id="Rd89647a410054427"/>
    <x:sheet xmlns:r="http://schemas.openxmlformats.org/officeDocument/2006/relationships" name="09-客户结构" sheetId="10" r:id="R269bf0b477164b1c"/>
    <x:sheet xmlns:r="http://schemas.openxmlformats.org/officeDocument/2006/relationships" name="10-渠道地区" sheetId="11" r:id="Rde0b26401481496b"/>
    <x:sheet xmlns:r="http://schemas.openxmlformats.org/officeDocument/2006/relationships" name="11-毛利Bridge" sheetId="12" r:id="R8060ac7485984e45"/>
    <x:sheet xmlns:r="http://schemas.openxmlformats.org/officeDocument/2006/relationships" name="12-材料成本" sheetId="13" r:id="Rb01a384b73e14f2d"/>
    <x:sheet xmlns:r="http://schemas.openxmlformats.org/officeDocument/2006/relationships" name="13-制造费用" sheetId="14" r:id="Rf78b9574d6744962"/>
    <x:sheet xmlns:r="http://schemas.openxmlformats.org/officeDocument/2006/relationships" name="14-期间费用" sheetId="15" r:id="R4edb5b2ad15d4473"/>
    <x:sheet xmlns:r="http://schemas.openxmlformats.org/officeDocument/2006/relationships" name="15-应收及账龄" sheetId="16" r:id="R818cb3f0d3c446be"/>
    <x:sheet xmlns:r="http://schemas.openxmlformats.org/officeDocument/2006/relationships" name="16-存货及库龄" sheetId="17" r:id="Rffc5b1d966d1404f"/>
    <x:sheet xmlns:r="http://schemas.openxmlformats.org/officeDocument/2006/relationships" name="17-应付分析" sheetId="18" r:id="Rcb47605e078f44aa"/>
    <x:sheet xmlns:r="http://schemas.openxmlformats.org/officeDocument/2006/relationships" name="18-营运资金CCC" sheetId="19" r:id="R8e44eec097ab416f"/>
    <x:sheet xmlns:r="http://schemas.openxmlformats.org/officeDocument/2006/relationships" name="19-现金流Bridge" sheetId="20" r:id="R7150109c8a27455e"/>
    <x:sheet xmlns:r="http://schemas.openxmlformats.org/officeDocument/2006/relationships" name="20-经营KPI" sheetId="21" r:id="R224f70cbce684935"/>
    <x:sheet xmlns:r="http://schemas.openxmlformats.org/officeDocument/2006/relationships" name="21-异常诊断树" sheetId="22" r:id="Rf430a5e9cf864c40"/>
    <x:sheet xmlns:r="http://schemas.openxmlformats.org/officeDocument/2006/relationships" name="22-行动计划" sheetId="23" r:id="R725fa313631f4a3c"/>
    <x:sheet xmlns:r="http://schemas.openxmlformats.org/officeDocument/2006/relationships" name="23-图表选择" sheetId="24" r:id="Rf3462a90132b4f37"/>
    <x:sheet xmlns:r="http://schemas.openxmlformats.org/officeDocument/2006/relationships" name="24-检查与勾稽" sheetId="25" r:id="Rf5cdadcb7bd145f5"/>
    <x:sheet xmlns:r="http://schemas.openxmlformats.org/officeDocument/2006/relationships" name="25-数据字典" sheetId="26" r:id="R804758cacdb04fed"/>
    <x:sheet xmlns:r="http://schemas.openxmlformats.org/officeDocument/2006/relationships" name="26-来源与说明" sheetId="27" r:id="R717552fe75f643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;[Red](#,##0.0);-"/>
    <x:numFmt numFmtId="201" formatCode="0.0%"/>
    <x:numFmt numFmtId="202" formatCode="#,##0.0"/>
  </x:numFmts>
  <x:fonts count="11">
    <x:font>
      <x:sz val="11"/>
      <x:name val="Carlito"/>
    </x:font>
    <x:font>
      <x:b/>
      <x:sz val="15"/>
      <x:color rgb="FF17365D"/>
      <x:name val="Arial"/>
    </x:font>
    <x:font>
      <x:i/>
      <x:sz val="10"/>
      <x:color rgb="FF5B6573"/>
      <x:name val="Arial"/>
    </x:font>
    <x:font>
      <x:b/>
      <x:sz val="11"/>
      <x:color rgb="FFFFFFFF"/>
      <x:name val="Arial"/>
    </x:font>
    <x:font>
      <x:sz val="11"/>
      <x:color rgb="FF0070C0"/>
      <x:name val="Arial"/>
    </x:font>
    <x:font>
      <x:b/>
      <x:sz val="12"/>
      <x:color rgb="FF17365D"/>
      <x:name val="Arial"/>
    </x:font>
    <x:font>
      <x:sz val="9"/>
      <x:name val="Arial"/>
    </x:font>
    <x:font>
      <x:b/>
      <x:sz val="10"/>
      <x:color rgb="FFFFFFFF"/>
      <x:name val="Arial"/>
    </x:font>
    <x:font>
      <x:sz val="9"/>
      <x:color rgb="FF1F2937"/>
      <x:name val="Arial"/>
    </x:font>
    <x:font>
      <x:sz val="9"/>
      <x:color rgb="FF0070C0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4">
    <x:border/>
    <x:border>
      <x:bottom style="hair">
        <x:color rgb="FFD9E2F3"/>
      </x:bottom>
    </x:border>
    <x:border>
      <x:top style="hair">
        <x:color rgb="FFD9E2F3"/>
      </x:top>
      <x:bottom style="hair">
        <x:color rgb="FFD9E2F3"/>
      </x:bottom>
    </x:border>
    <x:border>
      <x:top style="hair">
        <x:color rgb="FFD9E2F3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200" fontId="5" fillId="4" borderId="0" xfId="0" applyNumberFormat="1" applyFont="1" applyFill="1" applyBorder="1"/>
    <x:xf numFmtId="201" fontId="5" fillId="4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vertical="top" wrapText="1"/>
    </x:xf>
    <x:xf numFmtId="0" fontId="8" fillId="0" borderId="2" xfId="0" applyNumberFormat="1" applyFont="1" applyFill="1" applyBorder="1" applyAlignment="1">
      <x:alignment vertical="top" wrapText="1"/>
    </x:xf>
    <x:xf numFmtId="0" fontId="8" fillId="0" borderId="3" xfId="0" applyNumberFormat="1" applyFont="1" applyFill="1" applyBorder="1" applyAlignment="1">
      <x:alignment vertical="top" wrapText="1"/>
    </x:xf>
    <x:xf numFmtId="0" fontId="8" fillId="3" borderId="1" xfId="0" applyNumberFormat="1" applyFont="1" applyFill="1" applyBorder="1" applyAlignment="1">
      <x:alignment vertical="top" wrapText="1"/>
    </x:xf>
    <x:xf numFmtId="0" fontId="8" fillId="3" borderId="2" xfId="0" applyNumberFormat="1" applyFont="1" applyFill="1" applyBorder="1" applyAlignment="1">
      <x:alignment vertical="top" wrapText="1"/>
    </x:xf>
    <x:xf numFmtId="0" fontId="8" fillId="3" borderId="3" xfId="0" applyNumberFormat="1" applyFont="1" applyFill="1" applyBorder="1" applyAlignment="1">
      <x:alignment vertical="top" wrapText="1"/>
    </x:xf>
    <x:xf numFmtId="0" fontId="9" fillId="3" borderId="1" xfId="0" applyNumberFormat="1" applyFont="1" applyFill="1" applyBorder="1" applyAlignment="1">
      <x:alignment vertical="top" wrapText="1"/>
    </x:xf>
    <x:xf numFmtId="0" fontId="9" fillId="3" borderId="2" xfId="0" applyNumberFormat="1" applyFont="1" applyFill="1" applyBorder="1" applyAlignment="1">
      <x:alignment vertical="top" wrapText="1"/>
    </x:xf>
    <x:xf numFmtId="0" fontId="9" fillId="3" borderId="3" xfId="0" applyNumberFormat="1" applyFont="1" applyFill="1" applyBorder="1" applyAlignment="1">
      <x:alignment vertical="top" wrapText="1"/>
    </x:xf>
    <x:xf numFmtId="202" fontId="8" fillId="0" borderId="1" xfId="0" applyNumberFormat="1" applyFont="1" applyFill="1" applyBorder="1" applyAlignment="1">
      <x:alignment vertical="top" wrapText="1"/>
    </x:xf>
    <x:xf numFmtId="202" fontId="8" fillId="0" borderId="2" xfId="0" applyNumberFormat="1" applyFont="1" applyFill="1" applyBorder="1" applyAlignment="1">
      <x:alignment vertical="top" wrapText="1"/>
    </x:xf>
    <x:xf numFmtId="202" fontId="8" fillId="0" borderId="3" xfId="0" applyNumberFormat="1" applyFont="1" applyFill="1" applyBorder="1" applyAlignment="1">
      <x:alignment vertical="top" wrapText="1"/>
    </x:xf>
    <x:xf numFmtId="200" fontId="8" fillId="0" borderId="1" xfId="0" applyNumberFormat="1" applyFont="1" applyFill="1" applyBorder="1" applyAlignment="1">
      <x:alignment vertical="top" wrapText="1"/>
    </x:xf>
    <x:xf numFmtId="200" fontId="8" fillId="0" borderId="2" xfId="0" applyNumberFormat="1" applyFont="1" applyFill="1" applyBorder="1" applyAlignment="1">
      <x:alignment vertical="top" wrapText="1"/>
    </x:xf>
    <x:xf numFmtId="200" fontId="8" fillId="0" borderId="3" xfId="0" applyNumberFormat="1" applyFont="1" applyFill="1" applyBorder="1" applyAlignment="1">
      <x:alignment vertical="top" wrapText="1"/>
    </x:xf>
    <x:xf numFmtId="201" fontId="8" fillId="0" borderId="1" xfId="0" applyNumberFormat="1" applyFont="1" applyFill="1" applyBorder="1" applyAlignment="1">
      <x:alignment vertical="top" wrapText="1"/>
    </x:xf>
    <x:xf numFmtId="201" fontId="8" fillId="0" borderId="2" xfId="0" applyNumberFormat="1" applyFont="1" applyFill="1" applyBorder="1" applyAlignment="1">
      <x:alignment vertical="top" wrapText="1"/>
    </x:xf>
    <x:xf numFmtId="201" fontId="8" fillId="0" borderId="3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b9b77dff624295" /><Relationship Type="http://schemas.openxmlformats.org/officeDocument/2006/relationships/theme" Target="/xl/theme/theme1.xml" Id="R3c434ce0db0f4996" /><Relationship Type="http://schemas.openxmlformats.org/officeDocument/2006/relationships/sharedStrings" Target="/xl/sharedStrings.xml" Id="Rb4ec89d45b584bb2" /><Relationship Type="http://schemas.openxmlformats.org/officeDocument/2006/relationships/worksheet" Target="/xl/worksheets/sheet1.xml" Id="R1319955ac6574b0a" /><Relationship Type="http://schemas.openxmlformats.org/officeDocument/2006/relationships/worksheet" Target="/xl/worksheets/sheet2.xml" Id="Rcc9df3836da0476f" /><Relationship Type="http://schemas.openxmlformats.org/officeDocument/2006/relationships/worksheet" Target="/xl/worksheets/sheet3.xml" Id="Re6a66b92ae5d49da" /><Relationship Type="http://schemas.openxmlformats.org/officeDocument/2006/relationships/worksheet" Target="/xl/worksheets/sheet4.xml" Id="R8aa65ea97b13470f" /><Relationship Type="http://schemas.openxmlformats.org/officeDocument/2006/relationships/worksheet" Target="/xl/worksheets/sheet5.xml" Id="R169e9e6724454b82" /><Relationship Type="http://schemas.openxmlformats.org/officeDocument/2006/relationships/worksheet" Target="/xl/worksheets/sheet6.xml" Id="R58a7e3eee3fc4bb5" /><Relationship Type="http://schemas.openxmlformats.org/officeDocument/2006/relationships/worksheet" Target="/xl/worksheets/sheet7.xml" Id="R3cae10d9bf1f43ba" /><Relationship Type="http://schemas.openxmlformats.org/officeDocument/2006/relationships/worksheet" Target="/xl/worksheets/sheet8.xml" Id="Rc7d7a371c3254bda" /><Relationship Type="http://schemas.openxmlformats.org/officeDocument/2006/relationships/worksheet" Target="/xl/worksheets/sheet9.xml" Id="Rd89647a410054427" /><Relationship Type="http://schemas.openxmlformats.org/officeDocument/2006/relationships/worksheet" Target="/xl/worksheets/sheet10.xml" Id="R269bf0b477164b1c" /><Relationship Type="http://schemas.openxmlformats.org/officeDocument/2006/relationships/worksheet" Target="/xl/worksheets/sheet11.xml" Id="Rde0b26401481496b" /><Relationship Type="http://schemas.openxmlformats.org/officeDocument/2006/relationships/worksheet" Target="/xl/worksheets/sheet12.xml" Id="R8060ac7485984e45" /><Relationship Type="http://schemas.openxmlformats.org/officeDocument/2006/relationships/worksheet" Target="/xl/worksheets/sheet13.xml" Id="Rb01a384b73e14f2d" /><Relationship Type="http://schemas.openxmlformats.org/officeDocument/2006/relationships/worksheet" Target="/xl/worksheets/sheet14.xml" Id="Rf78b9574d6744962" /><Relationship Type="http://schemas.openxmlformats.org/officeDocument/2006/relationships/worksheet" Target="/xl/worksheets/sheet15.xml" Id="R4edb5b2ad15d4473" /><Relationship Type="http://schemas.openxmlformats.org/officeDocument/2006/relationships/worksheet" Target="/xl/worksheets/sheet16.xml" Id="R818cb3f0d3c446be" /><Relationship Type="http://schemas.openxmlformats.org/officeDocument/2006/relationships/worksheet" Target="/xl/worksheets/sheet17.xml" Id="Rffc5b1d966d1404f" /><Relationship Type="http://schemas.openxmlformats.org/officeDocument/2006/relationships/worksheet" Target="/xl/worksheets/sheet18.xml" Id="Rcb47605e078f44aa" /><Relationship Type="http://schemas.openxmlformats.org/officeDocument/2006/relationships/worksheet" Target="/xl/worksheets/sheet19.xml" Id="R8e44eec097ab416f" /><Relationship Type="http://schemas.openxmlformats.org/officeDocument/2006/relationships/worksheet" Target="/xl/worksheets/sheet20.xml" Id="R7150109c8a27455e" /><Relationship Type="http://schemas.openxmlformats.org/officeDocument/2006/relationships/worksheet" Target="/xl/worksheets/sheet21.xml" Id="R224f70cbce684935" /><Relationship Type="http://schemas.openxmlformats.org/officeDocument/2006/relationships/worksheet" Target="/xl/worksheets/sheet22.xml" Id="Rf430a5e9cf864c40" /><Relationship Type="http://schemas.openxmlformats.org/officeDocument/2006/relationships/worksheet" Target="/xl/worksheets/sheet23.xml" Id="R725fa313631f4a3c" /><Relationship Type="http://schemas.openxmlformats.org/officeDocument/2006/relationships/worksheet" Target="/xl/worksheets/sheet24.xml" Id="Rf3462a90132b4f37" /><Relationship Type="http://schemas.openxmlformats.org/officeDocument/2006/relationships/worksheet" Target="/xl/worksheets/sheet25.xml" Id="Rf5cdadcb7bd145f5" /><Relationship Type="http://schemas.openxmlformats.org/officeDocument/2006/relationships/worksheet" Target="/xl/worksheets/sheet26.xml" Id="R804758cacdb04fed" /><Relationship Type="http://schemas.openxmlformats.org/officeDocument/2006/relationships/worksheet" Target="/xl/worksheets/sheet27.xml" Id="R717552fe75f643c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817802bcdeb4c1c" /><Relationship Type="http://schemas.openxmlformats.org/officeDocument/2006/relationships/chart" Target="/xl/drawings/charts/chart2.xml" Id="R362c239bc395478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2026月度收入趋势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收入</c:v>
          </c:tx>
          <c:marker>
            <c:symbol val="none"/>
          </c:marker>
          <c:cat>
            <c:strRef>
              <c:f>'00-Dashboard'!$M$6:$M$17</c:f>
              <c:strCache>
                <c:ptCount val="0"/>
              </c:strCache>
            </c:strRef>
          </c:cat>
          <c:val>
            <c:numRef>
              <c:f>'00-Dashboard'!$N$6:$N$17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营运资金周转天数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天数</c:v>
          </c:tx>
          <c:cat>
            <c:strRef>
              <c:f>'00-Dashboard'!$P$6:$P$8</c:f>
              <c:strCache>
                <c:ptCount val="0"/>
              </c:strCache>
            </c:strRef>
          </c:cat>
          <c:val>
            <c:numRef>
              <c:f>'00-Dashboard'!$Q$6:$Q$8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7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817802bcdeb4c1c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2c239bc395478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taTable1" displayName="DataTable1" ref="A6:C12" headerRowCount="1" totalsRowCount="0" totalsRowShown="0">
  <x:tableColumns count="3">
    <x:tableColumn id="1" name="参数"/>
    <x:tableColumn id="2" name="当前值"/>
    <x:tableColumn id="3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Table2" displayName="DataTable2" ref="A6:E19" headerRowCount="1" totalsRowCount="0" totalsRowShown="0">
  <x:tableColumns count="5">
    <x:tableColumn id="1" name="项目"/>
    <x:tableColumn id="2" name="2025实际"/>
    <x:tableColumn id="3" name="2026预算"/>
    <x:tableColumn id="4" name="2026预测"/>
    <x:tableColumn id="5" name="预测vs预算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Table3" displayName="DataTable3" ref="A6:Q102" headerRowCount="1" totalsRowCount="0" totalsRowShown="0">
  <x:tableColumns count="17">
    <x:tableColumn id="1" name="月份"/>
    <x:tableColumn id="2" name="年度"/>
    <x:tableColumn id="3" name="月"/>
    <x:tableColumn id="4" name="产品"/>
    <x:tableColumn id="5" name="类别"/>
    <x:tableColumn id="6" name="细分"/>
    <x:tableColumn id="7" name="渠道"/>
    <x:tableColumn id="8" name="实际销量"/>
    <x:tableColumn id="9" name="实际单价"/>
    <x:tableColumn id="10" name="实际单位成本"/>
    <x:tableColumn id="11" name="预算销量"/>
    <x:tableColumn id="12" name="预算单价"/>
    <x:tableColumn id="13" name="预算单位成本"/>
    <x:tableColumn id="14" name="实际收入"/>
    <x:tableColumn id="15" name="实际成本"/>
    <x:tableColumn id="16" name="预算收入"/>
    <x:tableColumn id="17" name="预算成本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Table4" displayName="DataTable4" ref="A6:L30" headerRowCount="1" totalsRowCount="0" totalsRowShown="0">
  <x:tableColumns count="12">
    <x:tableColumn id="1" name="月份"/>
    <x:tableColumn id="2" name="实际收入"/>
    <x:tableColumn id="3" name="预算收入"/>
    <x:tableColumn id="4" name="实际成本"/>
    <x:tableColumn id="5" name="毛利"/>
    <x:tableColumn id="6" name="毛利率"/>
    <x:tableColumn id="7" name="销售费用"/>
    <x:tableColumn id="8" name="管理费用"/>
    <x:tableColumn id="9" name="研发费用"/>
    <x:tableColumn id="10" name="财务费用"/>
    <x:tableColumn id="11" name="营业利润"/>
    <x:tableColumn id="12" name="经营现金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Table5" displayName="DataTable5" ref="A6:G9" headerRowCount="1" totalsRowCount="0" totalsRowShown="0">
  <x:tableColumns count="7">
    <x:tableColumn id="1" name="指标"/>
    <x:tableColumn id="2" name="实际"/>
    <x:tableColumn id="3" name="预算"/>
    <x:tableColumn id="4" name="差异"/>
    <x:tableColumn id="5" name="差异率"/>
    <x:tableColumn id="6" name="业务解释"/>
    <x:tableColumn id="7" name="需取得数据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Table6" displayName="DataTable6" ref="A6:G18" headerRowCount="1" totalsRowCount="0" totalsRowShown="0">
  <x:tableColumns count="7">
    <x:tableColumn id="1" name="月份"/>
    <x:tableColumn id="2" name="收入"/>
    <x:tableColumn id="3" name="同比"/>
    <x:tableColumn id="4" name="环比"/>
    <x:tableColumn id="5" name="毛利率"/>
    <x:tableColumn id="6" name="营业利润"/>
    <x:tableColumn id="7" name="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aTable7" displayName="DataTable7" ref="A6:I10" headerRowCount="1" totalsRowCount="0" totalsRowShown="0">
  <x:tableColumns count="9">
    <x:tableColumn id="1" name="产品"/>
    <x:tableColumn id="2" name="基期销量"/>
    <x:tableColumn id="3" name="基期价格"/>
    <x:tableColumn id="4" name="本期销量"/>
    <x:tableColumn id="5" name="本期价格"/>
    <x:tableColumn id="6" name="销量影响"/>
    <x:tableColumn id="7" name="结构影响"/>
    <x:tableColumn id="8" name="价格影响"/>
    <x:tableColumn id="9" name="合计变化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ataTable8" displayName="DataTable8" ref="A6:G10" headerRowCount="1" totalsRowCount="0" totalsRowShown="0">
  <x:tableColumns count="7">
    <x:tableColumn id="1" name="产品"/>
    <x:tableColumn id="2" name="收入"/>
    <x:tableColumn id="3" name="占比"/>
    <x:tableColumn id="4" name="毛利"/>
    <x:tableColumn id="5" name="毛利率"/>
    <x:tableColumn id="6" name="生命周期"/>
    <x:tableColumn id="7" name="管理问题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ataTable9" displayName="DataTable9" ref="A6:G10" headerRowCount="1" totalsRowCount="0" totalsRowShown="0">
  <x:tableColumns count="7">
    <x:tableColumn id="1" name="客户组"/>
    <x:tableColumn id="2" name="收入占比"/>
    <x:tableColumn id="3" name="信用期"/>
    <x:tableColumn id="4" name="DSO"/>
    <x:tableColumn id="5" name="逾期率"/>
    <x:tableColumn id="6" name="风险"/>
    <x:tableColumn id="7" name="行动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ataTable10" displayName="DataTable10" ref="A6:G10" headerRowCount="1" totalsRowCount="0" totalsRowShown="0">
  <x:tableColumns count="7">
    <x:tableColumn id="1" name="渠道/地区"/>
    <x:tableColumn id="2" name="收入"/>
    <x:tableColumn id="3" name="增长率"/>
    <x:tableColumn id="4" name="毛利率"/>
    <x:tableColumn id="5" name="回款周期"/>
    <x:tableColumn id="6" name="退货率"/>
    <x:tableColumn id="7" name="判断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DataTable11" displayName="DataTable11" ref="A6:F15" headerRowCount="1" totalsRowCount="0" totalsRowShown="0">
  <x:tableColumns count="6">
    <x:tableColumn id="1" name="驱动因素"/>
    <x:tableColumn id="2" name="毛利率影响"/>
    <x:tableColumn id="3" name="计算依据"/>
    <x:tableColumn id="4" name="责任部门"/>
    <x:tableColumn id="5" name="业务证据"/>
    <x:tableColumn id="6" name="行动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DataTable12" displayName="DataTable12" ref="A6:H9" headerRowCount="1" totalsRowCount="0" totalsRowShown="0">
  <x:tableColumns count="8">
    <x:tableColumn id="1" name="材料"/>
    <x:tableColumn id="2" name="标准用量"/>
    <x:tableColumn id="3" name="实际用量"/>
    <x:tableColumn id="4" name="标准价格"/>
    <x:tableColumn id="5" name="实际价格"/>
    <x:tableColumn id="6" name="用量差异"/>
    <x:tableColumn id="7" name="价格差异"/>
    <x:tableColumn id="8" name="责任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DataTable13" displayName="DataTable13" ref="A6:F12" headerRowCount="1" totalsRowCount="0" totalsRowShown="0">
  <x:tableColumns count="6">
    <x:tableColumn id="1" name="指标"/>
    <x:tableColumn id="2" name="2025"/>
    <x:tableColumn id="3" name="2026预算"/>
    <x:tableColumn id="4" name="2026预测"/>
    <x:tableColumn id="5" name="差异"/>
    <x:tableColumn id="6" name="判断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DataTable14" displayName="DataTable14" ref="A6:G10" headerRowCount="1" totalsRowCount="0" totalsRowShown="0">
  <x:tableColumns count="7">
    <x:tableColumn id="1" name="费用"/>
    <x:tableColumn id="2" name="2025"/>
    <x:tableColumn id="3" name="2026预算"/>
    <x:tableColumn id="4" name="2026预测"/>
    <x:tableColumn id="5" name="差异"/>
    <x:tableColumn id="6" name="费用率"/>
    <x:tableColumn id="7" name="业务驱动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DataTable15" displayName="DataTable15" ref="A6:G11" headerRowCount="1" totalsRowCount="0" totalsRowShown="0">
  <x:tableColumns count="7">
    <x:tableColumn id="1" name="账龄"/>
    <x:tableColumn id="2" name="金额"/>
    <x:tableColumn id="3" name="占比"/>
    <x:tableColumn id="4" name="上年金额"/>
    <x:tableColumn id="5" name="变化"/>
    <x:tableColumn id="6" name="风险"/>
    <x:tableColumn id="7" name="动作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DataTable16" displayName="DataTable16" ref="A6:H11" headerRowCount="1" totalsRowCount="0" totalsRowShown="0">
  <x:tableColumns count="8">
    <x:tableColumn id="1" name="类别"/>
    <x:tableColumn id="2" name="金额"/>
    <x:tableColumn id="3" name="0-90天"/>
    <x:tableColumn id="4" name="91-180天"/>
    <x:tableColumn id="5" name="181-365天"/>
    <x:tableColumn id="6" name="1年以上"/>
    <x:tableColumn id="7" name="风险"/>
    <x:tableColumn id="8" name="动作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DataTable17" displayName="DataTable17" ref="A6:G11" headerRowCount="1" totalsRowCount="0" totalsRowShown="0">
  <x:tableColumns count="7">
    <x:tableColumn id="1" name="供应商组"/>
    <x:tableColumn id="2" name="金额"/>
    <x:tableColumn id="3" name="账期"/>
    <x:tableColumn id="4" name="实际付款天数"/>
    <x:tableColumn id="5" name="提前/延后"/>
    <x:tableColumn id="6" name="集中度"/>
    <x:tableColumn id="7" name="行动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DataTable18" displayName="DataTable18" ref="A6:G10" headerRowCount="1" totalsRowCount="0" totalsRowShown="0">
  <x:tableColumns count="7">
    <x:tableColumn id="1" name="指标"/>
    <x:tableColumn id="2" name="2025"/>
    <x:tableColumn id="3" name="2026预算"/>
    <x:tableColumn id="4" name="2026预测"/>
    <x:tableColumn id="5" name="变化"/>
    <x:tableColumn id="6" name="业务原因"/>
    <x:tableColumn id="7" name="改善措施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DataTable19" displayName="DataTable19" ref="A6:F13" headerRowCount="1" totalsRowCount="0" totalsRowShown="0">
  <x:tableColumns count="6">
    <x:tableColumn id="1" name="项目"/>
    <x:tableColumn id="2" name="金额"/>
    <x:tableColumn id="3" name="性质"/>
    <x:tableColumn id="4" name="业务解释"/>
    <x:tableColumn id="5" name="是否持续"/>
    <x:tableColumn id="6" name="行动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DataTable20" displayName="DataTable20" ref="A6:G13" headerRowCount="1" totalsRowCount="0" totalsRowShown="0">
  <x:tableColumns count="7">
    <x:tableColumn id="1" name="KPI"/>
    <x:tableColumn id="2" name="2025"/>
    <x:tableColumn id="3" name="2026预算"/>
    <x:tableColumn id="4" name="2026预测"/>
    <x:tableColumn id="5" name="财务结果"/>
    <x:tableColumn id="6" name="责任部门"/>
    <x:tableColumn id="7" name="预警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DataTable21" displayName="DataTable21" ref="A6:E11" headerRowCount="1" totalsRowCount="0" totalsRowShown="0">
  <x:tableColumns count="5">
    <x:tableColumn id="1" name="异常"/>
    <x:tableColumn id="2" name="一级拆解"/>
    <x:tableColumn id="3" name="二级验证"/>
    <x:tableColumn id="4" name="数据来源"/>
    <x:tableColumn id="5" name="常见错误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DataTable22" displayName="DataTable22" ref="A6:G10" headerRowCount="1" totalsRowCount="0" totalsRowShown="0">
  <x:tableColumns count="7">
    <x:tableColumn id="1" name="问题"/>
    <x:tableColumn id="2" name="行动"/>
    <x:tableColumn id="3" name="责任人"/>
    <x:tableColumn id="4" name="截止日期"/>
    <x:tableColumn id="5" name="目标值"/>
    <x:tableColumn id="6" name="状态"/>
    <x:tableColumn id="7" name="复盘证据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DataTable23" displayName="DataTable23" ref="A6:D12" headerRowCount="1" totalsRowCount="0" totalsRowShown="0">
  <x:tableColumns count="4">
    <x:tableColumn id="1" name="管理问题"/>
    <x:tableColumn id="2" name="推荐图"/>
    <x:tableColumn id="3" name="原因"/>
    <x:tableColumn id="4" name="不建议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DataTable24" displayName="DataTable24" ref="A6:D10" headerRowCount="1" totalsRowCount="0" totalsRowShown="0">
  <x:tableColumns count="4">
    <x:tableColumn id="1" name="检查"/>
    <x:tableColumn id="2" name="公式/标准"/>
    <x:tableColumn id="3" name="结果"/>
    <x:tableColumn id="4" name="处理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DataTable25" displayName="DataTable25" ref="A6:F13" headerRowCount="1" totalsRowCount="0" totalsRowShown="0">
  <x:tableColumns count="6">
    <x:tableColumn id="1" name="指标"/>
    <x:tableColumn id="2" name="定义"/>
    <x:tableColumn id="3" name="公式"/>
    <x:tableColumn id="4" name="系统来源"/>
    <x:tableColumn id="5" name="责任部门"/>
    <x:tableColumn id="6" name="刷新频率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DataTable26" displayName="DataTable26" ref="A6:D10" headerRowCount="1" totalsRowCount="0" totalsRowShown="0">
  <x:tableColumns count="4">
    <x:tableColumn id="1" name="类型"/>
    <x:tableColumn id="2" name="来源"/>
    <x:tableColumn id="3" name="用途"/>
    <x:tableColumn id="4" name="链接/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57ee542875a40a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ef660ef09b4d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b77df4e9bd84b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5314cf2b7224c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bb6eaa418fa4ea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a144775845d40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bec4a35a915409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abe76f0a9f34ad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c09334f2f6e473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0402f40e6e2445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0e9c8b3fea543d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0e14d0e0dcd4ca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2e7b8904e44f4dd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166afcf540044a5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693a1a286123430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a50d7408038345c7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b84a74a62f48488d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f5ba3dbae419428a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071d93dfe7444983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d8ff6aa49d7141cf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55c876e80f13435d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c2db7e9b72e24ced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dc4e4df9f3f94471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f8b8e46ca9fb4c50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1c135db56e0d4774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287c582217fe47ec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6.xml" Id="R9479ebbc051a436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4" max="4" width="14" hidden="0" customWidth="1"/>
    <x:col min="5" max="5" width="35" hidden="0" customWidth="1"/>
    <x:col min="6" max="6" width="28" hidden="0" customWidth="1"/>
    <x:col min="7" max="7" width="30" hidden="0" customWidth="1"/>
    <x:col min="8" max="8" width="24" hidden="0" customWidth="1"/>
    <x:col min="9" max="9" width="34" hidden="0" customWidth="1"/>
    <x:col min="10" max="10" width="16" hidden="0" customWidth="1"/>
    <x:col min="11" max="11" width="16" hidden="0" customWidth="1"/>
  </x:cols>
  <x:sheetData>
    <x:row r="2" ht="26" customHeight="1">
      <x:c r="A2" s="1" t="str">
        <x:v>月度财务与经营分析 Dashboard</x:v>
      </x:c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</x:row>
    <x:row r="3" ht="24" customHeight="1">
      <x:c r="A3" s="3" t="str">
        <x:v>模拟公司：深圳拓维三维科技有限公司。金额单位：万元。黄色单元格为可编辑分析月份。</x:v>
      </x:c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  <x:c r="M3" s="43"/>
      <x:c r="N3" s="43"/>
      <x:c r="O3" s="43"/>
      <x:c r="P3" s="43"/>
      <x:c r="Q3" s="43"/>
    </x:row>
    <x:row r="4">
      <x:c r="A4" s="43"/>
      <x:c r="B4" s="43"/>
      <x:c r="C4" s="43"/>
      <x:c r="D4" s="43"/>
      <x:c r="E4" s="43"/>
      <x:c r="F4" s="43"/>
      <x:c r="G4" s="43"/>
      <x:c r="H4" s="43"/>
      <x:c r="I4" s="43"/>
      <x:c r="J4" s="43"/>
      <x:c r="K4" s="43"/>
      <x:c r="L4" s="43"/>
      <x:c r="M4" s="43"/>
      <x:c r="N4" s="43"/>
      <x:c r="O4" s="43"/>
      <x:c r="P4" s="43"/>
      <x:c r="Q4" s="43"/>
    </x:row>
    <x:row r="5">
      <x:c r="A5" s="5" t="str">
        <x:v>分析月份</x:v>
      </x:c>
      <x:c r="B5" s="8" t="str">
        <x:v>2026-08</x:v>
      </x:c>
      <x:c r="C5" s="43"/>
      <x:c r="D5" s="9" t="str">
        <x:v>收入</x:v>
      </x:c>
      <x:c r="E5" s="9" t="str">
        <x:v>毛利率</x:v>
      </x:c>
      <x:c r="F5" s="9" t="str">
        <x:v>营业利润</x:v>
      </x:c>
      <x:c r="G5" s="9" t="str">
        <x:v>经营现金流</x:v>
      </x:c>
      <x:c r="H5" s="9" t="str">
        <x:v>DSO</x:v>
      </x:c>
      <x:c r="I5" s="9" t="str">
        <x:v>DIO</x:v>
      </x:c>
      <x:c r="J5" s="9" t="str">
        <x:v>DPO</x:v>
      </x:c>
      <x:c r="K5" s="9" t="str">
        <x:v>CCC</x:v>
      </x:c>
      <x:c r="L5" s="43"/>
      <x:c r="M5" s="43" t="str">
        <x:v>月份</x:v>
      </x:c>
      <x:c r="N5" s="43" t="str">
        <x:v>收入</x:v>
      </x:c>
      <x:c r="O5" s="43"/>
      <x:c r="P5" s="43" t="str">
        <x:v>指标</x:v>
      </x:c>
      <x:c r="Q5" s="43" t="str">
        <x:v>天数</x:v>
      </x:c>
    </x:row>
    <x:row r="6">
      <x:c r="A6" s="5" t="str">
        <x:v>比较期间</x:v>
      </x:c>
      <x:c r="B6" s="8" t="str">
        <x:v>2025-08</x:v>
      </x:c>
      <x:c r="C6" s="43"/>
      <x:c r="D6" s="12" t="n">
        <x:f>SUMIFS('03-销售明细'!$N$7:$N$102,'03-销售明细'!$A$7:$A$102,$B$5)</x:f>
        <x:v>1112.3838999999998</x:v>
      </x:c>
      <x:c r="E6" s="13" t="n">
        <x:f>IFERROR((D6-SUMIFS('03-销售明细'!$O$7:$O$102,'03-销售明细'!$A$7:$A$102,$B$5))/D6,0)</x:f>
        <x:v>0.3223988588831606</x:v>
      </x:c>
      <x:c r="F6" s="12" t="n">
        <x:f>D6-SUMIFS('03-销售明细'!$O$7:$O$102,'03-销售明细'!$A$7:$A$102,$B$5)-D6*0.08-180-260-35</x:f>
        <x:v>-205.3594120000002</x:v>
      </x:c>
      <x:c r="G6" s="12" t="n">
        <x:f>F6-260</x:f>
        <x:v>-465.3594120000002</x:v>
      </x:c>
      <x:c r="H6" s="12" t="n">
        <x:f>35</x:f>
        <x:v>35</x:v>
      </x:c>
      <x:c r="I6" s="12" t="n">
        <x:f>72</x:f>
        <x:v>72</x:v>
      </x:c>
      <x:c r="J6" s="12" t="n">
        <x:f>48</x:f>
        <x:v>48</x:v>
      </x:c>
      <x:c r="K6" s="12" t="n">
        <x:f>H6+I6-J6</x:f>
        <x:v>59</x:v>
      </x:c>
      <x:c r="L6" s="43"/>
      <x:c r="M6" s="43" t="str">
        <x:v>2026-01</x:v>
      </x:c>
      <x:c r="N6" s="43" t="n">
        <x:f>'04-月度财务数据'!B19</x:f>
        <x:v>852.8538000000001</x:v>
      </x:c>
      <x:c r="O6" s="43"/>
      <x:c r="P6" s="43" t="str">
        <x:v>DSO</x:v>
      </x:c>
      <x:c r="Q6" s="43" t="n">
        <x:v>83</x:v>
      </x:c>
    </x:row>
    <x:row r="7">
      <x:c r="A7" s="5" t="str">
        <x:v>单位</x:v>
      </x:c>
      <x:c r="B7" s="8" t="str">
        <x:v>万元</x:v>
      </x:c>
      <x:c r="C7" s="43"/>
      <x:c r="D7" s="43"/>
      <x:c r="E7" s="43"/>
      <x:c r="F7" s="43"/>
      <x:c r="G7" s="43"/>
      <x:c r="H7" s="43"/>
      <x:c r="I7" s="43"/>
      <x:c r="J7" s="43"/>
      <x:c r="K7" s="43"/>
      <x:c r="L7" s="43"/>
      <x:c r="M7" s="43" t="str">
        <x:v>2026-02</x:v>
      </x:c>
      <x:c r="N7" s="43" t="n">
        <x:f>'04-月度财务数据'!B20</x:f>
        <x:v>798.6232</x:v>
      </x:c>
      <x:c r="O7" s="43"/>
      <x:c r="P7" s="43" t="str">
        <x:v>DIO</x:v>
      </x:c>
      <x:c r="Q7" s="43" t="n">
        <x:v>121</x:v>
      </x:c>
    </x:row>
    <x:row r="8">
      <x:c r="A8" s="5" t="str">
        <x:v>更新日期</x:v>
      </x:c>
      <x:c r="B8" s="8" t="str">
        <x:v>2026-09-10</x:v>
      </x:c>
      <x:c r="C8" s="43"/>
      <x:c r="D8" s="43"/>
      <x:c r="E8" s="43"/>
      <x:c r="F8" s="43"/>
      <x:c r="G8" s="43"/>
      <x:c r="H8" s="43"/>
      <x:c r="I8" s="43"/>
      <x:c r="J8" s="43"/>
      <x:c r="K8" s="43"/>
      <x:c r="L8" s="43"/>
      <x:c r="M8" s="43" t="str">
        <x:v>2026-03</x:v>
      </x:c>
      <x:c r="N8" s="43" t="n">
        <x:f>'04-月度财务数据'!B21</x:f>
        <x:v>940.3321000000001</x:v>
      </x:c>
      <x:c r="O8" s="43"/>
      <x:c r="P8" s="43" t="str">
        <x:v>DPO</x:v>
      </x:c>
      <x:c r="Q8" s="43" t="n">
        <x:v>63</x:v>
      </x:c>
    </x:row>
    <x:row r="9">
      <x:c r="A9" s="43"/>
      <x:c r="B9" s="43"/>
      <x:c r="C9" s="43"/>
      <x:c r="D9" s="14" t="str">
        <x:v>类型</x:v>
      </x:c>
      <x:c r="E9" s="14" t="str">
        <x:v>管理层结论</x:v>
      </x:c>
      <x:c r="F9" s="14" t="str">
        <x:v>事实/计算</x:v>
      </x:c>
      <x:c r="G9" s="14" t="str">
        <x:v>业务验证</x:v>
      </x:c>
      <x:c r="H9" s="14" t="str">
        <x:v>风险</x:v>
      </x:c>
      <x:c r="I9" s="14" t="str">
        <x:v>行动</x:v>
      </x:c>
      <x:c r="J9" s="14" t="str">
        <x:v>责任人</x:v>
      </x:c>
      <x:c r="K9" s="14" t="str">
        <x:v>期限</x:v>
      </x:c>
      <x:c r="L9" s="43"/>
      <x:c r="M9" s="43" t="str">
        <x:v>2026-04</x:v>
      </x:c>
      <x:c r="N9" s="43" t="n">
        <x:f>'04-月度财务数据'!B22</x:f>
        <x:v>984.2406000000001</x:v>
      </x:c>
      <x:c r="O9" s="43"/>
      <x:c r="P9" s="43"/>
      <x:c r="Q9" s="43"/>
    </x:row>
    <x:row r="10" ht="44" customHeight="1">
      <x:c r="A10" s="43"/>
      <x:c r="B10" s="43"/>
      <x:c r="C10" s="43"/>
      <x:c r="D10" s="17" t="str">
        <x:v>收入</x:v>
      </x:c>
      <x:c r="E10" s="17" t="str">
        <x:v>增长主要来自耗材和专业机，桌面机降价拖累价格贡献</x:v>
      </x:c>
      <x:c r="F10" s="17" t="str">
        <x:v>PVM见收入分析页</x:v>
      </x:c>
      <x:c r="G10" s="17" t="str">
        <x:v>销售提供终端销量及渠道库存</x:v>
      </x:c>
      <x:c r="H10" s="17" t="str">
        <x:v>渠道压货和退货</x:v>
      </x:c>
      <x:c r="I10" s="17" t="str">
        <x:v>调整桌面机促销；按渠道Sell-out补货</x:v>
      </x:c>
      <x:c r="J10" s="17" t="str">
        <x:v>销售总监</x:v>
      </x:c>
      <x:c r="K10" s="17" t="str">
        <x:v>2026-09-20</x:v>
      </x:c>
      <x:c r="L10" s="43"/>
      <x:c r="M10" s="43" t="str">
        <x:v>2026-05</x:v>
      </x:c>
      <x:c r="N10" s="43" t="n">
        <x:f>'04-月度财务数据'!B23</x:f>
        <x:v>1040.2124</x:v>
      </x:c>
      <x:c r="O10" s="43"/>
      <x:c r="P10" s="43"/>
      <x:c r="Q10" s="43"/>
    </x:row>
    <x:row r="11" ht="44" customHeight="1">
      <x:c r="A11" s="43"/>
      <x:c r="B11" s="43"/>
      <x:c r="C11" s="43"/>
      <x:c r="D11" s="17" t="str">
        <x:v>毛利</x:v>
      </x:c>
      <x:c r="E11" s="17" t="str">
        <x:v>毛利率下降来自材料、降价、良率和产能吸收</x:v>
      </x:c>
      <x:c r="F11" s="17" t="str">
        <x:v>毛利Bridge见专题页</x:v>
      </x:c>
      <x:c r="G11" s="17" t="str">
        <x:v>生产提供良率和停机工时</x:v>
      </x:c>
      <x:c r="H11" s="17" t="str">
        <x:v>新品爬坡延续</x:v>
      </x:c>
      <x:c r="I11" s="17" t="str">
        <x:v>改善树脂线良率并冻结非必要加班</x:v>
      </x:c>
      <x:c r="J11" s="17" t="str">
        <x:v>运营总监</x:v>
      </x:c>
      <x:c r="K11" s="17" t="str">
        <x:v>2026-10-10</x:v>
      </x:c>
      <x:c r="L11" s="43"/>
      <x:c r="M11" s="43" t="str">
        <x:v>2026-06</x:v>
      </x:c>
      <x:c r="N11" s="43" t="n">
        <x:f>'04-月度财务数据'!B24</x:f>
        <x:v>1060.4388000000001</x:v>
      </x:c>
      <x:c r="O11" s="43"/>
      <x:c r="P11" s="43"/>
      <x:c r="Q11" s="43"/>
    </x:row>
    <x:row r="12" ht="44" customHeight="1">
      <x:c r="A12" s="43"/>
      <x:c r="B12" s="43"/>
      <x:c r="C12" s="43"/>
      <x:c r="D12" s="17" t="str">
        <x:v>营运资金</x:v>
      </x:c>
      <x:c r="E12" s="17" t="str">
        <x:v>库存和应收共同占用现金</x:v>
      </x:c>
      <x:c r="F12" s="17" t="str">
        <x:v>CCC显著延长</x:v>
      </x:c>
      <x:c r="G12" s="17" t="str">
        <x:v>供应链核实战略库存；销售核实逾期</x:v>
      </x:c>
      <x:c r="H12" s="17" t="str">
        <x:v>短期融资需求</x:v>
      </x:c>
      <x:c r="I12" s="17" t="str">
        <x:v>客户分级催收并削减慢动库存采购</x:v>
      </x:c>
      <x:c r="J12" s="17" t="str">
        <x:v>财务经理</x:v>
      </x:c>
      <x:c r="K12" s="17" t="str">
        <x:v>2026-09-30</x:v>
      </x:c>
      <x:c r="L12" s="43"/>
      <x:c r="M12" s="43" t="str">
        <x:v>2026-07</x:v>
      </x:c>
      <x:c r="N12" s="43" t="n">
        <x:f>'04-月度财务数据'!B25</x:f>
        <x:v>1028.0836</x:v>
      </x:c>
      <x:c r="O12" s="43"/>
      <x:c r="P12" s="43"/>
      <x:c r="Q12" s="43"/>
    </x:row>
    <x:row r="13" ht="44" customHeight="1">
      <x:c r="A13" s="43"/>
      <x:c r="B13" s="43"/>
      <x:c r="C13" s="43"/>
      <x:c r="D13" s="17" t="str">
        <x:v>研发</x:v>
      </x:c>
      <x:c r="E13" s="17" t="str">
        <x:v>投入增长但两个项目里程碑延误</x:v>
      </x:c>
      <x:c r="F13" s="17" t="str">
        <x:v>费用分析见研发页</x:v>
      </x:c>
      <x:c r="G13" s="17" t="str">
        <x:v>研发PMO提供里程碑</x:v>
      </x:c>
      <x:c r="H13" s="17" t="str">
        <x:v>投入回报延后</x:v>
      </x:c>
      <x:c r="I13" s="17" t="str">
        <x:v>项目分级并停止低优先级外包</x:v>
      </x:c>
      <x:c r="J13" s="17" t="str">
        <x:v>研发VP</x:v>
      </x:c>
      <x:c r="K13" s="17" t="str">
        <x:v>2026-09-25</x:v>
      </x:c>
      <x:c r="L13" s="43"/>
      <x:c r="M13" s="43" t="str">
        <x:v>2026-08</x:v>
      </x:c>
      <x:c r="N13" s="43" t="n">
        <x:f>'04-月度财务数据'!B26</x:f>
        <x:v>1112.3838999999998</x:v>
      </x:c>
      <x:c r="O13" s="43"/>
      <x:c r="P13" s="43"/>
      <x:c r="Q13" s="43"/>
    </x:row>
    <x:row r="14" ht="44" customHeight="1">
      <x:c r="A14" s="43"/>
      <x:c r="B14" s="43"/>
      <x:c r="C14" s="43"/>
      <x:c r="D14" s="17" t="str">
        <x:v>待验证</x:v>
      </x:c>
      <x:c r="E14" s="17" t="str">
        <x:v>原因不足时保持为待验证，不写成事实</x:v>
      </x:c>
      <x:c r="F14" s="17" t="str">
        <x:v>—</x:v>
      </x:c>
      <x:c r="G14" s="17" t="str">
        <x:v>取得订单、回款、良率、库龄</x:v>
      </x:c>
      <x:c r="H14" s="17" t="str">
        <x:v>错误决策</x:v>
      </x:c>
      <x:c r="I14" s="17" t="str">
        <x:v>下次经营会前关闭数据缺口</x:v>
      </x:c>
      <x:c r="J14" s="17" t="str">
        <x:v>财务BP</x:v>
      </x:c>
      <x:c r="K14" s="17" t="str">
        <x:v>滚动</x:v>
      </x:c>
      <x:c r="L14" s="43"/>
      <x:c r="M14" s="43" t="str">
        <x:v>2026-09</x:v>
      </x:c>
      <x:c r="N14" s="43" t="n">
        <x:f>'04-月度财务数据'!B27</x:f>
        <x:v>1146.0732</x:v>
      </x:c>
      <x:c r="O14" s="43"/>
      <x:c r="P14" s="43"/>
      <x:c r="Q14" s="43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  <x:c r="M15" s="43" t="str">
        <x:v>2026-10</x:v>
      </x:c>
      <x:c r="N15" s="43" t="n">
        <x:f>'04-月度财务数据'!B28</x:f>
        <x:v>1187.215</x:v>
      </x:c>
      <x:c r="O15" s="43"/>
      <x:c r="P15" s="43"/>
      <x:c r="Q15" s="43"/>
    </x:row>
    <x:row r="16">
      <x:c r="A16" s="43"/>
      <x:c r="B16" s="43"/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  <x:c r="M16" s="43" t="str">
        <x:v>2026-11</x:v>
      </x:c>
      <x:c r="N16" s="43" t="n">
        <x:f>'04-月度财务数据'!B29</x:f>
        <x:v>1243.8671</x:v>
      </x:c>
      <x:c r="O16" s="43"/>
      <x:c r="P16" s="43"/>
      <x:c r="Q16" s="43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  <x:c r="M17" s="43" t="str">
        <x:v>2026-12</x:v>
      </x:c>
      <x:c r="N17" s="43" t="n">
        <x:f>'04-月度财务数据'!B30</x:f>
        <x:v>1372.1534</x:v>
      </x:c>
      <x:c r="O17" s="43"/>
      <x:c r="P17" s="43"/>
      <x:c r="Q17" s="43"/>
    </x:row>
  </x:sheetData>
  <x:mergeCells>
    <x:mergeCell ref="A2:N2"/>
    <x:mergeCell ref="A3:N3"/>
  </x:mergeCells>
  <x:pageMargins left="0.7" right="0.7" top="0.75" bottom="0.75" header="0.3" footer="0.3"/>
  <x:drawing xmlns:r="http://schemas.openxmlformats.org/officeDocument/2006/relationships" r:id="Rd57ee542875a40a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70" hidden="0" customWidth="1"/>
  </x:cols>
  <x:sheetData>
    <x:row r="2" ht="26" customHeight="1">
      <x:c r="A2" s="1" t="str">
        <x:v>控制面板</x:v>
      </x:c>
      <x:c r="B2" s="43"/>
      <x:c r="C2" s="43"/>
    </x:row>
    <x:row r="3" ht="24" customHeight="1">
      <x:c r="A3" s="3" t="str">
        <x:v>统一模型期间、单位和分析口径。实际使用时只在黄色输入区修改。</x:v>
      </x:c>
      <x:c r="B3" s="43"/>
      <x:c r="C3" s="43"/>
    </x:row>
    <x:row r="4">
      <x:c r="A4" s="43"/>
      <x:c r="B4" s="43"/>
      <x:c r="C4" s="43"/>
    </x:row>
    <x:row r="5">
      <x:c r="A5" s="43"/>
      <x:c r="B5" s="43"/>
      <x:c r="C5" s="43"/>
    </x:row>
    <x:row r="6" ht="32" customHeight="1">
      <x:c r="A6" s="21" t="str">
        <x:v>参数</x:v>
      </x:c>
      <x:c r="B6" s="21" t="str">
        <x:v>当前值</x:v>
      </x:c>
      <x:c r="C6" s="21" t="str">
        <x:v>说明</x:v>
      </x:c>
    </x:row>
    <x:row r="7" ht="30" customHeight="1">
      <x:c r="A7" s="25" t="str">
        <x:v>分析月份</x:v>
      </x:c>
      <x:c r="B7" s="31" t="str">
        <x:v>2026-08</x:v>
      </x:c>
      <x:c r="C7" s="25" t="str">
        <x:v>Dashboard及月度分析选择</x:v>
      </x:c>
    </x:row>
    <x:row r="8" ht="30" customHeight="1">
      <x:c r="A8" s="26" t="str">
        <x:v>比较月份</x:v>
      </x:c>
      <x:c r="B8" s="32" t="str">
        <x:v>2025-08</x:v>
      </x:c>
      <x:c r="C8" s="26" t="str">
        <x:v>同比基期</x:v>
      </x:c>
    </x:row>
    <x:row r="9" ht="30" customHeight="1">
      <x:c r="A9" s="26" t="str">
        <x:v>预算版本</x:v>
      </x:c>
      <x:c r="B9" s="32" t="str">
        <x:v>Budget 2026</x:v>
      </x:c>
      <x:c r="C9" s="26" t="str">
        <x:v>预算比较</x:v>
      </x:c>
    </x:row>
    <x:row r="10" ht="30" customHeight="1">
      <x:c r="A10" s="26" t="str">
        <x:v>金额单位</x:v>
      </x:c>
      <x:c r="B10" s="32" t="str">
        <x:v>万元</x:v>
      </x:c>
      <x:c r="C10" s="26" t="str">
        <x:v>所有金额页统一</x:v>
      </x:c>
    </x:row>
    <x:row r="11" ht="30" customHeight="1">
      <x:c r="A11" s="26" t="str">
        <x:v>天数口径</x:v>
      </x:c>
      <x:c r="B11" s="32" t="n">
        <x:v>365</x:v>
      </x:c>
      <x:c r="C11" s="26" t="str">
        <x:v>DSO/DIO/DPO年度口径</x:v>
      </x:c>
    </x:row>
    <x:row r="12" ht="30" customHeight="1">
      <x:c r="A12" s="27" t="str">
        <x:v>PVM方法</x:v>
      </x:c>
      <x:c r="B12" s="33" t="str">
        <x:v>总量-结构-价格</x:v>
      </x:c>
      <x:c r="C12" s="27" t="str">
        <x:v>固定顺序并设残差校验</x:v>
      </x:c>
    </x:row>
  </x:sheetData>
  <x:mergeCells>
    <x:mergeCell ref="A2:C2"/>
    <x:mergeCell ref="A3:C3"/>
  </x:mergeCells>
  <x:pageMargins left="0.7" right="0.7" top="0.75" bottom="0.75" header="0.3" footer="0.3"/>
  <x:tableParts count="1">
    <x:tablePart xmlns:r="http://schemas.openxmlformats.org/officeDocument/2006/relationships" r:id="R87ef660ef09b4de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2" ht="26" customHeight="1">
      <x:c r="A2" s="1" t="str">
        <x:v>历史财务报表</x:v>
      </x:c>
      <x:c r="B2" s="43"/>
      <x:c r="C2" s="43"/>
      <x:c r="D2" s="43"/>
      <x:c r="E2" s="43"/>
    </x:row>
    <x:row r="3" ht="24" customHeight="1">
      <x:c r="A3" s="3" t="str">
        <x:v>模拟数据，用于训练趋势、结构和现金流分析。</x:v>
      </x:c>
      <x:c r="B3" s="43"/>
      <x:c r="C3" s="43"/>
      <x:c r="D3" s="43"/>
      <x:c r="E3" s="43"/>
    </x:row>
    <x:row r="4">
      <x:c r="A4" s="43"/>
      <x:c r="B4" s="43"/>
      <x:c r="C4" s="43"/>
      <x:c r="D4" s="43"/>
      <x:c r="E4" s="43"/>
    </x:row>
    <x:row r="5">
      <x:c r="A5" s="43"/>
      <x:c r="B5" s="43"/>
      <x:c r="C5" s="43"/>
      <x:c r="D5" s="43"/>
      <x:c r="E5" s="43"/>
    </x:row>
    <x:row r="6" ht="32" customHeight="1">
      <x:c r="A6" s="21" t="str">
        <x:v>项目</x:v>
      </x:c>
      <x:c r="B6" s="21" t="str">
        <x:v>2025实际</x:v>
      </x:c>
      <x:c r="C6" s="21" t="str">
        <x:v>2026预算</x:v>
      </x:c>
      <x:c r="D6" s="21" t="str">
        <x:v>2026预测</x:v>
      </x:c>
      <x:c r="E6" s="21" t="str">
        <x:v>预测vs预算</x:v>
      </x:c>
    </x:row>
    <x:row r="7" ht="30" customHeight="1">
      <x:c r="A7" s="25" t="str">
        <x:v>营业收入</x:v>
      </x:c>
      <x:c r="B7" s="25" t="n">
        <x:v>36000</x:v>
      </x:c>
      <x:c r="C7" s="25" t="n">
        <x:v>48000</x:v>
      </x:c>
      <x:c r="D7" s="25" t="n">
        <x:v>45000</x:v>
      </x:c>
      <x:c r="E7" s="25" t="n">
        <x:v>-3000</x:v>
      </x:c>
    </x:row>
    <x:row r="8" ht="30" customHeight="1">
      <x:c r="A8" s="26" t="str">
        <x:v>营业成本</x:v>
      </x:c>
      <x:c r="B8" s="26" t="n">
        <x:v>22320</x:v>
      </x:c>
      <x:c r="C8" s="26" t="n">
        <x:v>29280</x:v>
      </x:c>
      <x:c r="D8" s="26" t="n">
        <x:v>29475</x:v>
      </x:c>
      <x:c r="E8" s="26" t="n">
        <x:v>195</x:v>
      </x:c>
    </x:row>
    <x:row r="9" ht="30" customHeight="1">
      <x:c r="A9" s="26" t="str">
        <x:v>毛利</x:v>
      </x:c>
      <x:c r="B9" s="26" t="n">
        <x:v>13680</x:v>
      </x:c>
      <x:c r="C9" s="26" t="n">
        <x:v>18720</x:v>
      </x:c>
      <x:c r="D9" s="26" t="n">
        <x:v>15525</x:v>
      </x:c>
      <x:c r="E9" s="26" t="n">
        <x:v>-3195</x:v>
      </x:c>
    </x:row>
    <x:row r="10" ht="30" customHeight="1">
      <x:c r="A10" s="26" t="str">
        <x:v>毛利率</x:v>
      </x:c>
      <x:c r="B10" s="26" t="n">
        <x:v>0.38</x:v>
      </x:c>
      <x:c r="C10" s="26" t="n">
        <x:v>0.39</x:v>
      </x:c>
      <x:c r="D10" s="26" t="n">
        <x:v>0.345</x:v>
      </x:c>
      <x:c r="E10" s="26" t="n">
        <x:v>-0.045</x:v>
      </x:c>
    </x:row>
    <x:row r="11" ht="30" customHeight="1">
      <x:c r="A11" s="26" t="str">
        <x:v>销售费用</x:v>
      </x:c>
      <x:c r="B11" s="26" t="n">
        <x:v>3600</x:v>
      </x:c>
      <x:c r="C11" s="26" t="n">
        <x:v>4320</x:v>
      </x:c>
      <x:c r="D11" s="26" t="n">
        <x:v>4680</x:v>
      </x:c>
      <x:c r="E11" s="26" t="n">
        <x:v>360</x:v>
      </x:c>
    </x:row>
    <x:row r="12" ht="30" customHeight="1">
      <x:c r="A12" s="26" t="str">
        <x:v>管理费用</x:v>
      </x:c>
      <x:c r="B12" s="26" t="n">
        <x:v>2500</x:v>
      </x:c>
      <x:c r="C12" s="26" t="n">
        <x:v>2850</x:v>
      </x:c>
      <x:c r="D12" s="26" t="n">
        <x:v>3000</x:v>
      </x:c>
      <x:c r="E12" s="26" t="n">
        <x:v>150</x:v>
      </x:c>
    </x:row>
    <x:row r="13" ht="30" customHeight="1">
      <x:c r="A13" s="26" t="str">
        <x:v>研发费用</x:v>
      </x:c>
      <x:c r="B13" s="26" t="n">
        <x:v>3600</x:v>
      </x:c>
      <x:c r="C13" s="26" t="n">
        <x:v>4800</x:v>
      </x:c>
      <x:c r="D13" s="26" t="n">
        <x:v>5100</x:v>
      </x:c>
      <x:c r="E13" s="26" t="n">
        <x:v>300</x:v>
      </x:c>
    </x:row>
    <x:row r="14" ht="30" customHeight="1">
      <x:c r="A14" s="26" t="str">
        <x:v>财务费用</x:v>
      </x:c>
      <x:c r="B14" s="26" t="n">
        <x:v>420</x:v>
      </x:c>
      <x:c r="C14" s="26" t="n">
        <x:v>380</x:v>
      </x:c>
      <x:c r="D14" s="26" t="n">
        <x:v>650</x:v>
      </x:c>
      <x:c r="E14" s="26" t="n">
        <x:v>270</x:v>
      </x:c>
    </x:row>
    <x:row r="15" ht="30" customHeight="1">
      <x:c r="A15" s="26" t="str">
        <x:v>营业利润</x:v>
      </x:c>
      <x:c r="B15" s="26" t="n">
        <x:v>3560</x:v>
      </x:c>
      <x:c r="C15" s="26" t="n">
        <x:v>6370</x:v>
      </x:c>
      <x:c r="D15" s="26" t="n">
        <x:v>2095</x:v>
      </x:c>
      <x:c r="E15" s="26" t="n">
        <x:v>-4275</x:v>
      </x:c>
    </x:row>
    <x:row r="16" ht="30" customHeight="1">
      <x:c r="A16" s="26" t="str">
        <x:v>应收账款</x:v>
      </x:c>
      <x:c r="B16" s="26" t="n">
        <x:v>6500</x:v>
      </x:c>
      <x:c r="C16" s="26" t="n">
        <x:v>7500</x:v>
      </x:c>
      <x:c r="D16" s="26" t="n">
        <x:v>10200</x:v>
      </x:c>
      <x:c r="E16" s="26" t="n">
        <x:v>2700</x:v>
      </x:c>
    </x:row>
    <x:row r="17" ht="30" customHeight="1">
      <x:c r="A17" s="26" t="str">
        <x:v>存货</x:v>
      </x:c>
      <x:c r="B17" s="26" t="n">
        <x:v>7200</x:v>
      </x:c>
      <x:c r="C17" s="26" t="n">
        <x:v>8000</x:v>
      </x:c>
      <x:c r="D17" s="26" t="n">
        <x:v>11800</x:v>
      </x:c>
      <x:c r="E17" s="26" t="n">
        <x:v>3800</x:v>
      </x:c>
    </x:row>
    <x:row r="18" ht="30" customHeight="1">
      <x:c r="A18" s="26" t="str">
        <x:v>应付账款</x:v>
      </x:c>
      <x:c r="B18" s="26" t="n">
        <x:v>4900</x:v>
      </x:c>
      <x:c r="C18" s="26" t="n">
        <x:v>5600</x:v>
      </x:c>
      <x:c r="D18" s="26" t="n">
        <x:v>6200</x:v>
      </x:c>
      <x:c r="E18" s="26" t="n">
        <x:v>600</x:v>
      </x:c>
    </x:row>
    <x:row r="19" ht="30" customHeight="1">
      <x:c r="A19" s="27" t="str">
        <x:v>经营现金流</x:v>
      </x:c>
      <x:c r="B19" s="27" t="n">
        <x:v>4500</x:v>
      </x:c>
      <x:c r="C19" s="27" t="n">
        <x:v>5800</x:v>
      </x:c>
      <x:c r="D19" s="27" t="n">
        <x:v>500</x:v>
      </x:c>
      <x:c r="E19" s="27" t="n">
        <x:v>-5300</x:v>
      </x:c>
    </x:row>
  </x:sheetData>
  <x:mergeCells>
    <x:mergeCell ref="A2:E2"/>
    <x:mergeCell ref="A3:E3"/>
  </x:mergeCells>
  <x:pageMargins left="0.7" right="0.7" top="0.75" bottom="0.75" header="0.3" footer="0.3"/>
  <x:tableParts count="1">
    <x:tablePart xmlns:r="http://schemas.openxmlformats.org/officeDocument/2006/relationships" r:id="R2b77df4e9bd84b1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14" hidden="0" customWidth="1"/>
    <x:col min="2" max="2" width="10" hidden="0" customWidth="1"/>
    <x:col min="3" max="3" width="8" hidden="0" customWidth="1"/>
    <x:col min="4" max="4" width="18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4" hidden="0" customWidth="1"/>
    <x:col min="12" max="12" width="14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2" ht="26" customHeight="1">
      <x:c r="A2" s="1" t="str">
        <x:v>产品销售明细</x:v>
      </x:c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</x:row>
    <x:row r="3" ht="24" customHeight="1">
      <x:c r="A3" s="3" t="str">
        <x:v>输入层：数量、价格和单位成本。收入及成本金额用于下游SUMIFS分析。</x:v>
      </x:c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  <x:c r="M3" s="43"/>
      <x:c r="N3" s="43"/>
      <x:c r="O3" s="43"/>
      <x:c r="P3" s="43"/>
      <x:c r="Q3" s="43"/>
    </x:row>
    <x:row r="4">
      <x:c r="A4" s="43"/>
      <x:c r="B4" s="43"/>
      <x:c r="C4" s="43"/>
      <x:c r="D4" s="43"/>
      <x:c r="E4" s="43"/>
      <x:c r="F4" s="43"/>
      <x:c r="G4" s="43"/>
      <x:c r="H4" s="43"/>
      <x:c r="I4" s="43"/>
      <x:c r="J4" s="43"/>
      <x:c r="K4" s="43"/>
      <x:c r="L4" s="43"/>
      <x:c r="M4" s="43"/>
      <x:c r="N4" s="43"/>
      <x:c r="O4" s="43"/>
      <x:c r="P4" s="43"/>
      <x:c r="Q4" s="43"/>
    </x:row>
    <x:row r="5">
      <x:c r="A5" s="43"/>
      <x:c r="B5" s="43"/>
      <x:c r="C5" s="43"/>
      <x:c r="D5" s="43"/>
      <x:c r="E5" s="43"/>
      <x:c r="F5" s="43"/>
      <x:c r="G5" s="43"/>
      <x:c r="H5" s="43"/>
      <x:c r="I5" s="43"/>
      <x:c r="J5" s="43"/>
      <x:c r="K5" s="43"/>
      <x:c r="L5" s="43"/>
      <x:c r="M5" s="43"/>
      <x:c r="N5" s="43"/>
      <x:c r="O5" s="43"/>
      <x:c r="P5" s="43"/>
      <x:c r="Q5" s="43"/>
    </x:row>
    <x:row r="6" ht="32" customHeight="1">
      <x:c r="A6" s="21" t="str">
        <x:v>月份</x:v>
      </x:c>
      <x:c r="B6" s="21" t="str">
        <x:v>年度</x:v>
      </x:c>
      <x:c r="C6" s="21" t="str">
        <x:v>月</x:v>
      </x:c>
      <x:c r="D6" s="21" t="str">
        <x:v>产品</x:v>
      </x:c>
      <x:c r="E6" s="21" t="str">
        <x:v>类别</x:v>
      </x:c>
      <x:c r="F6" s="21" t="str">
        <x:v>细分</x:v>
      </x:c>
      <x:c r="G6" s="21" t="str">
        <x:v>渠道</x:v>
      </x:c>
      <x:c r="H6" s="21" t="str">
        <x:v>实际销量</x:v>
      </x:c>
      <x:c r="I6" s="21" t="str">
        <x:v>实际单价</x:v>
      </x:c>
      <x:c r="J6" s="21" t="str">
        <x:v>实际单位成本</x:v>
      </x:c>
      <x:c r="K6" s="21" t="str">
        <x:v>预算销量</x:v>
      </x:c>
      <x:c r="L6" s="21" t="str">
        <x:v>预算单价</x:v>
      </x:c>
      <x:c r="M6" s="21" t="str">
        <x:v>预算单位成本</x:v>
      </x:c>
      <x:c r="N6" s="21" t="str">
        <x:v>实际收入</x:v>
      </x:c>
      <x:c r="O6" s="21" t="str">
        <x:v>实际成本</x:v>
      </x:c>
      <x:c r="P6" s="21" t="str">
        <x:v>预算收入</x:v>
      </x:c>
      <x:c r="Q6" s="21" t="str">
        <x:v>预算成本</x:v>
      </x:c>
    </x:row>
    <x:row r="7" ht="30" customHeight="1">
      <x:c r="A7" s="25" t="str">
        <x:v>2025-01</x:v>
      </x:c>
      <x:c r="B7" s="25" t="n">
        <x:v>2025</x:v>
      </x:c>
      <x:c r="C7" s="25" t="n">
        <x:v>1</x:v>
      </x:c>
      <x:c r="D7" s="25" t="str">
        <x:v>E1桌面机</x:v>
      </x:c>
      <x:c r="E7" s="25" t="str">
        <x:v>硬件</x:v>
      </x:c>
      <x:c r="F7" s="25" t="str">
        <x:v>桌面级</x:v>
      </x:c>
      <x:c r="G7" s="25" t="str">
        <x:v>直营/电商</x:v>
      </x:c>
      <x:c r="H7" s="31" t="n">
        <x:v>583</x:v>
      </x:c>
      <x:c r="I7" s="31" t="n">
        <x:v>4200</x:v>
      </x:c>
      <x:c r="J7" s="31" t="n">
        <x:v>2700</x:v>
      </x:c>
      <x:c r="K7" s="31" t="n">
        <x:v>574</x:v>
      </x:c>
      <x:c r="L7" s="31" t="n">
        <x:v>4200</x:v>
      </x:c>
      <x:c r="M7" s="31" t="n">
        <x:v>2700</x:v>
      </x:c>
      <x:c r="N7" s="34" t="n">
        <x:v>244.86</x:v>
      </x:c>
      <x:c r="O7" s="34" t="n">
        <x:v>157.41</x:v>
      </x:c>
      <x:c r="P7" s="34" t="n">
        <x:v>241.08</x:v>
      </x:c>
      <x:c r="Q7" s="34" t="n">
        <x:v>154.98</x:v>
      </x:c>
    </x:row>
    <x:row r="8" ht="30" customHeight="1">
      <x:c r="A8" s="26" t="str">
        <x:v>2025-01</x:v>
      </x:c>
      <x:c r="B8" s="26" t="n">
        <x:v>2025</x:v>
      </x:c>
      <x:c r="C8" s="26" t="n">
        <x:v>1</x:v>
      </x:c>
      <x:c r="D8" s="26" t="str">
        <x:v>P1专业机</x:v>
      </x:c>
      <x:c r="E8" s="26" t="str">
        <x:v>硬件</x:v>
      </x:c>
      <x:c r="F8" s="26" t="str">
        <x:v>专业级</x:v>
      </x:c>
      <x:c r="G8" s="26" t="str">
        <x:v>经销商</x:v>
      </x:c>
      <x:c r="H8" s="32" t="n">
        <x:v>200</x:v>
      </x:c>
      <x:c r="I8" s="32" t="n">
        <x:v>9800</x:v>
      </x:c>
      <x:c r="J8" s="32" t="n">
        <x:v>6000</x:v>
      </x:c>
      <x:c r="K8" s="32" t="n">
        <x:v>197</x:v>
      </x:c>
      <x:c r="L8" s="32" t="n">
        <x:v>9800</x:v>
      </x:c>
      <x:c r="M8" s="32" t="n">
        <x:v>6000</x:v>
      </x:c>
      <x:c r="N8" s="35" t="n">
        <x:v>196</x:v>
      </x:c>
      <x:c r="O8" s="35" t="n">
        <x:v>120</x:v>
      </x:c>
      <x:c r="P8" s="35" t="n">
        <x:v>193.06</x:v>
      </x:c>
      <x:c r="Q8" s="35" t="n">
        <x:v>118.2</x:v>
      </x:c>
    </x:row>
    <x:row r="9" ht="30" customHeight="1">
      <x:c r="A9" s="26" t="str">
        <x:v>2025-01</x:v>
      </x:c>
      <x:c r="B9" s="26" t="n">
        <x:v>2025</x:v>
      </x:c>
      <x:c r="C9" s="26" t="n">
        <x:v>1</x:v>
      </x:c>
      <x:c r="D9" s="26" t="str">
        <x:v>I1工业机</x:v>
      </x:c>
      <x:c r="E9" s="26" t="str">
        <x:v>硬件</x:v>
      </x:c>
      <x:c r="F9" s="26" t="str">
        <x:v>工业级</x:v>
      </x:c>
      <x:c r="G9" s="26" t="str">
        <x:v>直销</x:v>
      </x:c>
      <x:c r="H9" s="32" t="n">
        <x:v>29</x:v>
      </x:c>
      <x:c r="I9" s="32" t="n">
        <x:v>65000</x:v>
      </x:c>
      <x:c r="J9" s="32" t="n">
        <x:v>43000</x:v>
      </x:c>
      <x:c r="K9" s="32" t="n">
        <x:v>29</x:v>
      </x:c>
      <x:c r="L9" s="32" t="n">
        <x:v>65000</x:v>
      </x:c>
      <x:c r="M9" s="32" t="n">
        <x:v>43000</x:v>
      </x:c>
      <x:c r="N9" s="35" t="n">
        <x:v>188.5</x:v>
      </x:c>
      <x:c r="O9" s="35" t="n">
        <x:v>124.7</x:v>
      </x:c>
      <x:c r="P9" s="35" t="n">
        <x:v>188.5</x:v>
      </x:c>
      <x:c r="Q9" s="35" t="n">
        <x:v>124.7</x:v>
      </x:c>
    </x:row>
    <x:row r="10" ht="30" customHeight="1">
      <x:c r="A10" s="26" t="str">
        <x:v>2025-01</x:v>
      </x:c>
      <x:c r="B10" s="26" t="n">
        <x:v>2025</x:v>
      </x:c>
      <x:c r="C10" s="26" t="n">
        <x:v>1</x:v>
      </x:c>
      <x:c r="D10" s="26" t="str">
        <x:v>耗材</x:v>
      </x:c>
      <x:c r="E10" s="26" t="str">
        <x:v>耗材</x:v>
      </x:c>
      <x:c r="F10" s="26" t="str">
        <x:v>PLA/树脂</x:v>
      </x:c>
      <x:c r="G10" s="26" t="str">
        <x:v>全渠道</x:v>
      </x:c>
      <x:c r="H10" s="32" t="n">
        <x:v>9706</x:v>
      </x:c>
      <x:c r="I10" s="32" t="n">
        <x:v>92</x:v>
      </x:c>
      <x:c r="J10" s="32" t="n">
        <x:v>48</x:v>
      </x:c>
      <x:c r="K10" s="32" t="n">
        <x:v>9840</x:v>
      </x:c>
      <x:c r="L10" s="32" t="n">
        <x:v>92</x:v>
      </x:c>
      <x:c r="M10" s="32" t="n">
        <x:v>48</x:v>
      </x:c>
      <x:c r="N10" s="35" t="n">
        <x:v>89.2952</x:v>
      </x:c>
      <x:c r="O10" s="35" t="n">
        <x:v>46.5888</x:v>
      </x:c>
      <x:c r="P10" s="35" t="n">
        <x:v>90.528</x:v>
      </x:c>
      <x:c r="Q10" s="35" t="n">
        <x:v>47.232</x:v>
      </x:c>
    </x:row>
    <x:row r="11" ht="30" customHeight="1">
      <x:c r="A11" s="26" t="str">
        <x:v>2025-02</x:v>
      </x:c>
      <x:c r="B11" s="26" t="n">
        <x:v>2025</x:v>
      </x:c>
      <x:c r="C11" s="26" t="n">
        <x:v>2</x:v>
      </x:c>
      <x:c r="D11" s="26" t="str">
        <x:v>E1桌面机</x:v>
      </x:c>
      <x:c r="E11" s="26" t="str">
        <x:v>硬件</x:v>
      </x:c>
      <x:c r="F11" s="26" t="str">
        <x:v>桌面级</x:v>
      </x:c>
      <x:c r="G11" s="26" t="str">
        <x:v>直营/电商</x:v>
      </x:c>
      <x:c r="H11" s="32" t="n">
        <x:v>555</x:v>
      </x:c>
      <x:c r="I11" s="32" t="n">
        <x:v>4200</x:v>
      </x:c>
      <x:c r="J11" s="32" t="n">
        <x:v>2700</x:v>
      </x:c>
      <x:c r="K11" s="32" t="n">
        <x:v>546</x:v>
      </x:c>
      <x:c r="L11" s="32" t="n">
        <x:v>4200</x:v>
      </x:c>
      <x:c r="M11" s="32" t="n">
        <x:v>2700</x:v>
      </x:c>
      <x:c r="N11" s="35" t="n">
        <x:v>233.1</x:v>
      </x:c>
      <x:c r="O11" s="35" t="n">
        <x:v>149.85</x:v>
      </x:c>
      <x:c r="P11" s="35" t="n">
        <x:v>229.32</x:v>
      </x:c>
      <x:c r="Q11" s="35" t="n">
        <x:v>147.42</x:v>
      </x:c>
    </x:row>
    <x:row r="12" ht="30" customHeight="1">
      <x:c r="A12" s="26" t="str">
        <x:v>2025-02</x:v>
      </x:c>
      <x:c r="B12" s="26" t="n">
        <x:v>2025</x:v>
      </x:c>
      <x:c r="C12" s="26" t="n">
        <x:v>2</x:v>
      </x:c>
      <x:c r="D12" s="26" t="str">
        <x:v>P1专业机</x:v>
      </x:c>
      <x:c r="E12" s="26" t="str">
        <x:v>硬件</x:v>
      </x:c>
      <x:c r="F12" s="26" t="str">
        <x:v>专业级</x:v>
      </x:c>
      <x:c r="G12" s="26" t="str">
        <x:v>经销商</x:v>
      </x:c>
      <x:c r="H12" s="32" t="n">
        <x:v>185</x:v>
      </x:c>
      <x:c r="I12" s="32" t="n">
        <x:v>9800</x:v>
      </x:c>
      <x:c r="J12" s="32" t="n">
        <x:v>6000</x:v>
      </x:c>
      <x:c r="K12" s="32" t="n">
        <x:v>187</x:v>
      </x:c>
      <x:c r="L12" s="32" t="n">
        <x:v>9800</x:v>
      </x:c>
      <x:c r="M12" s="32" t="n">
        <x:v>6000</x:v>
      </x:c>
      <x:c r="N12" s="35" t="n">
        <x:v>181.3</x:v>
      </x:c>
      <x:c r="O12" s="35" t="n">
        <x:v>111</x:v>
      </x:c>
      <x:c r="P12" s="35" t="n">
        <x:v>183.26</x:v>
      </x:c>
      <x:c r="Q12" s="35" t="n">
        <x:v>112.2</x:v>
      </x:c>
    </x:row>
    <x:row r="13" ht="30" customHeight="1">
      <x:c r="A13" s="26" t="str">
        <x:v>2025-02</x:v>
      </x:c>
      <x:c r="B13" s="26" t="n">
        <x:v>2025</x:v>
      </x:c>
      <x:c r="C13" s="26" t="n">
        <x:v>2</x:v>
      </x:c>
      <x:c r="D13" s="26" t="str">
        <x:v>I1工业机</x:v>
      </x:c>
      <x:c r="E13" s="26" t="str">
        <x:v>硬件</x:v>
      </x:c>
      <x:c r="F13" s="26" t="str">
        <x:v>工业级</x:v>
      </x:c>
      <x:c r="G13" s="26" t="str">
        <x:v>直销</x:v>
      </x:c>
      <x:c r="H13" s="32" t="n">
        <x:v>27</x:v>
      </x:c>
      <x:c r="I13" s="32" t="n">
        <x:v>65000</x:v>
      </x:c>
      <x:c r="J13" s="32" t="n">
        <x:v>43000</x:v>
      </x:c>
      <x:c r="K13" s="32" t="n">
        <x:v>27</x:v>
      </x:c>
      <x:c r="L13" s="32" t="n">
        <x:v>65000</x:v>
      </x:c>
      <x:c r="M13" s="32" t="n">
        <x:v>43000</x:v>
      </x:c>
      <x:c r="N13" s="35" t="n">
        <x:v>175.5</x:v>
      </x:c>
      <x:c r="O13" s="35" t="n">
        <x:v>116.1</x:v>
      </x:c>
      <x:c r="P13" s="35" t="n">
        <x:v>175.5</x:v>
      </x:c>
      <x:c r="Q13" s="35" t="n">
        <x:v>116.1</x:v>
      </x:c>
    </x:row>
    <x:row r="14" ht="30" customHeight="1">
      <x:c r="A14" s="26" t="str">
        <x:v>2025-02</x:v>
      </x:c>
      <x:c r="B14" s="26" t="n">
        <x:v>2025</x:v>
      </x:c>
      <x:c r="C14" s="26" t="n">
        <x:v>2</x:v>
      </x:c>
      <x:c r="D14" s="26" t="str">
        <x:v>耗材</x:v>
      </x:c>
      <x:c r="E14" s="26" t="str">
        <x:v>耗材</x:v>
      </x:c>
      <x:c r="F14" s="26" t="str">
        <x:v>PLA/树脂</x:v>
      </x:c>
      <x:c r="G14" s="26" t="str">
        <x:v>全渠道</x:v>
      </x:c>
      <x:c r="H14" s="32" t="n">
        <x:v>9527</x:v>
      </x:c>
      <x:c r="I14" s="32" t="n">
        <x:v>92</x:v>
      </x:c>
      <x:c r="J14" s="32" t="n">
        <x:v>48</x:v>
      </x:c>
      <x:c r="K14" s="32" t="n">
        <x:v>9360</x:v>
      </x:c>
      <x:c r="L14" s="32" t="n">
        <x:v>92</x:v>
      </x:c>
      <x:c r="M14" s="32" t="n">
        <x:v>48</x:v>
      </x:c>
      <x:c r="N14" s="35" t="n">
        <x:v>87.6484</x:v>
      </x:c>
      <x:c r="O14" s="35" t="n">
        <x:v>45.7296</x:v>
      </x:c>
      <x:c r="P14" s="35" t="n">
        <x:v>86.112</x:v>
      </x:c>
      <x:c r="Q14" s="35" t="n">
        <x:v>44.928</x:v>
      </x:c>
    </x:row>
    <x:row r="15" ht="30" customHeight="1">
      <x:c r="A15" s="26" t="str">
        <x:v>2025-03</x:v>
      </x:c>
      <x:c r="B15" s="26" t="n">
        <x:v>2025</x:v>
      </x:c>
      <x:c r="C15" s="26" t="n">
        <x:v>3</x:v>
      </x:c>
      <x:c r="D15" s="26" t="str">
        <x:v>E1桌面机</x:v>
      </x:c>
      <x:c r="E15" s="26" t="str">
        <x:v>硬件</x:v>
      </x:c>
      <x:c r="F15" s="26" t="str">
        <x:v>桌面级</x:v>
      </x:c>
      <x:c r="G15" s="26" t="str">
        <x:v>直营/电商</x:v>
      </x:c>
      <x:c r="H15" s="32" t="n">
        <x:v>646</x:v>
      </x:c>
      <x:c r="I15" s="32" t="n">
        <x:v>4200</x:v>
      </x:c>
      <x:c r="J15" s="32" t="n">
        <x:v>2700</x:v>
      </x:c>
      <x:c r="K15" s="32" t="n">
        <x:v>644</x:v>
      </x:c>
      <x:c r="L15" s="32" t="n">
        <x:v>4200</x:v>
      </x:c>
      <x:c r="M15" s="32" t="n">
        <x:v>2700</x:v>
      </x:c>
      <x:c r="N15" s="35" t="n">
        <x:v>271.32</x:v>
      </x:c>
      <x:c r="O15" s="35" t="n">
        <x:v>174.42</x:v>
      </x:c>
      <x:c r="P15" s="35" t="n">
        <x:v>270.48</x:v>
      </x:c>
      <x:c r="Q15" s="35" t="n">
        <x:v>173.88</x:v>
      </x:c>
    </x:row>
    <x:row r="16" ht="30" customHeight="1">
      <x:c r="A16" s="26" t="str">
        <x:v>2025-03</x:v>
      </x:c>
      <x:c r="B16" s="26" t="n">
        <x:v>2025</x:v>
      </x:c>
      <x:c r="C16" s="26" t="n">
        <x:v>3</x:v>
      </x:c>
      <x:c r="D16" s="26" t="str">
        <x:v>P1专业机</x:v>
      </x:c>
      <x:c r="E16" s="26" t="str">
        <x:v>硬件</x:v>
      </x:c>
      <x:c r="F16" s="26" t="str">
        <x:v>专业级</x:v>
      </x:c>
      <x:c r="G16" s="26" t="str">
        <x:v>经销商</x:v>
      </x:c>
      <x:c r="H16" s="32" t="n">
        <x:v>220</x:v>
      </x:c>
      <x:c r="I16" s="32" t="n">
        <x:v>9800</x:v>
      </x:c>
      <x:c r="J16" s="32" t="n">
        <x:v>6000</x:v>
      </x:c>
      <x:c r="K16" s="32" t="n">
        <x:v>221</x:v>
      </x:c>
      <x:c r="L16" s="32" t="n">
        <x:v>9800</x:v>
      </x:c>
      <x:c r="M16" s="32" t="n">
        <x:v>6000</x:v>
      </x:c>
      <x:c r="N16" s="35" t="n">
        <x:v>215.6</x:v>
      </x:c>
      <x:c r="O16" s="35" t="n">
        <x:v>132</x:v>
      </x:c>
      <x:c r="P16" s="35" t="n">
        <x:v>216.58</x:v>
      </x:c>
      <x:c r="Q16" s="35" t="n">
        <x:v>132.6</x:v>
      </x:c>
    </x:row>
    <x:row r="17" ht="30" customHeight="1">
      <x:c r="A17" s="26" t="str">
        <x:v>2025-03</x:v>
      </x:c>
      <x:c r="B17" s="26" t="n">
        <x:v>2025</x:v>
      </x:c>
      <x:c r="C17" s="26" t="n">
        <x:v>3</x:v>
      </x:c>
      <x:c r="D17" s="26" t="str">
        <x:v>I1工业机</x:v>
      </x:c>
      <x:c r="E17" s="26" t="str">
        <x:v>硬件</x:v>
      </x:c>
      <x:c r="F17" s="26" t="str">
        <x:v>工业级</x:v>
      </x:c>
      <x:c r="G17" s="26" t="str">
        <x:v>直销</x:v>
      </x:c>
      <x:c r="H17" s="32" t="n">
        <x:v>32</x:v>
      </x:c>
      <x:c r="I17" s="32" t="n">
        <x:v>65000</x:v>
      </x:c>
      <x:c r="J17" s="32" t="n">
        <x:v>43000</x:v>
      </x:c>
      <x:c r="K17" s="32" t="n">
        <x:v>32</x:v>
      </x:c>
      <x:c r="L17" s="32" t="n">
        <x:v>65000</x:v>
      </x:c>
      <x:c r="M17" s="32" t="n">
        <x:v>43000</x:v>
      </x:c>
      <x:c r="N17" s="35" t="n">
        <x:v>208</x:v>
      </x:c>
      <x:c r="O17" s="35" t="n">
        <x:v>137.6</x:v>
      </x:c>
      <x:c r="P17" s="35" t="n">
        <x:v>208</x:v>
      </x:c>
      <x:c r="Q17" s="35" t="n">
        <x:v>137.6</x:v>
      </x:c>
    </x:row>
    <x:row r="18" ht="30" customHeight="1">
      <x:c r="A18" s="26" t="str">
        <x:v>2025-03</x:v>
      </x:c>
      <x:c r="B18" s="26" t="n">
        <x:v>2025</x:v>
      </x:c>
      <x:c r="C18" s="26" t="n">
        <x:v>3</x:v>
      </x:c>
      <x:c r="D18" s="26" t="str">
        <x:v>耗材</x:v>
      </x:c>
      <x:c r="E18" s="26" t="str">
        <x:v>耗材</x:v>
      </x:c>
      <x:c r="F18" s="26" t="str">
        <x:v>PLA/树脂</x:v>
      </x:c>
      <x:c r="G18" s="26" t="str">
        <x:v>全渠道</x:v>
      </x:c>
      <x:c r="H18" s="32" t="n">
        <x:v>10933</x:v>
      </x:c>
      <x:c r="I18" s="32" t="n">
        <x:v>92</x:v>
      </x:c>
      <x:c r="J18" s="32" t="n">
        <x:v>48</x:v>
      </x:c>
      <x:c r="K18" s="32" t="n">
        <x:v>11040</x:v>
      </x:c>
      <x:c r="L18" s="32" t="n">
        <x:v>92</x:v>
      </x:c>
      <x:c r="M18" s="32" t="n">
        <x:v>48</x:v>
      </x:c>
      <x:c r="N18" s="35" t="n">
        <x:v>100.5836</x:v>
      </x:c>
      <x:c r="O18" s="35" t="n">
        <x:v>52.4784</x:v>
      </x:c>
      <x:c r="P18" s="35" t="n">
        <x:v>101.568</x:v>
      </x:c>
      <x:c r="Q18" s="35" t="n">
        <x:v>52.992</x:v>
      </x:c>
    </x:row>
    <x:row r="19" ht="30" customHeight="1">
      <x:c r="A19" s="26" t="str">
        <x:v>2025-04</x:v>
      </x:c>
      <x:c r="B19" s="26" t="n">
        <x:v>2025</x:v>
      </x:c>
      <x:c r="C19" s="26" t="n">
        <x:v>4</x:v>
      </x:c>
      <x:c r="D19" s="26" t="str">
        <x:v>E1桌面机</x:v>
      </x:c>
      <x:c r="E19" s="26" t="str">
        <x:v>硬件</x:v>
      </x:c>
      <x:c r="F19" s="26" t="str">
        <x:v>桌面级</x:v>
      </x:c>
      <x:c r="G19" s="26" t="str">
        <x:v>直营/电商</x:v>
      </x:c>
      <x:c r="H19" s="32" t="n">
        <x:v>663</x:v>
      </x:c>
      <x:c r="I19" s="32" t="n">
        <x:v>4200</x:v>
      </x:c>
      <x:c r="J19" s="32" t="n">
        <x:v>2700</x:v>
      </x:c>
      <x:c r="K19" s="32" t="n">
        <x:v>672</x:v>
      </x:c>
      <x:c r="L19" s="32" t="n">
        <x:v>4200</x:v>
      </x:c>
      <x:c r="M19" s="32" t="n">
        <x:v>2700</x:v>
      </x:c>
      <x:c r="N19" s="35" t="n">
        <x:v>278.46</x:v>
      </x:c>
      <x:c r="O19" s="35" t="n">
        <x:v>179.01</x:v>
      </x:c>
      <x:c r="P19" s="35" t="n">
        <x:v>282.24</x:v>
      </x:c>
      <x:c r="Q19" s="35" t="n">
        <x:v>181.44</x:v>
      </x:c>
    </x:row>
    <x:row r="20" ht="30" customHeight="1">
      <x:c r="A20" s="26" t="str">
        <x:v>2025-04</x:v>
      </x:c>
      <x:c r="B20" s="26" t="n">
        <x:v>2025</x:v>
      </x:c>
      <x:c r="C20" s="26" t="n">
        <x:v>4</x:v>
      </x:c>
      <x:c r="D20" s="26" t="str">
        <x:v>P1专业机</x:v>
      </x:c>
      <x:c r="E20" s="26" t="str">
        <x:v>硬件</x:v>
      </x:c>
      <x:c r="F20" s="26" t="str">
        <x:v>专业级</x:v>
      </x:c>
      <x:c r="G20" s="26" t="str">
        <x:v>经销商</x:v>
      </x:c>
      <x:c r="H20" s="32" t="n">
        <x:v>235</x:v>
      </x:c>
      <x:c r="I20" s="32" t="n">
        <x:v>9800</x:v>
      </x:c>
      <x:c r="J20" s="32" t="n">
        <x:v>6000</x:v>
      </x:c>
      <x:c r="K20" s="32" t="n">
        <x:v>230</x:v>
      </x:c>
      <x:c r="L20" s="32" t="n">
        <x:v>9800</x:v>
      </x:c>
      <x:c r="M20" s="32" t="n">
        <x:v>6000</x:v>
      </x:c>
      <x:c r="N20" s="35" t="n">
        <x:v>230.3</x:v>
      </x:c>
      <x:c r="O20" s="35" t="n">
        <x:v>141</x:v>
      </x:c>
      <x:c r="P20" s="35" t="n">
        <x:v>225.4</x:v>
      </x:c>
      <x:c r="Q20" s="35" t="n">
        <x:v>138</x:v>
      </x:c>
    </x:row>
    <x:row r="21" ht="30" customHeight="1">
      <x:c r="A21" s="26" t="str">
        <x:v>2025-04</x:v>
      </x:c>
      <x:c r="B21" s="26" t="n">
        <x:v>2025</x:v>
      </x:c>
      <x:c r="C21" s="26" t="n">
        <x:v>4</x:v>
      </x:c>
      <x:c r="D21" s="26" t="str">
        <x:v>I1工业机</x:v>
      </x:c>
      <x:c r="E21" s="26" t="str">
        <x:v>硬件</x:v>
      </x:c>
      <x:c r="F21" s="26" t="str">
        <x:v>工业级</x:v>
      </x:c>
      <x:c r="G21" s="26" t="str">
        <x:v>直销</x:v>
      </x:c>
      <x:c r="H21" s="32" t="n">
        <x:v>33</x:v>
      </x:c>
      <x:c r="I21" s="32" t="n">
        <x:v>65000</x:v>
      </x:c>
      <x:c r="J21" s="32" t="n">
        <x:v>43000</x:v>
      </x:c>
      <x:c r="K21" s="32" t="n">
        <x:v>34</x:v>
      </x:c>
      <x:c r="L21" s="32" t="n">
        <x:v>65000</x:v>
      </x:c>
      <x:c r="M21" s="32" t="n">
        <x:v>43000</x:v>
      </x:c>
      <x:c r="N21" s="35" t="n">
        <x:v>214.5</x:v>
      </x:c>
      <x:c r="O21" s="35" t="n">
        <x:v>141.9</x:v>
      </x:c>
      <x:c r="P21" s="35" t="n">
        <x:v>221</x:v>
      </x:c>
      <x:c r="Q21" s="35" t="n">
        <x:v>146.2</x:v>
      </x:c>
    </x:row>
    <x:row r="22" ht="30" customHeight="1">
      <x:c r="A22" s="26" t="str">
        <x:v>2025-04</x:v>
      </x:c>
      <x:c r="B22" s="26" t="n">
        <x:v>2025</x:v>
      </x:c>
      <x:c r="C22" s="26" t="n">
        <x:v>4</x:v>
      </x:c>
      <x:c r="D22" s="26" t="str">
        <x:v>耗材</x:v>
      </x:c>
      <x:c r="E22" s="26" t="str">
        <x:v>耗材</x:v>
      </x:c>
      <x:c r="F22" s="26" t="str">
        <x:v>PLA/树脂</x:v>
      </x:c>
      <x:c r="G22" s="26" t="str">
        <x:v>全渠道</x:v>
      </x:c>
      <x:c r="H22" s="32" t="n">
        <x:v>11460</x:v>
      </x:c>
      <x:c r="I22" s="32" t="n">
        <x:v>92</x:v>
      </x:c>
      <x:c r="J22" s="32" t="n">
        <x:v>48</x:v>
      </x:c>
      <x:c r="K22" s="32" t="n">
        <x:v>11520</x:v>
      </x:c>
      <x:c r="L22" s="32" t="n">
        <x:v>92</x:v>
      </x:c>
      <x:c r="M22" s="32" t="n">
        <x:v>48</x:v>
      </x:c>
      <x:c r="N22" s="35" t="n">
        <x:v>105.432</x:v>
      </x:c>
      <x:c r="O22" s="35" t="n">
        <x:v>55.008</x:v>
      </x:c>
      <x:c r="P22" s="35" t="n">
        <x:v>105.984</x:v>
      </x:c>
      <x:c r="Q22" s="35" t="n">
        <x:v>55.296</x:v>
      </x:c>
    </x:row>
    <x:row r="23" ht="30" customHeight="1">
      <x:c r="A23" s="26" t="str">
        <x:v>2025-05</x:v>
      </x:c>
      <x:c r="B23" s="26" t="n">
        <x:v>2025</x:v>
      </x:c>
      <x:c r="C23" s="26" t="n">
        <x:v>5</x:v>
      </x:c>
      <x:c r="D23" s="26" t="str">
        <x:v>E1桌面机</x:v>
      </x:c>
      <x:c r="E23" s="26" t="str">
        <x:v>硬件</x:v>
      </x:c>
      <x:c r="F23" s="26" t="str">
        <x:v>桌面级</x:v>
      </x:c>
      <x:c r="G23" s="26" t="str">
        <x:v>直营/电商</x:v>
      </x:c>
      <x:c r="H23" s="32" t="n">
        <x:v>702</x:v>
      </x:c>
      <x:c r="I23" s="32" t="n">
        <x:v>4200</x:v>
      </x:c>
      <x:c r="J23" s="32" t="n">
        <x:v>2700</x:v>
      </x:c>
      <x:c r="K23" s="32" t="n">
        <x:v>714</x:v>
      </x:c>
      <x:c r="L23" s="32" t="n">
        <x:v>4200</x:v>
      </x:c>
      <x:c r="M23" s="32" t="n">
        <x:v>2700</x:v>
      </x:c>
      <x:c r="N23" s="35" t="n">
        <x:v>294.84</x:v>
      </x:c>
      <x:c r="O23" s="35" t="n">
        <x:v>189.54</x:v>
      </x:c>
      <x:c r="P23" s="35" t="n">
        <x:v>299.88</x:v>
      </x:c>
      <x:c r="Q23" s="35" t="n">
        <x:v>192.78</x:v>
      </x:c>
    </x:row>
    <x:row r="24" ht="30" customHeight="1">
      <x:c r="A24" s="26" t="str">
        <x:v>2025-05</x:v>
      </x:c>
      <x:c r="B24" s="26" t="n">
        <x:v>2025</x:v>
      </x:c>
      <x:c r="C24" s="26" t="n">
        <x:v>5</x:v>
      </x:c>
      <x:c r="D24" s="26" t="str">
        <x:v>P1专业机</x:v>
      </x:c>
      <x:c r="E24" s="26" t="str">
        <x:v>硬件</x:v>
      </x:c>
      <x:c r="F24" s="26" t="str">
        <x:v>专业级</x:v>
      </x:c>
      <x:c r="G24" s="26" t="str">
        <x:v>经销商</x:v>
      </x:c>
      <x:c r="H24" s="32" t="n">
        <x:v>242</x:v>
      </x:c>
      <x:c r="I24" s="32" t="n">
        <x:v>9800</x:v>
      </x:c>
      <x:c r="J24" s="32" t="n">
        <x:v>6000</x:v>
      </x:c>
      <x:c r="K24" s="32" t="n">
        <x:v>245</x:v>
      </x:c>
      <x:c r="L24" s="32" t="n">
        <x:v>9800</x:v>
      </x:c>
      <x:c r="M24" s="32" t="n">
        <x:v>6000</x:v>
      </x:c>
      <x:c r="N24" s="35" t="n">
        <x:v>237.16</x:v>
      </x:c>
      <x:c r="O24" s="35" t="n">
        <x:v>145.2</x:v>
      </x:c>
      <x:c r="P24" s="35" t="n">
        <x:v>240.1</x:v>
      </x:c>
      <x:c r="Q24" s="35" t="n">
        <x:v>147</x:v>
      </x:c>
    </x:row>
    <x:row r="25" ht="30" customHeight="1">
      <x:c r="A25" s="26" t="str">
        <x:v>2025-05</x:v>
      </x:c>
      <x:c r="B25" s="26" t="n">
        <x:v>2025</x:v>
      </x:c>
      <x:c r="C25" s="26" t="n">
        <x:v>5</x:v>
      </x:c>
      <x:c r="D25" s="26" t="str">
        <x:v>I1工业机</x:v>
      </x:c>
      <x:c r="E25" s="26" t="str">
        <x:v>硬件</x:v>
      </x:c>
      <x:c r="F25" s="26" t="str">
        <x:v>工业级</x:v>
      </x:c>
      <x:c r="G25" s="26" t="str">
        <x:v>直销</x:v>
      </x:c>
      <x:c r="H25" s="32" t="n">
        <x:v>36</x:v>
      </x:c>
      <x:c r="I25" s="32" t="n">
        <x:v>65000</x:v>
      </x:c>
      <x:c r="J25" s="32" t="n">
        <x:v>43000</x:v>
      </x:c>
      <x:c r="K25" s="32" t="n">
        <x:v>36</x:v>
      </x:c>
      <x:c r="L25" s="32" t="n">
        <x:v>65000</x:v>
      </x:c>
      <x:c r="M25" s="32" t="n">
        <x:v>43000</x:v>
      </x:c>
      <x:c r="N25" s="35" t="n">
        <x:v>234</x:v>
      </x:c>
      <x:c r="O25" s="35" t="n">
        <x:v>154.8</x:v>
      </x:c>
      <x:c r="P25" s="35" t="n">
        <x:v>234</x:v>
      </x:c>
      <x:c r="Q25" s="35" t="n">
        <x:v>154.8</x:v>
      </x:c>
    </x:row>
    <x:row r="26" ht="30" customHeight="1">
      <x:c r="A26" s="26" t="str">
        <x:v>2025-05</x:v>
      </x:c>
      <x:c r="B26" s="26" t="n">
        <x:v>2025</x:v>
      </x:c>
      <x:c r="C26" s="26" t="n">
        <x:v>5</x:v>
      </x:c>
      <x:c r="D26" s="26" t="str">
        <x:v>耗材</x:v>
      </x:c>
      <x:c r="E26" s="26" t="str">
        <x:v>耗材</x:v>
      </x:c>
      <x:c r="F26" s="26" t="str">
        <x:v>PLA/树脂</x:v>
      </x:c>
      <x:c r="G26" s="26" t="str">
        <x:v>全渠道</x:v>
      </x:c>
      <x:c r="H26" s="32" t="n">
        <x:v>12441</x:v>
      </x:c>
      <x:c r="I26" s="32" t="n">
        <x:v>92</x:v>
      </x:c>
      <x:c r="J26" s="32" t="n">
        <x:v>48</x:v>
      </x:c>
      <x:c r="K26" s="32" t="n">
        <x:v>12240</x:v>
      </x:c>
      <x:c r="L26" s="32" t="n">
        <x:v>92</x:v>
      </x:c>
      <x:c r="M26" s="32" t="n">
        <x:v>48</x:v>
      </x:c>
      <x:c r="N26" s="35" t="n">
        <x:v>114.4572</x:v>
      </x:c>
      <x:c r="O26" s="35" t="n">
        <x:v>59.7168</x:v>
      </x:c>
      <x:c r="P26" s="35" t="n">
        <x:v>112.608</x:v>
      </x:c>
      <x:c r="Q26" s="35" t="n">
        <x:v>58.752</x:v>
      </x:c>
    </x:row>
    <x:row r="27" ht="30" customHeight="1">
      <x:c r="A27" s="26" t="str">
        <x:v>2025-06</x:v>
      </x:c>
      <x:c r="B27" s="26" t="n">
        <x:v>2025</x:v>
      </x:c>
      <x:c r="C27" s="26" t="n">
        <x:v>6</x:v>
      </x:c>
      <x:c r="D27" s="26" t="str">
        <x:v>E1桌面机</x:v>
      </x:c>
      <x:c r="E27" s="26" t="str">
        <x:v>硬件</x:v>
      </x:c>
      <x:c r="F27" s="26" t="str">
        <x:v>桌面级</x:v>
      </x:c>
      <x:c r="G27" s="26" t="str">
        <x:v>直营/电商</x:v>
      </x:c>
      <x:c r="H27" s="32" t="n">
        <x:v>731</x:v>
      </x:c>
      <x:c r="I27" s="32" t="n">
        <x:v>4200</x:v>
      </x:c>
      <x:c r="J27" s="32" t="n">
        <x:v>2700</x:v>
      </x:c>
      <x:c r="K27" s="32" t="n">
        <x:v>735</x:v>
      </x:c>
      <x:c r="L27" s="32" t="n">
        <x:v>4200</x:v>
      </x:c>
      <x:c r="M27" s="32" t="n">
        <x:v>2700</x:v>
      </x:c>
      <x:c r="N27" s="35" t="n">
        <x:v>307.02</x:v>
      </x:c>
      <x:c r="O27" s="35" t="n">
        <x:v>197.37</x:v>
      </x:c>
      <x:c r="P27" s="35" t="n">
        <x:v>308.7</x:v>
      </x:c>
      <x:c r="Q27" s="35" t="n">
        <x:v>198.45</x:v>
      </x:c>
    </x:row>
    <x:row r="28" ht="30" customHeight="1">
      <x:c r="A28" s="26" t="str">
        <x:v>2025-06</x:v>
      </x:c>
      <x:c r="B28" s="26" t="n">
        <x:v>2025</x:v>
      </x:c>
      <x:c r="C28" s="26" t="n">
        <x:v>6</x:v>
      </x:c>
      <x:c r="D28" s="26" t="str">
        <x:v>P1专业机</x:v>
      </x:c>
      <x:c r="E28" s="26" t="str">
        <x:v>硬件</x:v>
      </x:c>
      <x:c r="F28" s="26" t="str">
        <x:v>专业级</x:v>
      </x:c>
      <x:c r="G28" s="26" t="str">
        <x:v>经销商</x:v>
      </x:c>
      <x:c r="H28" s="32" t="n">
        <x:v>250</x:v>
      </x:c>
      <x:c r="I28" s="32" t="n">
        <x:v>9800</x:v>
      </x:c>
      <x:c r="J28" s="32" t="n">
        <x:v>6000</x:v>
      </x:c>
      <x:c r="K28" s="32" t="n">
        <x:v>252</x:v>
      </x:c>
      <x:c r="L28" s="32" t="n">
        <x:v>9800</x:v>
      </x:c>
      <x:c r="M28" s="32" t="n">
        <x:v>6000</x:v>
      </x:c>
      <x:c r="N28" s="35" t="n">
        <x:v>245</x:v>
      </x:c>
      <x:c r="O28" s="35" t="n">
        <x:v>150</x:v>
      </x:c>
      <x:c r="P28" s="35" t="n">
        <x:v>246.96</x:v>
      </x:c>
      <x:c r="Q28" s="35" t="n">
        <x:v>151.2</x:v>
      </x:c>
    </x:row>
    <x:row r="29" ht="30" customHeight="1">
      <x:c r="A29" s="26" t="str">
        <x:v>2025-06</x:v>
      </x:c>
      <x:c r="B29" s="26" t="n">
        <x:v>2025</x:v>
      </x:c>
      <x:c r="C29" s="26" t="n">
        <x:v>6</x:v>
      </x:c>
      <x:c r="D29" s="26" t="str">
        <x:v>I1工业机</x:v>
      </x:c>
      <x:c r="E29" s="26" t="str">
        <x:v>硬件</x:v>
      </x:c>
      <x:c r="F29" s="26" t="str">
        <x:v>工业级</x:v>
      </x:c>
      <x:c r="G29" s="26" t="str">
        <x:v>直销</x:v>
      </x:c>
      <x:c r="H29" s="32" t="n">
        <x:v>36</x:v>
      </x:c>
      <x:c r="I29" s="32" t="n">
        <x:v>65000</x:v>
      </x:c>
      <x:c r="J29" s="32" t="n">
        <x:v>43000</x:v>
      </x:c>
      <x:c r="K29" s="32" t="n">
        <x:v>37</x:v>
      </x:c>
      <x:c r="L29" s="32" t="n">
        <x:v>65000</x:v>
      </x:c>
      <x:c r="M29" s="32" t="n">
        <x:v>43000</x:v>
      </x:c>
      <x:c r="N29" s="35" t="n">
        <x:v>234</x:v>
      </x:c>
      <x:c r="O29" s="35" t="n">
        <x:v>154.8</x:v>
      </x:c>
      <x:c r="P29" s="35" t="n">
        <x:v>240.5</x:v>
      </x:c>
      <x:c r="Q29" s="35" t="n">
        <x:v>159.1</x:v>
      </x:c>
    </x:row>
    <x:row r="30" ht="30" customHeight="1">
      <x:c r="A30" s="26" t="str">
        <x:v>2025-06</x:v>
      </x:c>
      <x:c r="B30" s="26" t="n">
        <x:v>2025</x:v>
      </x:c>
      <x:c r="C30" s="26" t="n">
        <x:v>6</x:v>
      </x:c>
      <x:c r="D30" s="26" t="str">
        <x:v>耗材</x:v>
      </x:c>
      <x:c r="E30" s="26" t="str">
        <x:v>耗材</x:v>
      </x:c>
      <x:c r="F30" s="26" t="str">
        <x:v>PLA/树脂</x:v>
      </x:c>
      <x:c r="G30" s="26" t="str">
        <x:v>全渠道</x:v>
      </x:c>
      <x:c r="H30" s="32" t="n">
        <x:v>12395</x:v>
      </x:c>
      <x:c r="I30" s="32" t="n">
        <x:v>92</x:v>
      </x:c>
      <x:c r="J30" s="32" t="n">
        <x:v>48</x:v>
      </x:c>
      <x:c r="K30" s="32" t="n">
        <x:v>12600</x:v>
      </x:c>
      <x:c r="L30" s="32" t="n">
        <x:v>92</x:v>
      </x:c>
      <x:c r="M30" s="32" t="n">
        <x:v>48</x:v>
      </x:c>
      <x:c r="N30" s="35" t="n">
        <x:v>114.034</x:v>
      </x:c>
      <x:c r="O30" s="35" t="n">
        <x:v>59.496</x:v>
      </x:c>
      <x:c r="P30" s="35" t="n">
        <x:v>115.92</x:v>
      </x:c>
      <x:c r="Q30" s="35" t="n">
        <x:v>60.48</x:v>
      </x:c>
    </x:row>
    <x:row r="31" ht="30" customHeight="1">
      <x:c r="A31" s="26" t="str">
        <x:v>2025-07</x:v>
      </x:c>
      <x:c r="B31" s="26" t="n">
        <x:v>2025</x:v>
      </x:c>
      <x:c r="C31" s="26" t="n">
        <x:v>7</x:v>
      </x:c>
      <x:c r="D31" s="26" t="str">
        <x:v>E1桌面机</x:v>
      </x:c>
      <x:c r="E31" s="26" t="str">
        <x:v>硬件</x:v>
      </x:c>
      <x:c r="F31" s="26" t="str">
        <x:v>桌面级</x:v>
      </x:c>
      <x:c r="G31" s="26" t="str">
        <x:v>直营/电商</x:v>
      </x:c>
      <x:c r="H31" s="32" t="n">
        <x:v>708</x:v>
      </x:c>
      <x:c r="I31" s="32" t="n">
        <x:v>4200</x:v>
      </x:c>
      <x:c r="J31" s="32" t="n">
        <x:v>2700</x:v>
      </x:c>
      <x:c r="K31" s="32" t="n">
        <x:v>700</x:v>
      </x:c>
      <x:c r="L31" s="32" t="n">
        <x:v>4200</x:v>
      </x:c>
      <x:c r="M31" s="32" t="n">
        <x:v>2700</x:v>
      </x:c>
      <x:c r="N31" s="35" t="n">
        <x:v>297.36</x:v>
      </x:c>
      <x:c r="O31" s="35" t="n">
        <x:v>191.16</x:v>
      </x:c>
      <x:c r="P31" s="35" t="n">
        <x:v>294</x:v>
      </x:c>
      <x:c r="Q31" s="35" t="n">
        <x:v>189</x:v>
      </x:c>
    </x:row>
    <x:row r="32" ht="30" customHeight="1">
      <x:c r="A32" s="26" t="str">
        <x:v>2025-07</x:v>
      </x:c>
      <x:c r="B32" s="26" t="n">
        <x:v>2025</x:v>
      </x:c>
      <x:c r="C32" s="26" t="n">
        <x:v>7</x:v>
      </x:c>
      <x:c r="D32" s="26" t="str">
        <x:v>P1专业机</x:v>
      </x:c>
      <x:c r="E32" s="26" t="str">
        <x:v>硬件</x:v>
      </x:c>
      <x:c r="F32" s="26" t="str">
        <x:v>专业级</x:v>
      </x:c>
      <x:c r="G32" s="26" t="str">
        <x:v>经销商</x:v>
      </x:c>
      <x:c r="H32" s="32" t="n">
        <x:v>244</x:v>
      </x:c>
      <x:c r="I32" s="32" t="n">
        <x:v>9800</x:v>
      </x:c>
      <x:c r="J32" s="32" t="n">
        <x:v>6000</x:v>
      </x:c>
      <x:c r="K32" s="32" t="n">
        <x:v>240</x:v>
      </x:c>
      <x:c r="L32" s="32" t="n">
        <x:v>9800</x:v>
      </x:c>
      <x:c r="M32" s="32" t="n">
        <x:v>6000</x:v>
      </x:c>
      <x:c r="N32" s="35" t="n">
        <x:v>239.12</x:v>
      </x:c>
      <x:c r="O32" s="35" t="n">
        <x:v>146.4</x:v>
      </x:c>
      <x:c r="P32" s="35" t="n">
        <x:v>235.2</x:v>
      </x:c>
      <x:c r="Q32" s="35" t="n">
        <x:v>144</x:v>
      </x:c>
    </x:row>
    <x:row r="33" ht="30" customHeight="1">
      <x:c r="A33" s="26" t="str">
        <x:v>2025-07</x:v>
      </x:c>
      <x:c r="B33" s="26" t="n">
        <x:v>2025</x:v>
      </x:c>
      <x:c r="C33" s="26" t="n">
        <x:v>7</x:v>
      </x:c>
      <x:c r="D33" s="26" t="str">
        <x:v>I1工业机</x:v>
      </x:c>
      <x:c r="E33" s="26" t="str">
        <x:v>硬件</x:v>
      </x:c>
      <x:c r="F33" s="26" t="str">
        <x:v>工业级</x:v>
      </x:c>
      <x:c r="G33" s="26" t="str">
        <x:v>直销</x:v>
      </x:c>
      <x:c r="H33" s="32" t="n">
        <x:v>36</x:v>
      </x:c>
      <x:c r="I33" s="32" t="n">
        <x:v>65000</x:v>
      </x:c>
      <x:c r="J33" s="32" t="n">
        <x:v>43000</x:v>
      </x:c>
      <x:c r="K33" s="32" t="n">
        <x:v>35</x:v>
      </x:c>
      <x:c r="L33" s="32" t="n">
        <x:v>65000</x:v>
      </x:c>
      <x:c r="M33" s="32" t="n">
        <x:v>43000</x:v>
      </x:c>
      <x:c r="N33" s="35" t="n">
        <x:v>234</x:v>
      </x:c>
      <x:c r="O33" s="35" t="n">
        <x:v>154.8</x:v>
      </x:c>
      <x:c r="P33" s="35" t="n">
        <x:v>227.5</x:v>
      </x:c>
      <x:c r="Q33" s="35" t="n">
        <x:v>150.5</x:v>
      </x:c>
    </x:row>
    <x:row r="34" ht="30" customHeight="1">
      <x:c r="A34" s="26" t="str">
        <x:v>2025-07</x:v>
      </x:c>
      <x:c r="B34" s="26" t="n">
        <x:v>2025</x:v>
      </x:c>
      <x:c r="C34" s="26" t="n">
        <x:v>7</x:v>
      </x:c>
      <x:c r="D34" s="26" t="str">
        <x:v>耗材</x:v>
      </x:c>
      <x:c r="E34" s="26" t="str">
        <x:v>耗材</x:v>
      </x:c>
      <x:c r="F34" s="26" t="str">
        <x:v>PLA/树脂</x:v>
      </x:c>
      <x:c r="G34" s="26" t="str">
        <x:v>全渠道</x:v>
      </x:c>
      <x:c r="H34" s="32" t="n">
        <x:v>12059</x:v>
      </x:c>
      <x:c r="I34" s="32" t="n">
        <x:v>92</x:v>
      </x:c>
      <x:c r="J34" s="32" t="n">
        <x:v>48</x:v>
      </x:c>
      <x:c r="K34" s="32" t="n">
        <x:v>12000</x:v>
      </x:c>
      <x:c r="L34" s="32" t="n">
        <x:v>92</x:v>
      </x:c>
      <x:c r="M34" s="32" t="n">
        <x:v>48</x:v>
      </x:c>
      <x:c r="N34" s="35" t="n">
        <x:v>110.9428</x:v>
      </x:c>
      <x:c r="O34" s="35" t="n">
        <x:v>57.8832</x:v>
      </x:c>
      <x:c r="P34" s="35" t="n">
        <x:v>110.4</x:v>
      </x:c>
      <x:c r="Q34" s="35" t="n">
        <x:v>57.6</x:v>
      </x:c>
    </x:row>
    <x:row r="35" ht="30" customHeight="1">
      <x:c r="A35" s="26" t="str">
        <x:v>2025-08</x:v>
      </x:c>
      <x:c r="B35" s="26" t="n">
        <x:v>2025</x:v>
      </x:c>
      <x:c r="C35" s="26" t="n">
        <x:v>8</x:v>
      </x:c>
      <x:c r="D35" s="26" t="str">
        <x:v>E1桌面机</x:v>
      </x:c>
      <x:c r="E35" s="26" t="str">
        <x:v>硬件</x:v>
      </x:c>
      <x:c r="F35" s="26" t="str">
        <x:v>桌面级</x:v>
      </x:c>
      <x:c r="G35" s="26" t="str">
        <x:v>直营/电商</x:v>
      </x:c>
      <x:c r="H35" s="32" t="n">
        <x:v>769</x:v>
      </x:c>
      <x:c r="I35" s="32" t="n">
        <x:v>4200</x:v>
      </x:c>
      <x:c r="J35" s="32" t="n">
        <x:v>2700</x:v>
      </x:c>
      <x:c r="K35" s="32" t="n">
        <x:v>756</x:v>
      </x:c>
      <x:c r="L35" s="32" t="n">
        <x:v>4200</x:v>
      </x:c>
      <x:c r="M35" s="32" t="n">
        <x:v>2700</x:v>
      </x:c>
      <x:c r="N35" s="35" t="n">
        <x:v>322.98</x:v>
      </x:c>
      <x:c r="O35" s="35" t="n">
        <x:v>207.63</x:v>
      </x:c>
      <x:c r="P35" s="35" t="n">
        <x:v>317.52</x:v>
      </x:c>
      <x:c r="Q35" s="35" t="n">
        <x:v>204.12</x:v>
      </x:c>
    </x:row>
    <x:row r="36" ht="30" customHeight="1">
      <x:c r="A36" s="26" t="str">
        <x:v>2025-08</x:v>
      </x:c>
      <x:c r="B36" s="26" t="n">
        <x:v>2025</x:v>
      </x:c>
      <x:c r="C36" s="26" t="n">
        <x:v>8</x:v>
      </x:c>
      <x:c r="D36" s="26" t="str">
        <x:v>P1专业机</x:v>
      </x:c>
      <x:c r="E36" s="26" t="str">
        <x:v>硬件</x:v>
      </x:c>
      <x:c r="F36" s="26" t="str">
        <x:v>专业级</x:v>
      </x:c>
      <x:c r="G36" s="26" t="str">
        <x:v>经销商</x:v>
      </x:c>
      <x:c r="H36" s="32" t="n">
        <x:v>258</x:v>
      </x:c>
      <x:c r="I36" s="32" t="n">
        <x:v>9800</x:v>
      </x:c>
      <x:c r="J36" s="32" t="n">
        <x:v>6000</x:v>
      </x:c>
      <x:c r="K36" s="32" t="n">
        <x:v>259</x:v>
      </x:c>
      <x:c r="L36" s="32" t="n">
        <x:v>9800</x:v>
      </x:c>
      <x:c r="M36" s="32" t="n">
        <x:v>6000</x:v>
      </x:c>
      <x:c r="N36" s="35" t="n">
        <x:v>252.84</x:v>
      </x:c>
      <x:c r="O36" s="35" t="n">
        <x:v>154.8</x:v>
      </x:c>
      <x:c r="P36" s="35" t="n">
        <x:v>253.82</x:v>
      </x:c>
      <x:c r="Q36" s="35" t="n">
        <x:v>155.4</x:v>
      </x:c>
    </x:row>
    <x:row r="37" ht="30" customHeight="1">
      <x:c r="A37" s="26" t="str">
        <x:v>2025-08</x:v>
      </x:c>
      <x:c r="B37" s="26" t="n">
        <x:v>2025</x:v>
      </x:c>
      <x:c r="C37" s="26" t="n">
        <x:v>8</x:v>
      </x:c>
      <x:c r="D37" s="26" t="str">
        <x:v>I1工业机</x:v>
      </x:c>
      <x:c r="E37" s="26" t="str">
        <x:v>硬件</x:v>
      </x:c>
      <x:c r="F37" s="26" t="str">
        <x:v>工业级</x:v>
      </x:c>
      <x:c r="G37" s="26" t="str">
        <x:v>直销</x:v>
      </x:c>
      <x:c r="H37" s="32" t="n">
        <x:v>37</x:v>
      </x:c>
      <x:c r="I37" s="32" t="n">
        <x:v>65000</x:v>
      </x:c>
      <x:c r="J37" s="32" t="n">
        <x:v>43000</x:v>
      </x:c>
      <x:c r="K37" s="32" t="n">
        <x:v>38</x:v>
      </x:c>
      <x:c r="L37" s="32" t="n">
        <x:v>65000</x:v>
      </x:c>
      <x:c r="M37" s="32" t="n">
        <x:v>43000</x:v>
      </x:c>
      <x:c r="N37" s="35" t="n">
        <x:v>240.5</x:v>
      </x:c>
      <x:c r="O37" s="35" t="n">
        <x:v>159.1</x:v>
      </x:c>
      <x:c r="P37" s="35" t="n">
        <x:v>247</x:v>
      </x:c>
      <x:c r="Q37" s="35" t="n">
        <x:v>163.4</x:v>
      </x:c>
    </x:row>
    <x:row r="38" ht="30" customHeight="1">
      <x:c r="A38" s="26" t="str">
        <x:v>2025-08</x:v>
      </x:c>
      <x:c r="B38" s="26" t="n">
        <x:v>2025</x:v>
      </x:c>
      <x:c r="C38" s="26" t="n">
        <x:v>8</x:v>
      </x:c>
      <x:c r="D38" s="26" t="str">
        <x:v>耗材</x:v>
      </x:c>
      <x:c r="E38" s="26" t="str">
        <x:v>耗材</x:v>
      </x:c>
      <x:c r="F38" s="26" t="str">
        <x:v>PLA/树脂</x:v>
      </x:c>
      <x:c r="G38" s="26" t="str">
        <x:v>全渠道</x:v>
      </x:c>
      <x:c r="H38" s="32" t="n">
        <x:v>13089</x:v>
      </x:c>
      <x:c r="I38" s="32" t="n">
        <x:v>92</x:v>
      </x:c>
      <x:c r="J38" s="32" t="n">
        <x:v>48</x:v>
      </x:c>
      <x:c r="K38" s="32" t="n">
        <x:v>12960</x:v>
      </x:c>
      <x:c r="L38" s="32" t="n">
        <x:v>92</x:v>
      </x:c>
      <x:c r="M38" s="32" t="n">
        <x:v>48</x:v>
      </x:c>
      <x:c r="N38" s="35" t="n">
        <x:v>120.4188</x:v>
      </x:c>
      <x:c r="O38" s="35" t="n">
        <x:v>62.8272</x:v>
      </x:c>
      <x:c r="P38" s="35" t="n">
        <x:v>119.232</x:v>
      </x:c>
      <x:c r="Q38" s="35" t="n">
        <x:v>62.208</x:v>
      </x:c>
    </x:row>
    <x:row r="39" ht="30" customHeight="1">
      <x:c r="A39" s="26" t="str">
        <x:v>2025-09</x:v>
      </x:c>
      <x:c r="B39" s="26" t="n">
        <x:v>2025</x:v>
      </x:c>
      <x:c r="C39" s="26" t="n">
        <x:v>9</x:v>
      </x:c>
      <x:c r="D39" s="26" t="str">
        <x:v>E1桌面机</x:v>
      </x:c>
      <x:c r="E39" s="26" t="str">
        <x:v>硬件</x:v>
      </x:c>
      <x:c r="F39" s="26" t="str">
        <x:v>桌面级</x:v>
      </x:c>
      <x:c r="G39" s="26" t="str">
        <x:v>直营/电商</x:v>
      </x:c>
      <x:c r="H39" s="32" t="n">
        <x:v>790</x:v>
      </x:c>
      <x:c r="I39" s="32" t="n">
        <x:v>4200</x:v>
      </x:c>
      <x:c r="J39" s="32" t="n">
        <x:v>2700</x:v>
      </x:c>
      <x:c r="K39" s="32" t="n">
        <x:v>784</x:v>
      </x:c>
      <x:c r="L39" s="32" t="n">
        <x:v>4200</x:v>
      </x:c>
      <x:c r="M39" s="32" t="n">
        <x:v>2700</x:v>
      </x:c>
      <x:c r="N39" s="35" t="n">
        <x:v>331.8</x:v>
      </x:c>
      <x:c r="O39" s="35" t="n">
        <x:v>213.3</x:v>
      </x:c>
      <x:c r="P39" s="35" t="n">
        <x:v>329.28</x:v>
      </x:c>
      <x:c r="Q39" s="35" t="n">
        <x:v>211.68</x:v>
      </x:c>
    </x:row>
    <x:row r="40" ht="30" customHeight="1">
      <x:c r="A40" s="26" t="str">
        <x:v>2025-09</x:v>
      </x:c>
      <x:c r="B40" s="26" t="n">
        <x:v>2025</x:v>
      </x:c>
      <x:c r="C40" s="26" t="n">
        <x:v>9</x:v>
      </x:c>
      <x:c r="D40" s="26" t="str">
        <x:v>P1专业机</x:v>
      </x:c>
      <x:c r="E40" s="26" t="str">
        <x:v>硬件</x:v>
      </x:c>
      <x:c r="F40" s="26" t="str">
        <x:v>专业级</x:v>
      </x:c>
      <x:c r="G40" s="26" t="str">
        <x:v>经销商</x:v>
      </x:c>
      <x:c r="H40" s="32" t="n">
        <x:v>265</x:v>
      </x:c>
      <x:c r="I40" s="32" t="n">
        <x:v>9800</x:v>
      </x:c>
      <x:c r="J40" s="32" t="n">
        <x:v>6000</x:v>
      </x:c>
      <x:c r="K40" s="32" t="n">
        <x:v>269</x:v>
      </x:c>
      <x:c r="L40" s="32" t="n">
        <x:v>9800</x:v>
      </x:c>
      <x:c r="M40" s="32" t="n">
        <x:v>6000</x:v>
      </x:c>
      <x:c r="N40" s="35" t="n">
        <x:v>259.7</x:v>
      </x:c>
      <x:c r="O40" s="35" t="n">
        <x:v>159</x:v>
      </x:c>
      <x:c r="P40" s="35" t="n">
        <x:v>263.62</x:v>
      </x:c>
      <x:c r="Q40" s="35" t="n">
        <x:v>161.4</x:v>
      </x:c>
    </x:row>
    <x:row r="41" ht="30" customHeight="1">
      <x:c r="A41" s="26" t="str">
        <x:v>2025-09</x:v>
      </x:c>
      <x:c r="B41" s="26" t="n">
        <x:v>2025</x:v>
      </x:c>
      <x:c r="C41" s="26" t="n">
        <x:v>9</x:v>
      </x:c>
      <x:c r="D41" s="26" t="str">
        <x:v>I1工业机</x:v>
      </x:c>
      <x:c r="E41" s="26" t="str">
        <x:v>硬件</x:v>
      </x:c>
      <x:c r="F41" s="26" t="str">
        <x:v>工业级</x:v>
      </x:c>
      <x:c r="G41" s="26" t="str">
        <x:v>直销</x:v>
      </x:c>
      <x:c r="H41" s="32" t="n">
        <x:v>40</x:v>
      </x:c>
      <x:c r="I41" s="32" t="n">
        <x:v>65000</x:v>
      </x:c>
      <x:c r="J41" s="32" t="n">
        <x:v>43000</x:v>
      </x:c>
      <x:c r="K41" s="32" t="n">
        <x:v>39</x:v>
      </x:c>
      <x:c r="L41" s="32" t="n">
        <x:v>65000</x:v>
      </x:c>
      <x:c r="M41" s="32" t="n">
        <x:v>43000</x:v>
      </x:c>
      <x:c r="N41" s="35" t="n">
        <x:v>260</x:v>
      </x:c>
      <x:c r="O41" s="35" t="n">
        <x:v>172</x:v>
      </x:c>
      <x:c r="P41" s="35" t="n">
        <x:v>253.5</x:v>
      </x:c>
      <x:c r="Q41" s="35" t="n">
        <x:v>167.7</x:v>
      </x:c>
    </x:row>
    <x:row r="42" ht="30" customHeight="1">
      <x:c r="A42" s="26" t="str">
        <x:v>2025-09</x:v>
      </x:c>
      <x:c r="B42" s="26" t="n">
        <x:v>2025</x:v>
      </x:c>
      <x:c r="C42" s="26" t="n">
        <x:v>9</x:v>
      </x:c>
      <x:c r="D42" s="26" t="str">
        <x:v>耗材</x:v>
      </x:c>
      <x:c r="E42" s="26" t="str">
        <x:v>耗材</x:v>
      </x:c>
      <x:c r="F42" s="26" t="str">
        <x:v>PLA/树脂</x:v>
      </x:c>
      <x:c r="G42" s="26" t="str">
        <x:v>全渠道</x:v>
      </x:c>
      <x:c r="H42" s="32" t="n">
        <x:v>13200</x:v>
      </x:c>
      <x:c r="I42" s="32" t="n">
        <x:v>92</x:v>
      </x:c>
      <x:c r="J42" s="32" t="n">
        <x:v>48</x:v>
      </x:c>
      <x:c r="K42" s="32" t="n">
        <x:v>13440</x:v>
      </x:c>
      <x:c r="L42" s="32" t="n">
        <x:v>92</x:v>
      </x:c>
      <x:c r="M42" s="32" t="n">
        <x:v>48</x:v>
      </x:c>
      <x:c r="N42" s="35" t="n">
        <x:v>121.44</x:v>
      </x:c>
      <x:c r="O42" s="35" t="n">
        <x:v>63.36</x:v>
      </x:c>
      <x:c r="P42" s="35" t="n">
        <x:v>123.648</x:v>
      </x:c>
      <x:c r="Q42" s="35" t="n">
        <x:v>64.512</x:v>
      </x:c>
    </x:row>
    <x:row r="43" ht="30" customHeight="1">
      <x:c r="A43" s="26" t="str">
        <x:v>2025-10</x:v>
      </x:c>
      <x:c r="B43" s="26" t="n">
        <x:v>2025</x:v>
      </x:c>
      <x:c r="C43" s="26" t="n">
        <x:v>10</x:v>
      </x:c>
      <x:c r="D43" s="26" t="str">
        <x:v>E1桌面机</x:v>
      </x:c>
      <x:c r="E43" s="26" t="str">
        <x:v>硬件</x:v>
      </x:c>
      <x:c r="F43" s="26" t="str">
        <x:v>桌面级</x:v>
      </x:c>
      <x:c r="G43" s="26" t="str">
        <x:v>直营/电商</x:v>
      </x:c>
      <x:c r="H43" s="32" t="n">
        <x:v>804</x:v>
      </x:c>
      <x:c r="I43" s="32" t="n">
        <x:v>4200</x:v>
      </x:c>
      <x:c r="J43" s="32" t="n">
        <x:v>2700</x:v>
      </x:c>
      <x:c r="K43" s="32" t="n">
        <x:v>812</x:v>
      </x:c>
      <x:c r="L43" s="32" t="n">
        <x:v>4200</x:v>
      </x:c>
      <x:c r="M43" s="32" t="n">
        <x:v>2700</x:v>
      </x:c>
      <x:c r="N43" s="35" t="n">
        <x:v>337.68</x:v>
      </x:c>
      <x:c r="O43" s="35" t="n">
        <x:v>217.08</x:v>
      </x:c>
      <x:c r="P43" s="35" t="n">
        <x:v>341.04</x:v>
      </x:c>
      <x:c r="Q43" s="35" t="n">
        <x:v>219.24</x:v>
      </x:c>
    </x:row>
    <x:row r="44" ht="30" customHeight="1">
      <x:c r="A44" s="26" t="str">
        <x:v>2025-10</x:v>
      </x:c>
      <x:c r="B44" s="26" t="n">
        <x:v>2025</x:v>
      </x:c>
      <x:c r="C44" s="26" t="n">
        <x:v>10</x:v>
      </x:c>
      <x:c r="D44" s="26" t="str">
        <x:v>P1专业机</x:v>
      </x:c>
      <x:c r="E44" s="26" t="str">
        <x:v>硬件</x:v>
      </x:c>
      <x:c r="F44" s="26" t="str">
        <x:v>专业级</x:v>
      </x:c>
      <x:c r="G44" s="26" t="str">
        <x:v>经销商</x:v>
      </x:c>
      <x:c r="H44" s="32" t="n">
        <x:v>283</x:v>
      </x:c>
      <x:c r="I44" s="32" t="n">
        <x:v>9800</x:v>
      </x:c>
      <x:c r="J44" s="32" t="n">
        <x:v>6000</x:v>
      </x:c>
      <x:c r="K44" s="32" t="n">
        <x:v>278</x:v>
      </x:c>
      <x:c r="L44" s="32" t="n">
        <x:v>9800</x:v>
      </x:c>
      <x:c r="M44" s="32" t="n">
        <x:v>6000</x:v>
      </x:c>
      <x:c r="N44" s="35" t="n">
        <x:v>277.34</x:v>
      </x:c>
      <x:c r="O44" s="35" t="n">
        <x:v>169.8</x:v>
      </x:c>
      <x:c r="P44" s="35" t="n">
        <x:v>272.44</x:v>
      </x:c>
      <x:c r="Q44" s="35" t="n">
        <x:v>166.8</x:v>
      </x:c>
    </x:row>
    <x:row r="45" ht="30" customHeight="1">
      <x:c r="A45" s="26" t="str">
        <x:v>2025-10</x:v>
      </x:c>
      <x:c r="B45" s="26" t="n">
        <x:v>2025</x:v>
      </x:c>
      <x:c r="C45" s="26" t="n">
        <x:v>10</x:v>
      </x:c>
      <x:c r="D45" s="26" t="str">
        <x:v>I1工业机</x:v>
      </x:c>
      <x:c r="E45" s="26" t="str">
        <x:v>硬件</x:v>
      </x:c>
      <x:c r="F45" s="26" t="str">
        <x:v>工业级</x:v>
      </x:c>
      <x:c r="G45" s="26" t="str">
        <x:v>直销</x:v>
      </x:c>
      <x:c r="H45" s="32" t="n">
        <x:v>40</x:v>
      </x:c>
      <x:c r="I45" s="32" t="n">
        <x:v>65000</x:v>
      </x:c>
      <x:c r="J45" s="32" t="n">
        <x:v>43000</x:v>
      </x:c>
      <x:c r="K45" s="32" t="n">
        <x:v>41</x:v>
      </x:c>
      <x:c r="L45" s="32" t="n">
        <x:v>65000</x:v>
      </x:c>
      <x:c r="M45" s="32" t="n">
        <x:v>43000</x:v>
      </x:c>
      <x:c r="N45" s="35" t="n">
        <x:v>260</x:v>
      </x:c>
      <x:c r="O45" s="35" t="n">
        <x:v>172</x:v>
      </x:c>
      <x:c r="P45" s="35" t="n">
        <x:v>266.5</x:v>
      </x:c>
      <x:c r="Q45" s="35" t="n">
        <x:v>176.3</x:v>
      </x:c>
    </x:row>
    <x:row r="46" ht="30" customHeight="1">
      <x:c r="A46" s="26" t="str">
        <x:v>2025-10</x:v>
      </x:c>
      <x:c r="B46" s="26" t="n">
        <x:v>2025</x:v>
      </x:c>
      <x:c r="C46" s="26" t="n">
        <x:v>10</x:v>
      </x:c>
      <x:c r="D46" s="26" t="str">
        <x:v>耗材</x:v>
      </x:c>
      <x:c r="E46" s="26" t="str">
        <x:v>耗材</x:v>
      </x:c>
      <x:c r="F46" s="26" t="str">
        <x:v>PLA/树脂</x:v>
      </x:c>
      <x:c r="G46" s="26" t="str">
        <x:v>全渠道</x:v>
      </x:c>
      <x:c r="H46" s="32" t="n">
        <x:v>14107</x:v>
      </x:c>
      <x:c r="I46" s="32" t="n">
        <x:v>92</x:v>
      </x:c>
      <x:c r="J46" s="32" t="n">
        <x:v>48</x:v>
      </x:c>
      <x:c r="K46" s="32" t="n">
        <x:v>13920</x:v>
      </x:c>
      <x:c r="L46" s="32" t="n">
        <x:v>92</x:v>
      </x:c>
      <x:c r="M46" s="32" t="n">
        <x:v>48</x:v>
      </x:c>
      <x:c r="N46" s="35" t="n">
        <x:v>129.7844</x:v>
      </x:c>
      <x:c r="O46" s="35" t="n">
        <x:v>67.7136</x:v>
      </x:c>
      <x:c r="P46" s="35" t="n">
        <x:v>128.064</x:v>
      </x:c>
      <x:c r="Q46" s="35" t="n">
        <x:v>66.816</x:v>
      </x:c>
    </x:row>
    <x:row r="47" ht="30" customHeight="1">
      <x:c r="A47" s="26" t="str">
        <x:v>2025-11</x:v>
      </x:c>
      <x:c r="B47" s="26" t="n">
        <x:v>2025</x:v>
      </x:c>
      <x:c r="C47" s="26" t="n">
        <x:v>11</x:v>
      </x:c>
      <x:c r="D47" s="26" t="str">
        <x:v>E1桌面机</x:v>
      </x:c>
      <x:c r="E47" s="26" t="str">
        <x:v>硬件</x:v>
      </x:c>
      <x:c r="F47" s="26" t="str">
        <x:v>桌面级</x:v>
      </x:c>
      <x:c r="G47" s="26" t="str">
        <x:v>直营/电商</x:v>
      </x:c>
      <x:c r="H47" s="32" t="n">
        <x:v>839</x:v>
      </x:c>
      <x:c r="I47" s="32" t="n">
        <x:v>4200</x:v>
      </x:c>
      <x:c r="J47" s="32" t="n">
        <x:v>2700</x:v>
      </x:c>
      <x:c r="K47" s="32" t="n">
        <x:v>854</x:v>
      </x:c>
      <x:c r="L47" s="32" t="n">
        <x:v>4200</x:v>
      </x:c>
      <x:c r="M47" s="32" t="n">
        <x:v>2700</x:v>
      </x:c>
      <x:c r="N47" s="35" t="n">
        <x:v>352.38</x:v>
      </x:c>
      <x:c r="O47" s="35" t="n">
        <x:v>226.53</x:v>
      </x:c>
      <x:c r="P47" s="35" t="n">
        <x:v>358.68</x:v>
      </x:c>
      <x:c r="Q47" s="35" t="n">
        <x:v>230.58</x:v>
      </x:c>
    </x:row>
    <x:row r="48" ht="30" customHeight="1">
      <x:c r="A48" s="26" t="str">
        <x:v>2025-11</x:v>
      </x:c>
      <x:c r="B48" s="26" t="n">
        <x:v>2025</x:v>
      </x:c>
      <x:c r="C48" s="26" t="n">
        <x:v>11</x:v>
      </x:c>
      <x:c r="D48" s="26" t="str">
        <x:v>P1专业机</x:v>
      </x:c>
      <x:c r="E48" s="26" t="str">
        <x:v>硬件</x:v>
      </x:c>
      <x:c r="F48" s="26" t="str">
        <x:v>专业级</x:v>
      </x:c>
      <x:c r="G48" s="26" t="str">
        <x:v>经销商</x:v>
      </x:c>
      <x:c r="H48" s="32" t="n">
        <x:v>293</x:v>
      </x:c>
      <x:c r="I48" s="32" t="n">
        <x:v>9800</x:v>
      </x:c>
      <x:c r="J48" s="32" t="n">
        <x:v>6000</x:v>
      </x:c>
      <x:c r="K48" s="32" t="n">
        <x:v>293</x:v>
      </x:c>
      <x:c r="L48" s="32" t="n">
        <x:v>9800</x:v>
      </x:c>
      <x:c r="M48" s="32" t="n">
        <x:v>6000</x:v>
      </x:c>
      <x:c r="N48" s="35" t="n">
        <x:v>287.14</x:v>
      </x:c>
      <x:c r="O48" s="35" t="n">
        <x:v>175.8</x:v>
      </x:c>
      <x:c r="P48" s="35" t="n">
        <x:v>287.14</x:v>
      </x:c>
      <x:c r="Q48" s="35" t="n">
        <x:v>175.8</x:v>
      </x:c>
    </x:row>
    <x:row r="49" ht="30" customHeight="1">
      <x:c r="A49" s="26" t="str">
        <x:v>2025-11</x:v>
      </x:c>
      <x:c r="B49" s="26" t="n">
        <x:v>2025</x:v>
      </x:c>
      <x:c r="C49" s="26" t="n">
        <x:v>11</x:v>
      </x:c>
      <x:c r="D49" s="26" t="str">
        <x:v>I1工业机</x:v>
      </x:c>
      <x:c r="E49" s="26" t="str">
        <x:v>硬件</x:v>
      </x:c>
      <x:c r="F49" s="26" t="str">
        <x:v>工业级</x:v>
      </x:c>
      <x:c r="G49" s="26" t="str">
        <x:v>直销</x:v>
      </x:c>
      <x:c r="H49" s="32" t="n">
        <x:v>43</x:v>
      </x:c>
      <x:c r="I49" s="32" t="n">
        <x:v>65000</x:v>
      </x:c>
      <x:c r="J49" s="32" t="n">
        <x:v>43000</x:v>
      </x:c>
      <x:c r="K49" s="32" t="n">
        <x:v>43</x:v>
      </x:c>
      <x:c r="L49" s="32" t="n">
        <x:v>65000</x:v>
      </x:c>
      <x:c r="M49" s="32" t="n">
        <x:v>43000</x:v>
      </x:c>
      <x:c r="N49" s="35" t="n">
        <x:v>279.5</x:v>
      </x:c>
      <x:c r="O49" s="35" t="n">
        <x:v>184.9</x:v>
      </x:c>
      <x:c r="P49" s="35" t="n">
        <x:v>279.5</x:v>
      </x:c>
      <x:c r="Q49" s="35" t="n">
        <x:v>184.9</x:v>
      </x:c>
    </x:row>
    <x:row r="50" ht="30" customHeight="1">
      <x:c r="A50" s="26" t="str">
        <x:v>2025-11</x:v>
      </x:c>
      <x:c r="B50" s="26" t="n">
        <x:v>2025</x:v>
      </x:c>
      <x:c r="C50" s="26" t="n">
        <x:v>11</x:v>
      </x:c>
      <x:c r="D50" s="26" t="str">
        <x:v>耗材</x:v>
      </x:c>
      <x:c r="E50" s="26" t="str">
        <x:v>耗材</x:v>
      </x:c>
      <x:c r="F50" s="26" t="str">
        <x:v>PLA/树脂</x:v>
      </x:c>
      <x:c r="G50" s="26" t="str">
        <x:v>全渠道</x:v>
      </x:c>
      <x:c r="H50" s="32" t="n">
        <x:v>14645</x:v>
      </x:c>
      <x:c r="I50" s="32" t="n">
        <x:v>92</x:v>
      </x:c>
      <x:c r="J50" s="32" t="n">
        <x:v>48</x:v>
      </x:c>
      <x:c r="K50" s="32" t="n">
        <x:v>14640</x:v>
      </x:c>
      <x:c r="L50" s="32" t="n">
        <x:v>92</x:v>
      </x:c>
      <x:c r="M50" s="32" t="n">
        <x:v>48</x:v>
      </x:c>
      <x:c r="N50" s="35" t="n">
        <x:v>134.734</x:v>
      </x:c>
      <x:c r="O50" s="35" t="n">
        <x:v>70.296</x:v>
      </x:c>
      <x:c r="P50" s="35" t="n">
        <x:v>134.688</x:v>
      </x:c>
      <x:c r="Q50" s="35" t="n">
        <x:v>70.272</x:v>
      </x:c>
    </x:row>
    <x:row r="51" ht="30" customHeight="1">
      <x:c r="A51" s="26" t="str">
        <x:v>2025-12</x:v>
      </x:c>
      <x:c r="B51" s="26" t="n">
        <x:v>2025</x:v>
      </x:c>
      <x:c r="C51" s="26" t="n">
        <x:v>12</x:v>
      </x:c>
      <x:c r="D51" s="26" t="str">
        <x:v>E1桌面机</x:v>
      </x:c>
      <x:c r="E51" s="26" t="str">
        <x:v>硬件</x:v>
      </x:c>
      <x:c r="F51" s="26" t="str">
        <x:v>桌面级</x:v>
      </x:c>
      <x:c r="G51" s="26" t="str">
        <x:v>直营/电商</x:v>
      </x:c>
      <x:c r="H51" s="32" t="n">
        <x:v>936</x:v>
      </x:c>
      <x:c r="I51" s="32" t="n">
        <x:v>4200</x:v>
      </x:c>
      <x:c r="J51" s="32" t="n">
        <x:v>2700</x:v>
      </x:c>
      <x:c r="K51" s="32" t="n">
        <x:v>945</x:v>
      </x:c>
      <x:c r="L51" s="32" t="n">
        <x:v>4200</x:v>
      </x:c>
      <x:c r="M51" s="32" t="n">
        <x:v>2700</x:v>
      </x:c>
      <x:c r="N51" s="35" t="n">
        <x:v>393.12</x:v>
      </x:c>
      <x:c r="O51" s="35" t="n">
        <x:v>252.72</x:v>
      </x:c>
      <x:c r="P51" s="35" t="n">
        <x:v>396.9</x:v>
      </x:c>
      <x:c r="Q51" s="35" t="n">
        <x:v>255.15</x:v>
      </x:c>
    </x:row>
    <x:row r="52" ht="30" customHeight="1">
      <x:c r="A52" s="26" t="str">
        <x:v>2025-12</x:v>
      </x:c>
      <x:c r="B52" s="26" t="n">
        <x:v>2025</x:v>
      </x:c>
      <x:c r="C52" s="26" t="n">
        <x:v>12</x:v>
      </x:c>
      <x:c r="D52" s="26" t="str">
        <x:v>P1专业机</x:v>
      </x:c>
      <x:c r="E52" s="26" t="str">
        <x:v>硬件</x:v>
      </x:c>
      <x:c r="F52" s="26" t="str">
        <x:v>专业级</x:v>
      </x:c>
      <x:c r="G52" s="26" t="str">
        <x:v>经销商</x:v>
      </x:c>
      <x:c r="H52" s="32" t="n">
        <x:v>319</x:v>
      </x:c>
      <x:c r="I52" s="32" t="n">
        <x:v>9800</x:v>
      </x:c>
      <x:c r="J52" s="32" t="n">
        <x:v>6000</x:v>
      </x:c>
      <x:c r="K52" s="32" t="n">
        <x:v>324</x:v>
      </x:c>
      <x:c r="L52" s="32" t="n">
        <x:v>9800</x:v>
      </x:c>
      <x:c r="M52" s="32" t="n">
        <x:v>6000</x:v>
      </x:c>
      <x:c r="N52" s="35" t="n">
        <x:v>312.62</x:v>
      </x:c>
      <x:c r="O52" s="35" t="n">
        <x:v>191.4</x:v>
      </x:c>
      <x:c r="P52" s="35" t="n">
        <x:v>317.52</x:v>
      </x:c>
      <x:c r="Q52" s="35" t="n">
        <x:v>194.4</x:v>
      </x:c>
    </x:row>
    <x:row r="53" ht="30" customHeight="1">
      <x:c r="A53" s="26" t="str">
        <x:v>2025-12</x:v>
      </x:c>
      <x:c r="B53" s="26" t="n">
        <x:v>2025</x:v>
      </x:c>
      <x:c r="C53" s="26" t="n">
        <x:v>12</x:v>
      </x:c>
      <x:c r="D53" s="26" t="str">
        <x:v>I1工业机</x:v>
      </x:c>
      <x:c r="E53" s="26" t="str">
        <x:v>硬件</x:v>
      </x:c>
      <x:c r="F53" s="26" t="str">
        <x:v>工业级</x:v>
      </x:c>
      <x:c r="G53" s="26" t="str">
        <x:v>直销</x:v>
      </x:c>
      <x:c r="H53" s="32" t="n">
        <x:v>46</x:v>
      </x:c>
      <x:c r="I53" s="32" t="n">
        <x:v>65000</x:v>
      </x:c>
      <x:c r="J53" s="32" t="n">
        <x:v>43000</x:v>
      </x:c>
      <x:c r="K53" s="32" t="n">
        <x:v>47</x:v>
      </x:c>
      <x:c r="L53" s="32" t="n">
        <x:v>65000</x:v>
      </x:c>
      <x:c r="M53" s="32" t="n">
        <x:v>43000</x:v>
      </x:c>
      <x:c r="N53" s="35" t="n">
        <x:v>299</x:v>
      </x:c>
      <x:c r="O53" s="35" t="n">
        <x:v>197.8</x:v>
      </x:c>
      <x:c r="P53" s="35" t="n">
        <x:v>305.5</x:v>
      </x:c>
      <x:c r="Q53" s="35" t="n">
        <x:v>202.1</x:v>
      </x:c>
    </x:row>
    <x:row r="54" ht="30" customHeight="1">
      <x:c r="A54" s="26" t="str">
        <x:v>2025-12</x:v>
      </x:c>
      <x:c r="B54" s="26" t="n">
        <x:v>2025</x:v>
      </x:c>
      <x:c r="C54" s="26" t="n">
        <x:v>12</x:v>
      </x:c>
      <x:c r="D54" s="26" t="str">
        <x:v>耗材</x:v>
      </x:c>
      <x:c r="E54" s="26" t="str">
        <x:v>耗材</x:v>
      </x:c>
      <x:c r="F54" s="26" t="str">
        <x:v>PLA/树脂</x:v>
      </x:c>
      <x:c r="G54" s="26" t="str">
        <x:v>全渠道</x:v>
      </x:c>
      <x:c r="H54" s="32" t="n">
        <x:v>15976</x:v>
      </x:c>
      <x:c r="I54" s="32" t="n">
        <x:v>92</x:v>
      </x:c>
      <x:c r="J54" s="32" t="n">
        <x:v>48</x:v>
      </x:c>
      <x:c r="K54" s="32" t="n">
        <x:v>16200</x:v>
      </x:c>
      <x:c r="L54" s="32" t="n">
        <x:v>92</x:v>
      </x:c>
      <x:c r="M54" s="32" t="n">
        <x:v>48</x:v>
      </x:c>
      <x:c r="N54" s="35" t="n">
        <x:v>146.9792</x:v>
      </x:c>
      <x:c r="O54" s="35" t="n">
        <x:v>76.6848</x:v>
      </x:c>
      <x:c r="P54" s="35" t="n">
        <x:v>149.04</x:v>
      </x:c>
      <x:c r="Q54" s="35" t="n">
        <x:v>77.76</x:v>
      </x:c>
    </x:row>
    <x:row r="55" ht="30" customHeight="1">
      <x:c r="A55" s="26" t="str">
        <x:v>2026-01</x:v>
      </x:c>
      <x:c r="B55" s="26" t="n">
        <x:v>2026</x:v>
      </x:c>
      <x:c r="C55" s="26" t="n">
        <x:v>1</x:v>
      </x:c>
      <x:c r="D55" s="26" t="str">
        <x:v>E1桌面机</x:v>
      </x:c>
      <x:c r="E55" s="26" t="str">
        <x:v>硬件</x:v>
      </x:c>
      <x:c r="F55" s="26" t="str">
        <x:v>桌面级</x:v>
      </x:c>
      <x:c r="G55" s="26" t="str">
        <x:v>直营/电商</x:v>
      </x:c>
      <x:c r="H55" s="32" t="n">
        <x:v>654</x:v>
      </x:c>
      <x:c r="I55" s="32" t="n">
        <x:v>3990</x:v>
      </x:c>
      <x:c r="J55" s="32" t="n">
        <x:v>2989</x:v>
      </x:c>
      <x:c r="K55" s="32" t="n">
        <x:v>689</x:v>
      </x:c>
      <x:c r="L55" s="32" t="n">
        <x:v>4200</x:v>
      </x:c>
      <x:c r="M55" s="32" t="n">
        <x:v>2781</x:v>
      </x:c>
      <x:c r="N55" s="35" t="n">
        <x:v>260.946</x:v>
      </x:c>
      <x:c r="O55" s="35" t="n">
        <x:v>195.4806</x:v>
      </x:c>
      <x:c r="P55" s="35" t="n">
        <x:v>289.38</x:v>
      </x:c>
      <x:c r="Q55" s="35" t="n">
        <x:v>191.6109</x:v>
      </x:c>
    </x:row>
    <x:row r="56" ht="30" customHeight="1">
      <x:c r="A56" s="26" t="str">
        <x:v>2026-01</x:v>
      </x:c>
      <x:c r="B56" s="26" t="n">
        <x:v>2026</x:v>
      </x:c>
      <x:c r="C56" s="26" t="n">
        <x:v>1</x:v>
      </x:c>
      <x:c r="D56" s="26" t="str">
        <x:v>P1专业机</x:v>
      </x:c>
      <x:c r="E56" s="26" t="str">
        <x:v>硬件</x:v>
      </x:c>
      <x:c r="F56" s="26" t="str">
        <x:v>专业级</x:v>
      </x:c>
      <x:c r="G56" s="26" t="str">
        <x:v>经销商</x:v>
      </x:c>
      <x:c r="H56" s="32" t="n">
        <x:v>247</x:v>
      </x:c>
      <x:c r="I56" s="32" t="n">
        <x:v>9604</x:v>
      </x:c>
      <x:c r="J56" s="32" t="n">
        <x:v>6580</x:v>
      </x:c>
      <x:c r="K56" s="32" t="n">
        <x:v>256</x:v>
      </x:c>
      <x:c r="L56" s="32" t="n">
        <x:v>9898</x:v>
      </x:c>
      <x:c r="M56" s="32" t="n">
        <x:v>6180</x:v>
      </x:c>
      <x:c r="N56" s="35" t="n">
        <x:v>237.2188</x:v>
      </x:c>
      <x:c r="O56" s="35" t="n">
        <x:v>162.526</x:v>
      </x:c>
      <x:c r="P56" s="35" t="n">
        <x:v>253.3888</x:v>
      </x:c>
      <x:c r="Q56" s="35" t="n">
        <x:v>158.208</x:v>
      </x:c>
    </x:row>
    <x:row r="57" ht="30" customHeight="1">
      <x:c r="A57" s="26" t="str">
        <x:v>2026-01</x:v>
      </x:c>
      <x:c r="B57" s="26" t="n">
        <x:v>2026</x:v>
      </x:c>
      <x:c r="C57" s="26" t="n">
        <x:v>1</x:v>
      </x:c>
      <x:c r="D57" s="26" t="str">
        <x:v>I1工业机</x:v>
      </x:c>
      <x:c r="E57" s="26" t="str">
        <x:v>硬件</x:v>
      </x:c>
      <x:c r="F57" s="26" t="str">
        <x:v>工业级</x:v>
      </x:c>
      <x:c r="G57" s="26" t="str">
        <x:v>直销</x:v>
      </x:c>
      <x:c r="H57" s="32" t="n">
        <x:v>32</x:v>
      </x:c>
      <x:c r="I57" s="32" t="n">
        <x:v>65650</x:v>
      </x:c>
      <x:c r="J57" s="32" t="n">
        <x:v>46719</x:v>
      </x:c>
      <x:c r="K57" s="32" t="n">
        <x:v>34</x:v>
      </x:c>
      <x:c r="L57" s="32" t="n">
        <x:v>66300</x:v>
      </x:c>
      <x:c r="M57" s="32" t="n">
        <x:v>44290</x:v>
      </x:c>
      <x:c r="N57" s="35" t="n">
        <x:v>210.08</x:v>
      </x:c>
      <x:c r="O57" s="35" t="n">
        <x:v>149.5008</x:v>
      </x:c>
      <x:c r="P57" s="35" t="n">
        <x:v>225.42</x:v>
      </x:c>
      <x:c r="Q57" s="35" t="n">
        <x:v>150.586</x:v>
      </x:c>
    </x:row>
    <x:row r="58" ht="30" customHeight="1">
      <x:c r="A58" s="26" t="str">
        <x:v>2026-01</x:v>
      </x:c>
      <x:c r="B58" s="26" t="n">
        <x:v>2026</x:v>
      </x:c>
      <x:c r="C58" s="26" t="n">
        <x:v>1</x:v>
      </x:c>
      <x:c r="D58" s="26" t="str">
        <x:v>耗材</x:v>
      </x:c>
      <x:c r="E58" s="26" t="str">
        <x:v>耗材</x:v>
      </x:c>
      <x:c r="F58" s="26" t="str">
        <x:v>PLA/树脂</x:v>
      </x:c>
      <x:c r="G58" s="26" t="str">
        <x:v>全渠道</x:v>
      </x:c>
      <x:c r="H58" s="32" t="n">
        <x:v>15222</x:v>
      </x:c>
      <x:c r="I58" s="32" t="n">
        <x:v>95</x:v>
      </x:c>
      <x:c r="J58" s="32" t="n">
        <x:v>55</x:v>
      </x:c>
      <x:c r="K58" s="32" t="n">
        <x:v>13973</x:v>
      </x:c>
      <x:c r="L58" s="32" t="n">
        <x:v>96</x:v>
      </x:c>
      <x:c r="M58" s="32" t="n">
        <x:v>50</x:v>
      </x:c>
      <x:c r="N58" s="35" t="n">
        <x:v>144.609</x:v>
      </x:c>
      <x:c r="O58" s="35" t="n">
        <x:v>83.721</x:v>
      </x:c>
      <x:c r="P58" s="35" t="n">
        <x:v>134.1408</x:v>
      </x:c>
      <x:c r="Q58" s="35" t="n">
        <x:v>69.865</x:v>
      </x:c>
    </x:row>
    <x:row r="59" ht="30" customHeight="1">
      <x:c r="A59" s="26" t="str">
        <x:v>2026-02</x:v>
      </x:c>
      <x:c r="B59" s="26" t="n">
        <x:v>2026</x:v>
      </x:c>
      <x:c r="C59" s="26" t="n">
        <x:v>2</x:v>
      </x:c>
      <x:c r="D59" s="26" t="str">
        <x:v>E1桌面机</x:v>
      </x:c>
      <x:c r="E59" s="26" t="str">
        <x:v>硬件</x:v>
      </x:c>
      <x:c r="F59" s="26" t="str">
        <x:v>桌面级</x:v>
      </x:c>
      <x:c r="G59" s="26" t="str">
        <x:v>直营/电商</x:v>
      </x:c>
      <x:c r="H59" s="32" t="n">
        <x:v>628</x:v>
      </x:c>
      <x:c r="I59" s="32" t="n">
        <x:v>3990</x:v>
      </x:c>
      <x:c r="J59" s="32" t="n">
        <x:v>2989</x:v>
      </x:c>
      <x:c r="K59" s="32" t="n">
        <x:v>655</x:v>
      </x:c>
      <x:c r="L59" s="32" t="n">
        <x:v>4200</x:v>
      </x:c>
      <x:c r="M59" s="32" t="n">
        <x:v>2781</x:v>
      </x:c>
      <x:c r="N59" s="35" t="n">
        <x:v>250.572</x:v>
      </x:c>
      <x:c r="O59" s="35" t="n">
        <x:v>187.7092</x:v>
      </x:c>
      <x:c r="P59" s="35" t="n">
        <x:v>275.1</x:v>
      </x:c>
      <x:c r="Q59" s="35" t="n">
        <x:v>182.1555</x:v>
      </x:c>
    </x:row>
    <x:row r="60" ht="30" customHeight="1">
      <x:c r="A60" s="26" t="str">
        <x:v>2026-02</x:v>
      </x:c>
      <x:c r="B60" s="26" t="n">
        <x:v>2026</x:v>
      </x:c>
      <x:c r="C60" s="26" t="n">
        <x:v>2</x:v>
      </x:c>
      <x:c r="D60" s="26" t="str">
        <x:v>P1专业机</x:v>
      </x:c>
      <x:c r="E60" s="26" t="str">
        <x:v>硬件</x:v>
      </x:c>
      <x:c r="F60" s="26" t="str">
        <x:v>专业级</x:v>
      </x:c>
      <x:c r="G60" s="26" t="str">
        <x:v>经销商</x:v>
      </x:c>
      <x:c r="H60" s="32" t="n">
        <x:v>233</x:v>
      </x:c>
      <x:c r="I60" s="32" t="n">
        <x:v>9604</x:v>
      </x:c>
      <x:c r="J60" s="32" t="n">
        <x:v>6580</x:v>
      </x:c>
      <x:c r="K60" s="32" t="n">
        <x:v>243</x:v>
      </x:c>
      <x:c r="L60" s="32" t="n">
        <x:v>9898</x:v>
      </x:c>
      <x:c r="M60" s="32" t="n">
        <x:v>6180</x:v>
      </x:c>
      <x:c r="N60" s="35" t="n">
        <x:v>223.7732</x:v>
      </x:c>
      <x:c r="O60" s="35" t="n">
        <x:v>153.314</x:v>
      </x:c>
      <x:c r="P60" s="35" t="n">
        <x:v>240.5214</x:v>
      </x:c>
      <x:c r="Q60" s="35" t="n">
        <x:v>150.174</x:v>
      </x:c>
    </x:row>
    <x:row r="61" ht="30" customHeight="1">
      <x:c r="A61" s="26" t="str">
        <x:v>2026-02</x:v>
      </x:c>
      <x:c r="B61" s="26" t="n">
        <x:v>2026</x:v>
      </x:c>
      <x:c r="C61" s="26" t="n">
        <x:v>2</x:v>
      </x:c>
      <x:c r="D61" s="26" t="str">
        <x:v>I1工业机</x:v>
      </x:c>
      <x:c r="E61" s="26" t="str">
        <x:v>硬件</x:v>
      </x:c>
      <x:c r="F61" s="26" t="str">
        <x:v>工业级</x:v>
      </x:c>
      <x:c r="G61" s="26" t="str">
        <x:v>直销</x:v>
      </x:c>
      <x:c r="H61" s="32" t="n">
        <x:v>29</x:v>
      </x:c>
      <x:c r="I61" s="32" t="n">
        <x:v>65650</x:v>
      </x:c>
      <x:c r="J61" s="32" t="n">
        <x:v>46719</x:v>
      </x:c>
      <x:c r="K61" s="32" t="n">
        <x:v>32</x:v>
      </x:c>
      <x:c r="L61" s="32" t="n">
        <x:v>66300</x:v>
      </x:c>
      <x:c r="M61" s="32" t="n">
        <x:v>44290</x:v>
      </x:c>
      <x:c r="N61" s="35" t="n">
        <x:v>190.385</x:v>
      </x:c>
      <x:c r="O61" s="35" t="n">
        <x:v>135.4851</x:v>
      </x:c>
      <x:c r="P61" s="35" t="n">
        <x:v>212.16</x:v>
      </x:c>
      <x:c r="Q61" s="35" t="n">
        <x:v>141.728</x:v>
      </x:c>
    </x:row>
    <x:row r="62" ht="30" customHeight="1">
      <x:c r="A62" s="26" t="str">
        <x:v>2026-02</x:v>
      </x:c>
      <x:c r="B62" s="26" t="n">
        <x:v>2026</x:v>
      </x:c>
      <x:c r="C62" s="26" t="n">
        <x:v>2</x:v>
      </x:c>
      <x:c r="D62" s="26" t="str">
        <x:v>耗材</x:v>
      </x:c>
      <x:c r="E62" s="26" t="str">
        <x:v>耗材</x:v>
      </x:c>
      <x:c r="F62" s="26" t="str">
        <x:v>PLA/树脂</x:v>
      </x:c>
      <x:c r="G62" s="26" t="str">
        <x:v>全渠道</x:v>
      </x:c>
      <x:c r="H62" s="32" t="n">
        <x:v>14094</x:v>
      </x:c>
      <x:c r="I62" s="32" t="n">
        <x:v>95</x:v>
      </x:c>
      <x:c r="J62" s="32" t="n">
        <x:v>55</x:v>
      </x:c>
      <x:c r="K62" s="32" t="n">
        <x:v>13291</x:v>
      </x:c>
      <x:c r="L62" s="32" t="n">
        <x:v>96</x:v>
      </x:c>
      <x:c r="M62" s="32" t="n">
        <x:v>50</x:v>
      </x:c>
      <x:c r="N62" s="35" t="n">
        <x:v>133.893</x:v>
      </x:c>
      <x:c r="O62" s="35" t="n">
        <x:v>77.517</x:v>
      </x:c>
      <x:c r="P62" s="35" t="n">
        <x:v>127.5936</x:v>
      </x:c>
      <x:c r="Q62" s="35" t="n">
        <x:v>66.455</x:v>
      </x:c>
    </x:row>
    <x:row r="63" ht="30" customHeight="1">
      <x:c r="A63" s="26" t="str">
        <x:v>2026-03</x:v>
      </x:c>
      <x:c r="B63" s="26" t="n">
        <x:v>2026</x:v>
      </x:c>
      <x:c r="C63" s="26" t="n">
        <x:v>3</x:v>
      </x:c>
      <x:c r="D63" s="26" t="str">
        <x:v>E1桌面机</x:v>
      </x:c>
      <x:c r="E63" s="26" t="str">
        <x:v>硬件</x:v>
      </x:c>
      <x:c r="F63" s="26" t="str">
        <x:v>桌面级</x:v>
      </x:c>
      <x:c r="G63" s="26" t="str">
        <x:v>直营/电商</x:v>
      </x:c>
      <x:c r="H63" s="32" t="n">
        <x:v>736</x:v>
      </x:c>
      <x:c r="I63" s="32" t="n">
        <x:v>3990</x:v>
      </x:c>
      <x:c r="J63" s="32" t="n">
        <x:v>2989</x:v>
      </x:c>
      <x:c r="K63" s="32" t="n">
        <x:v>773</x:v>
      </x:c>
      <x:c r="L63" s="32" t="n">
        <x:v>4200</x:v>
      </x:c>
      <x:c r="M63" s="32" t="n">
        <x:v>2781</x:v>
      </x:c>
      <x:c r="N63" s="35" t="n">
        <x:v>293.664</x:v>
      </x:c>
      <x:c r="O63" s="35" t="n">
        <x:v>219.9904</x:v>
      </x:c>
      <x:c r="P63" s="35" t="n">
        <x:v>324.66</x:v>
      </x:c>
      <x:c r="Q63" s="35" t="n">
        <x:v>214.9713</x:v>
      </x:c>
    </x:row>
    <x:row r="64" ht="30" customHeight="1">
      <x:c r="A64" s="26" t="str">
        <x:v>2026-03</x:v>
      </x:c>
      <x:c r="B64" s="26" t="n">
        <x:v>2026</x:v>
      </x:c>
      <x:c r="C64" s="26" t="n">
        <x:v>3</x:v>
      </x:c>
      <x:c r="D64" s="26" t="str">
        <x:v>P1专业机</x:v>
      </x:c>
      <x:c r="E64" s="26" t="str">
        <x:v>硬件</x:v>
      </x:c>
      <x:c r="F64" s="26" t="str">
        <x:v>专业级</x:v>
      </x:c>
      <x:c r="G64" s="26" t="str">
        <x:v>经销商</x:v>
      </x:c>
      <x:c r="H64" s="32" t="n">
        <x:v>269</x:v>
      </x:c>
      <x:c r="I64" s="32" t="n">
        <x:v>9604</x:v>
      </x:c>
      <x:c r="J64" s="32" t="n">
        <x:v>6580</x:v>
      </x:c>
      <x:c r="K64" s="32" t="n">
        <x:v>287</x:v>
      </x:c>
      <x:c r="L64" s="32" t="n">
        <x:v>9898</x:v>
      </x:c>
      <x:c r="M64" s="32" t="n">
        <x:v>6180</x:v>
      </x:c>
      <x:c r="N64" s="35" t="n">
        <x:v>258.3476</x:v>
      </x:c>
      <x:c r="O64" s="35" t="n">
        <x:v>177.002</x:v>
      </x:c>
      <x:c r="P64" s="35" t="n">
        <x:v>284.0726</x:v>
      </x:c>
      <x:c r="Q64" s="35" t="n">
        <x:v>177.366</x:v>
      </x:c>
    </x:row>
    <x:row r="65" ht="30" customHeight="1">
      <x:c r="A65" s="26" t="str">
        <x:v>2026-03</x:v>
      </x:c>
      <x:c r="B65" s="26" t="n">
        <x:v>2026</x:v>
      </x:c>
      <x:c r="C65" s="26" t="n">
        <x:v>3</x:v>
      </x:c>
      <x:c r="D65" s="26" t="str">
        <x:v>I1工业机</x:v>
      </x:c>
      <x:c r="E65" s="26" t="str">
        <x:v>硬件</x:v>
      </x:c>
      <x:c r="F65" s="26" t="str">
        <x:v>工业级</x:v>
      </x:c>
      <x:c r="G65" s="26" t="str">
        <x:v>直销</x:v>
      </x:c>
      <x:c r="H65" s="32" t="n">
        <x:v>35</x:v>
      </x:c>
      <x:c r="I65" s="32" t="n">
        <x:v>65650</x:v>
      </x:c>
      <x:c r="J65" s="32" t="n">
        <x:v>46719</x:v>
      </x:c>
      <x:c r="K65" s="32" t="n">
        <x:v>38</x:v>
      </x:c>
      <x:c r="L65" s="32" t="n">
        <x:v>66300</x:v>
      </x:c>
      <x:c r="M65" s="32" t="n">
        <x:v>44290</x:v>
      </x:c>
      <x:c r="N65" s="35" t="n">
        <x:v>229.775</x:v>
      </x:c>
      <x:c r="O65" s="35" t="n">
        <x:v>163.5165</x:v>
      </x:c>
      <x:c r="P65" s="35" t="n">
        <x:v>251.94</x:v>
      </x:c>
      <x:c r="Q65" s="35" t="n">
        <x:v>168.302</x:v>
      </x:c>
    </x:row>
    <x:row r="66" ht="30" customHeight="1">
      <x:c r="A66" s="26" t="str">
        <x:v>2026-03</x:v>
      </x:c>
      <x:c r="B66" s="26" t="n">
        <x:v>2026</x:v>
      </x:c>
      <x:c r="C66" s="26" t="n">
        <x:v>3</x:v>
      </x:c>
      <x:c r="D66" s="26" t="str">
        <x:v>耗材</x:v>
      </x:c>
      <x:c r="E66" s="26" t="str">
        <x:v>耗材</x:v>
      </x:c>
      <x:c r="F66" s="26" t="str">
        <x:v>PLA/树脂</x:v>
      </x:c>
      <x:c r="G66" s="26" t="str">
        <x:v>全渠道</x:v>
      </x:c>
      <x:c r="H66" s="32" t="n">
        <x:v>16689</x:v>
      </x:c>
      <x:c r="I66" s="32" t="n">
        <x:v>95</x:v>
      </x:c>
      <x:c r="J66" s="32" t="n">
        <x:v>55</x:v>
      </x:c>
      <x:c r="K66" s="32" t="n">
        <x:v>15677</x:v>
      </x:c>
      <x:c r="L66" s="32" t="n">
        <x:v>96</x:v>
      </x:c>
      <x:c r="M66" s="32" t="n">
        <x:v>50</x:v>
      </x:c>
      <x:c r="N66" s="35" t="n">
        <x:v>158.5455</x:v>
      </x:c>
      <x:c r="O66" s="35" t="n">
        <x:v>91.7895</x:v>
      </x:c>
      <x:c r="P66" s="35" t="n">
        <x:v>150.4992</x:v>
      </x:c>
      <x:c r="Q66" s="35" t="n">
        <x:v>78.385</x:v>
      </x:c>
    </x:row>
    <x:row r="67" ht="30" customHeight="1">
      <x:c r="A67" s="26" t="str">
        <x:v>2026-04</x:v>
      </x:c>
      <x:c r="B67" s="26" t="n">
        <x:v>2026</x:v>
      </x:c>
      <x:c r="C67" s="26" t="n">
        <x:v>4</x:v>
      </x:c>
      <x:c r="D67" s="26" t="str">
        <x:v>E1桌面机</x:v>
      </x:c>
      <x:c r="E67" s="26" t="str">
        <x:v>硬件</x:v>
      </x:c>
      <x:c r="F67" s="26" t="str">
        <x:v>桌面级</x:v>
      </x:c>
      <x:c r="G67" s="26" t="str">
        <x:v>直营/电商</x:v>
      </x:c>
      <x:c r="H67" s="32" t="n">
        <x:v>755</x:v>
      </x:c>
      <x:c r="I67" s="32" t="n">
        <x:v>3990</x:v>
      </x:c>
      <x:c r="J67" s="32" t="n">
        <x:v>2989</x:v>
      </x:c>
      <x:c r="K67" s="32" t="n">
        <x:v>806</x:v>
      </x:c>
      <x:c r="L67" s="32" t="n">
        <x:v>4200</x:v>
      </x:c>
      <x:c r="M67" s="32" t="n">
        <x:v>2781</x:v>
      </x:c>
      <x:c r="N67" s="35" t="n">
        <x:v>301.245</x:v>
      </x:c>
      <x:c r="O67" s="35" t="n">
        <x:v>225.6695</x:v>
      </x:c>
      <x:c r="P67" s="35" t="n">
        <x:v>338.52</x:v>
      </x:c>
      <x:c r="Q67" s="35" t="n">
        <x:v>224.1486</x:v>
      </x:c>
    </x:row>
    <x:row r="68" ht="30" customHeight="1">
      <x:c r="A68" s="26" t="str">
        <x:v>2026-04</x:v>
      </x:c>
      <x:c r="B68" s="26" t="n">
        <x:v>2026</x:v>
      </x:c>
      <x:c r="C68" s="26" t="n">
        <x:v>4</x:v>
      </x:c>
      <x:c r="D68" s="26" t="str">
        <x:v>P1专业机</x:v>
      </x:c>
      <x:c r="E68" s="26" t="str">
        <x:v>硬件</x:v>
      </x:c>
      <x:c r="F68" s="26" t="str">
        <x:v>专业级</x:v>
      </x:c>
      <x:c r="G68" s="26" t="str">
        <x:v>经销商</x:v>
      </x:c>
      <x:c r="H68" s="32" t="n">
        <x:v>289</x:v>
      </x:c>
      <x:c r="I68" s="32" t="n">
        <x:v>9604</x:v>
      </x:c>
      <x:c r="J68" s="32" t="n">
        <x:v>6580</x:v>
      </x:c>
      <x:c r="K68" s="32" t="n">
        <x:v>300</x:v>
      </x:c>
      <x:c r="L68" s="32" t="n">
        <x:v>9898</x:v>
      </x:c>
      <x:c r="M68" s="32" t="n">
        <x:v>6180</x:v>
      </x:c>
      <x:c r="N68" s="35" t="n">
        <x:v>277.5556</x:v>
      </x:c>
      <x:c r="O68" s="35" t="n">
        <x:v>190.162</x:v>
      </x:c>
      <x:c r="P68" s="35" t="n">
        <x:v>296.94</x:v>
      </x:c>
      <x:c r="Q68" s="35" t="n">
        <x:v>185.4</x:v>
      </x:c>
    </x:row>
    <x:row r="69" ht="30" customHeight="1">
      <x:c r="A69" s="26" t="str">
        <x:v>2026-04</x:v>
      </x:c>
      <x:c r="B69" s="26" t="n">
        <x:v>2026</x:v>
      </x:c>
      <x:c r="C69" s="26" t="n">
        <x:v>4</x:v>
      </x:c>
      <x:c r="D69" s="26" t="str">
        <x:v>I1工业机</x:v>
      </x:c>
      <x:c r="E69" s="26" t="str">
        <x:v>硬件</x:v>
      </x:c>
      <x:c r="F69" s="26" t="str">
        <x:v>工业级</x:v>
      </x:c>
      <x:c r="G69" s="26" t="str">
        <x:v>直销</x:v>
      </x:c>
      <x:c r="H69" s="32" t="n">
        <x:v>36</x:v>
      </x:c>
      <x:c r="I69" s="32" t="n">
        <x:v>65650</x:v>
      </x:c>
      <x:c r="J69" s="32" t="n">
        <x:v>46719</x:v>
      </x:c>
      <x:c r="K69" s="32" t="n">
        <x:v>40</x:v>
      </x:c>
      <x:c r="L69" s="32" t="n">
        <x:v>66300</x:v>
      </x:c>
      <x:c r="M69" s="32" t="n">
        <x:v>44290</x:v>
      </x:c>
      <x:c r="N69" s="35" t="n">
        <x:v>236.34</x:v>
      </x:c>
      <x:c r="O69" s="35" t="n">
        <x:v>168.1884</x:v>
      </x:c>
      <x:c r="P69" s="35" t="n">
        <x:v>265.2</x:v>
      </x:c>
      <x:c r="Q69" s="35" t="n">
        <x:v>177.16</x:v>
      </x:c>
    </x:row>
    <x:row r="70" ht="30" customHeight="1">
      <x:c r="A70" s="26" t="str">
        <x:v>2026-04</x:v>
      </x:c>
      <x:c r="B70" s="26" t="n">
        <x:v>2026</x:v>
      </x:c>
      <x:c r="C70" s="26" t="n">
        <x:v>4</x:v>
      </x:c>
      <x:c r="D70" s="26" t="str">
        <x:v>耗材</x:v>
      </x:c>
      <x:c r="E70" s="26" t="str">
        <x:v>耗材</x:v>
      </x:c>
      <x:c r="F70" s="26" t="str">
        <x:v>PLA/树脂</x:v>
      </x:c>
      <x:c r="G70" s="26" t="str">
        <x:v>全渠道</x:v>
      </x:c>
      <x:c r="H70" s="32" t="n">
        <x:v>17800</x:v>
      </x:c>
      <x:c r="I70" s="32" t="n">
        <x:v>95</x:v>
      </x:c>
      <x:c r="J70" s="32" t="n">
        <x:v>55</x:v>
      </x:c>
      <x:c r="K70" s="32" t="n">
        <x:v>16358</x:v>
      </x:c>
      <x:c r="L70" s="32" t="n">
        <x:v>96</x:v>
      </x:c>
      <x:c r="M70" s="32" t="n">
        <x:v>50</x:v>
      </x:c>
      <x:c r="N70" s="35" t="n">
        <x:v>169.1</x:v>
      </x:c>
      <x:c r="O70" s="35" t="n">
        <x:v>97.9</x:v>
      </x:c>
      <x:c r="P70" s="35" t="n">
        <x:v>157.0368</x:v>
      </x:c>
      <x:c r="Q70" s="35" t="n">
        <x:v>81.79</x:v>
      </x:c>
    </x:row>
    <x:row r="71" ht="30" customHeight="1">
      <x:c r="A71" s="26" t="str">
        <x:v>2026-05</x:v>
      </x:c>
      <x:c r="B71" s="26" t="n">
        <x:v>2026</x:v>
      </x:c>
      <x:c r="C71" s="26" t="n">
        <x:v>5</x:v>
      </x:c>
      <x:c r="D71" s="26" t="str">
        <x:v>E1桌面机</x:v>
      </x:c>
      <x:c r="E71" s="26" t="str">
        <x:v>硬件</x:v>
      </x:c>
      <x:c r="F71" s="26" t="str">
        <x:v>桌面级</x:v>
      </x:c>
      <x:c r="G71" s="26" t="str">
        <x:v>直营/电商</x:v>
      </x:c>
      <x:c r="H71" s="32" t="n">
        <x:v>793</x:v>
      </x:c>
      <x:c r="I71" s="32" t="n">
        <x:v>3990</x:v>
      </x:c>
      <x:c r="J71" s="32" t="n">
        <x:v>2916</x:v>
      </x:c>
      <x:c r="K71" s="32" t="n">
        <x:v>857</x:v>
      </x:c>
      <x:c r="L71" s="32" t="n">
        <x:v>4200</x:v>
      </x:c>
      <x:c r="M71" s="32" t="n">
        <x:v>2781</x:v>
      </x:c>
      <x:c r="N71" s="35" t="n">
        <x:v>316.407</x:v>
      </x:c>
      <x:c r="O71" s="35" t="n">
        <x:v>231.2388</x:v>
      </x:c>
      <x:c r="P71" s="35" t="n">
        <x:v>359.94</x:v>
      </x:c>
      <x:c r="Q71" s="35" t="n">
        <x:v>238.3317</x:v>
      </x:c>
    </x:row>
    <x:row r="72" ht="30" customHeight="1">
      <x:c r="A72" s="26" t="str">
        <x:v>2026-05</x:v>
      </x:c>
      <x:c r="B72" s="26" t="n">
        <x:v>2026</x:v>
      </x:c>
      <x:c r="C72" s="26" t="n">
        <x:v>5</x:v>
      </x:c>
      <x:c r="D72" s="26" t="str">
        <x:v>P1专业机</x:v>
      </x:c>
      <x:c r="E72" s="26" t="str">
        <x:v>硬件</x:v>
      </x:c>
      <x:c r="F72" s="26" t="str">
        <x:v>专业级</x:v>
      </x:c>
      <x:c r="G72" s="26" t="str">
        <x:v>经销商</x:v>
      </x:c>
      <x:c r="H72" s="32" t="n">
        <x:v>306</x:v>
      </x:c>
      <x:c r="I72" s="32" t="n">
        <x:v>9604</x:v>
      </x:c>
      <x:c r="J72" s="32" t="n">
        <x:v>6420</x:v>
      </x:c>
      <x:c r="K72" s="32" t="n">
        <x:v>318</x:v>
      </x:c>
      <x:c r="L72" s="32" t="n">
        <x:v>9898</x:v>
      </x:c>
      <x:c r="M72" s="32" t="n">
        <x:v>6180</x:v>
      </x:c>
      <x:c r="N72" s="35" t="n">
        <x:v>293.8824</x:v>
      </x:c>
      <x:c r="O72" s="35" t="n">
        <x:v>196.452</x:v>
      </x:c>
      <x:c r="P72" s="35" t="n">
        <x:v>314.7564</x:v>
      </x:c>
      <x:c r="Q72" s="35" t="n">
        <x:v>196.524</x:v>
      </x:c>
    </x:row>
    <x:row r="73" ht="30" customHeight="1">
      <x:c r="A73" s="26" t="str">
        <x:v>2026-05</x:v>
      </x:c>
      <x:c r="B73" s="26" t="n">
        <x:v>2026</x:v>
      </x:c>
      <x:c r="C73" s="26" t="n">
        <x:v>5</x:v>
      </x:c>
      <x:c r="D73" s="26" t="str">
        <x:v>I1工业机</x:v>
      </x:c>
      <x:c r="E73" s="26" t="str">
        <x:v>硬件</x:v>
      </x:c>
      <x:c r="F73" s="26" t="str">
        <x:v>工业级</x:v>
      </x:c>
      <x:c r="G73" s="26" t="str">
        <x:v>直销</x:v>
      </x:c>
      <x:c r="H73" s="32" t="n">
        <x:v>39</x:v>
      </x:c>
      <x:c r="I73" s="32" t="n">
        <x:v>65650</x:v>
      </x:c>
      <x:c r="J73" s="32" t="n">
        <x:v>45580</x:v>
      </x:c>
      <x:c r="K73" s="32" t="n">
        <x:v>42</x:v>
      </x:c>
      <x:c r="L73" s="32" t="n">
        <x:v>66300</x:v>
      </x:c>
      <x:c r="M73" s="32" t="n">
        <x:v>44290</x:v>
      </x:c>
      <x:c r="N73" s="35" t="n">
        <x:v>256.035</x:v>
      </x:c>
      <x:c r="O73" s="35" t="n">
        <x:v>177.762</x:v>
      </x:c>
      <x:c r="P73" s="35" t="n">
        <x:v>278.46</x:v>
      </x:c>
      <x:c r="Q73" s="35" t="n">
        <x:v>186.018</x:v>
      </x:c>
    </x:row>
    <x:row r="74" ht="30" customHeight="1">
      <x:c r="A74" s="26" t="str">
        <x:v>2026-05</x:v>
      </x:c>
      <x:c r="B74" s="26" t="n">
        <x:v>2026</x:v>
      </x:c>
      <x:c r="C74" s="26" t="n">
        <x:v>5</x:v>
      </x:c>
      <x:c r="D74" s="26" t="str">
        <x:v>耗材</x:v>
      </x:c>
      <x:c r="E74" s="26" t="str">
        <x:v>耗材</x:v>
      </x:c>
      <x:c r="F74" s="26" t="str">
        <x:v>PLA/树脂</x:v>
      </x:c>
      <x:c r="G74" s="26" t="str">
        <x:v>全渠道</x:v>
      </x:c>
      <x:c r="H74" s="32" t="n">
        <x:v>18304</x:v>
      </x:c>
      <x:c r="I74" s="32" t="n">
        <x:v>95</x:v>
      </x:c>
      <x:c r="J74" s="32" t="n">
        <x:v>54</x:v>
      </x:c>
      <x:c r="K74" s="32" t="n">
        <x:v>17381</x:v>
      </x:c>
      <x:c r="L74" s="32" t="n">
        <x:v>96</x:v>
      </x:c>
      <x:c r="M74" s="32" t="n">
        <x:v>50</x:v>
      </x:c>
      <x:c r="N74" s="35" t="n">
        <x:v>173.888</x:v>
      </x:c>
      <x:c r="O74" s="35" t="n">
        <x:v>98.8416</x:v>
      </x:c>
      <x:c r="P74" s="35" t="n">
        <x:v>166.8576</x:v>
      </x:c>
      <x:c r="Q74" s="35" t="n">
        <x:v>86.905</x:v>
      </x:c>
    </x:row>
    <x:row r="75" ht="30" customHeight="1">
      <x:c r="A75" s="26" t="str">
        <x:v>2026-06</x:v>
      </x:c>
      <x:c r="B75" s="26" t="n">
        <x:v>2026</x:v>
      </x:c>
      <x:c r="C75" s="26" t="n">
        <x:v>6</x:v>
      </x:c>
      <x:c r="D75" s="26" t="str">
        <x:v>E1桌面机</x:v>
      </x:c>
      <x:c r="E75" s="26" t="str">
        <x:v>硬件</x:v>
      </x:c>
      <x:c r="F75" s="26" t="str">
        <x:v>桌面级</x:v>
      </x:c>
      <x:c r="G75" s="26" t="str">
        <x:v>直营/电商</x:v>
      </x:c>
      <x:c r="H75" s="32" t="n">
        <x:v>819</x:v>
      </x:c>
      <x:c r="I75" s="32" t="n">
        <x:v>3990</x:v>
      </x:c>
      <x:c r="J75" s="32" t="n">
        <x:v>2916</x:v>
      </x:c>
      <x:c r="K75" s="32" t="n">
        <x:v>882</x:v>
      </x:c>
      <x:c r="L75" s="32" t="n">
        <x:v>4200</x:v>
      </x:c>
      <x:c r="M75" s="32" t="n">
        <x:v>2781</x:v>
      </x:c>
      <x:c r="N75" s="35" t="n">
        <x:v>326.781</x:v>
      </x:c>
      <x:c r="O75" s="35" t="n">
        <x:v>238.8204</x:v>
      </x:c>
      <x:c r="P75" s="35" t="n">
        <x:v>370.44</x:v>
      </x:c>
      <x:c r="Q75" s="35" t="n">
        <x:v>245.2842</x:v>
      </x:c>
    </x:row>
    <x:row r="76" ht="30" customHeight="1">
      <x:c r="A76" s="26" t="str">
        <x:v>2026-06</x:v>
      </x:c>
      <x:c r="B76" s="26" t="n">
        <x:v>2026</x:v>
      </x:c>
      <x:c r="C76" s="26" t="n">
        <x:v>6</x:v>
      </x:c>
      <x:c r="D76" s="26" t="str">
        <x:v>P1专业机</x:v>
      </x:c>
      <x:c r="E76" s="26" t="str">
        <x:v>硬件</x:v>
      </x:c>
      <x:c r="F76" s="26" t="str">
        <x:v>专业级</x:v>
      </x:c>
      <x:c r="G76" s="26" t="str">
        <x:v>经销商</x:v>
      </x:c>
      <x:c r="H76" s="32" t="n">
        <x:v>307</x:v>
      </x:c>
      <x:c r="I76" s="32" t="n">
        <x:v>9604</x:v>
      </x:c>
      <x:c r="J76" s="32" t="n">
        <x:v>6420</x:v>
      </x:c>
      <x:c r="K76" s="32" t="n">
        <x:v>328</x:v>
      </x:c>
      <x:c r="L76" s="32" t="n">
        <x:v>9898</x:v>
      </x:c>
      <x:c r="M76" s="32" t="n">
        <x:v>6180</x:v>
      </x:c>
      <x:c r="N76" s="35" t="n">
        <x:v>294.8428</x:v>
      </x:c>
      <x:c r="O76" s="35" t="n">
        <x:v>197.094</x:v>
      </x:c>
      <x:c r="P76" s="35" t="n">
        <x:v>324.6544</x:v>
      </x:c>
      <x:c r="Q76" s="35" t="n">
        <x:v>202.704</x:v>
      </x:c>
    </x:row>
    <x:row r="77" ht="30" customHeight="1">
      <x:c r="A77" s="26" t="str">
        <x:v>2026-06</x:v>
      </x:c>
      <x:c r="B77" s="26" t="n">
        <x:v>2026</x:v>
      </x:c>
      <x:c r="C77" s="26" t="n">
        <x:v>6</x:v>
      </x:c>
      <x:c r="D77" s="26" t="str">
        <x:v>I1工业机</x:v>
      </x:c>
      <x:c r="E77" s="26" t="str">
        <x:v>硬件</x:v>
      </x:c>
      <x:c r="F77" s="26" t="str">
        <x:v>工业级</x:v>
      </x:c>
      <x:c r="G77" s="26" t="str">
        <x:v>直销</x:v>
      </x:c>
      <x:c r="H77" s="32" t="n">
        <x:v>39</x:v>
      </x:c>
      <x:c r="I77" s="32" t="n">
        <x:v>65650</x:v>
      </x:c>
      <x:c r="J77" s="32" t="n">
        <x:v>45580</x:v>
      </x:c>
      <x:c r="K77" s="32" t="n">
        <x:v>43</x:v>
      </x:c>
      <x:c r="L77" s="32" t="n">
        <x:v>66300</x:v>
      </x:c>
      <x:c r="M77" s="32" t="n">
        <x:v>44290</x:v>
      </x:c>
      <x:c r="N77" s="35" t="n">
        <x:v>256.035</x:v>
      </x:c>
      <x:c r="O77" s="35" t="n">
        <x:v>177.762</x:v>
      </x:c>
      <x:c r="P77" s="35" t="n">
        <x:v>285.09</x:v>
      </x:c>
      <x:c r="Q77" s="35" t="n">
        <x:v>190.447</x:v>
      </x:c>
    </x:row>
    <x:row r="78" ht="30" customHeight="1">
      <x:c r="A78" s="26" t="str">
        <x:v>2026-06</x:v>
      </x:c>
      <x:c r="B78" s="26" t="n">
        <x:v>2026</x:v>
      </x:c>
      <x:c r="C78" s="26" t="n">
        <x:v>6</x:v>
      </x:c>
      <x:c r="D78" s="26" t="str">
        <x:v>耗材</x:v>
      </x:c>
      <x:c r="E78" s="26" t="str">
        <x:v>耗材</x:v>
      </x:c>
      <x:c r="F78" s="26" t="str">
        <x:v>PLA/树脂</x:v>
      </x:c>
      <x:c r="G78" s="26" t="str">
        <x:v>全渠道</x:v>
      </x:c>
      <x:c r="H78" s="32" t="n">
        <x:v>19240</x:v>
      </x:c>
      <x:c r="I78" s="32" t="n">
        <x:v>95</x:v>
      </x:c>
      <x:c r="J78" s="32" t="n">
        <x:v>54</x:v>
      </x:c>
      <x:c r="K78" s="32" t="n">
        <x:v>17892</x:v>
      </x:c>
      <x:c r="L78" s="32" t="n">
        <x:v>96</x:v>
      </x:c>
      <x:c r="M78" s="32" t="n">
        <x:v>50</x:v>
      </x:c>
      <x:c r="N78" s="35" t="n">
        <x:v>182.78</x:v>
      </x:c>
      <x:c r="O78" s="35" t="n">
        <x:v>103.896</x:v>
      </x:c>
      <x:c r="P78" s="35" t="n">
        <x:v>171.7632</x:v>
      </x:c>
      <x:c r="Q78" s="35" t="n">
        <x:v>89.46</x:v>
      </x:c>
    </x:row>
    <x:row r="79" ht="30" customHeight="1">
      <x:c r="A79" s="26" t="str">
        <x:v>2026-07</x:v>
      </x:c>
      <x:c r="B79" s="26" t="n">
        <x:v>2026</x:v>
      </x:c>
      <x:c r="C79" s="26" t="n">
        <x:v>7</x:v>
      </x:c>
      <x:c r="D79" s="26" t="str">
        <x:v>E1桌面机</x:v>
      </x:c>
      <x:c r="E79" s="26" t="str">
        <x:v>硬件</x:v>
      </x:c>
      <x:c r="F79" s="26" t="str">
        <x:v>桌面级</x:v>
      </x:c>
      <x:c r="G79" s="26" t="str">
        <x:v>直营/电商</x:v>
      </x:c>
      <x:c r="H79" s="32" t="n">
        <x:v>793</x:v>
      </x:c>
      <x:c r="I79" s="32" t="n">
        <x:v>3990</x:v>
      </x:c>
      <x:c r="J79" s="32" t="n">
        <x:v>2916</x:v>
      </x:c>
      <x:c r="K79" s="32" t="n">
        <x:v>840</x:v>
      </x:c>
      <x:c r="L79" s="32" t="n">
        <x:v>4200</x:v>
      </x:c>
      <x:c r="M79" s="32" t="n">
        <x:v>2781</x:v>
      </x:c>
      <x:c r="N79" s="35" t="n">
        <x:v>316.407</x:v>
      </x:c>
      <x:c r="O79" s="35" t="n">
        <x:v>231.2388</x:v>
      </x:c>
      <x:c r="P79" s="35" t="n">
        <x:v>352.8</x:v>
      </x:c>
      <x:c r="Q79" s="35" t="n">
        <x:v>233.604</x:v>
      </x:c>
    </x:row>
    <x:row r="80" ht="30" customHeight="1">
      <x:c r="A80" s="26" t="str">
        <x:v>2026-07</x:v>
      </x:c>
      <x:c r="B80" s="26" t="n">
        <x:v>2026</x:v>
      </x:c>
      <x:c r="C80" s="26" t="n">
        <x:v>7</x:v>
      </x:c>
      <x:c r="D80" s="26" t="str">
        <x:v>P1专业机</x:v>
      </x:c>
      <x:c r="E80" s="26" t="str">
        <x:v>硬件</x:v>
      </x:c>
      <x:c r="F80" s="26" t="str">
        <x:v>专业级</x:v>
      </x:c>
      <x:c r="G80" s="26" t="str">
        <x:v>经销商</x:v>
      </x:c>
      <x:c r="H80" s="32" t="n">
        <x:v>299</x:v>
      </x:c>
      <x:c r="I80" s="32" t="n">
        <x:v>9604</x:v>
      </x:c>
      <x:c r="J80" s="32" t="n">
        <x:v>6420</x:v>
      </x:c>
      <x:c r="K80" s="32" t="n">
        <x:v>312</x:v>
      </x:c>
      <x:c r="L80" s="32" t="n">
        <x:v>9898</x:v>
      </x:c>
      <x:c r="M80" s="32" t="n">
        <x:v>6180</x:v>
      </x:c>
      <x:c r="N80" s="35" t="n">
        <x:v>287.1596</x:v>
      </x:c>
      <x:c r="O80" s="35" t="n">
        <x:v>191.958</x:v>
      </x:c>
      <x:c r="P80" s="35" t="n">
        <x:v>308.8176</x:v>
      </x:c>
      <x:c r="Q80" s="35" t="n">
        <x:v>192.816</x:v>
      </x:c>
    </x:row>
    <x:row r="81" ht="30" customHeight="1">
      <x:c r="A81" s="26" t="str">
        <x:v>2026-07</x:v>
      </x:c>
      <x:c r="B81" s="26" t="n">
        <x:v>2026</x:v>
      </x:c>
      <x:c r="C81" s="26" t="n">
        <x:v>7</x:v>
      </x:c>
      <x:c r="D81" s="26" t="str">
        <x:v>I1工业机</x:v>
      </x:c>
      <x:c r="E81" s="26" t="str">
        <x:v>硬件</x:v>
      </x:c>
      <x:c r="F81" s="26" t="str">
        <x:v>工业级</x:v>
      </x:c>
      <x:c r="G81" s="26" t="str">
        <x:v>直销</x:v>
      </x:c>
      <x:c r="H81" s="32" t="n">
        <x:v>38</x:v>
      </x:c>
      <x:c r="I81" s="32" t="n">
        <x:v>65650</x:v>
      </x:c>
      <x:c r="J81" s="32" t="n">
        <x:v>45580</x:v>
      </x:c>
      <x:c r="K81" s="32" t="n">
        <x:v>41</x:v>
      </x:c>
      <x:c r="L81" s="32" t="n">
        <x:v>66300</x:v>
      </x:c>
      <x:c r="M81" s="32" t="n">
        <x:v>44290</x:v>
      </x:c>
      <x:c r="N81" s="35" t="n">
        <x:v>249.47</x:v>
      </x:c>
      <x:c r="O81" s="35" t="n">
        <x:v>173.204</x:v>
      </x:c>
      <x:c r="P81" s="35" t="n">
        <x:v>271.83</x:v>
      </x:c>
      <x:c r="Q81" s="35" t="n">
        <x:v>181.589</x:v>
      </x:c>
    </x:row>
    <x:row r="82" ht="30" customHeight="1">
      <x:c r="A82" s="26" t="str">
        <x:v>2026-07</x:v>
      </x:c>
      <x:c r="B82" s="26" t="n">
        <x:v>2026</x:v>
      </x:c>
      <x:c r="C82" s="26" t="n">
        <x:v>7</x:v>
      </x:c>
      <x:c r="D82" s="26" t="str">
        <x:v>耗材</x:v>
      </x:c>
      <x:c r="E82" s="26" t="str">
        <x:v>耗材</x:v>
      </x:c>
      <x:c r="F82" s="26" t="str">
        <x:v>PLA/树脂</x:v>
      </x:c>
      <x:c r="G82" s="26" t="str">
        <x:v>全渠道</x:v>
      </x:c>
      <x:c r="H82" s="32" t="n">
        <x:v>18426</x:v>
      </x:c>
      <x:c r="I82" s="32" t="n">
        <x:v>95</x:v>
      </x:c>
      <x:c r="J82" s="32" t="n">
        <x:v>54</x:v>
      </x:c>
      <x:c r="K82" s="32" t="n">
        <x:v>17040</x:v>
      </x:c>
      <x:c r="L82" s="32" t="n">
        <x:v>96</x:v>
      </x:c>
      <x:c r="M82" s="32" t="n">
        <x:v>50</x:v>
      </x:c>
      <x:c r="N82" s="35" t="n">
        <x:v>175.047</x:v>
      </x:c>
      <x:c r="O82" s="35" t="n">
        <x:v>99.5004</x:v>
      </x:c>
      <x:c r="P82" s="35" t="n">
        <x:v>163.584</x:v>
      </x:c>
      <x:c r="Q82" s="35" t="n">
        <x:v>85.2</x:v>
      </x:c>
    </x:row>
    <x:row r="83" ht="30" customHeight="1">
      <x:c r="A83" s="26" t="str">
        <x:v>2026-08</x:v>
      </x:c>
      <x:c r="B83" s="26" t="n">
        <x:v>2026</x:v>
      </x:c>
      <x:c r="C83" s="26" t="n">
        <x:v>8</x:v>
      </x:c>
      <x:c r="D83" s="26" t="str">
        <x:v>E1桌面机</x:v>
      </x:c>
      <x:c r="E83" s="26" t="str">
        <x:v>硬件</x:v>
      </x:c>
      <x:c r="F83" s="26" t="str">
        <x:v>桌面级</x:v>
      </x:c>
      <x:c r="G83" s="26" t="str">
        <x:v>直营/电商</x:v>
      </x:c>
      <x:c r="H83" s="32" t="n">
        <x:v>868</x:v>
      </x:c>
      <x:c r="I83" s="32" t="n">
        <x:v>3990</x:v>
      </x:c>
      <x:c r="J83" s="32" t="n">
        <x:v>2916</x:v>
      </x:c>
      <x:c r="K83" s="32" t="n">
        <x:v>907</x:v>
      </x:c>
      <x:c r="L83" s="32" t="n">
        <x:v>4200</x:v>
      </x:c>
      <x:c r="M83" s="32" t="n">
        <x:v>2781</x:v>
      </x:c>
      <x:c r="N83" s="35" t="n">
        <x:v>346.332</x:v>
      </x:c>
      <x:c r="O83" s="35" t="n">
        <x:v>253.1088</x:v>
      </x:c>
      <x:c r="P83" s="35" t="n">
        <x:v>380.94</x:v>
      </x:c>
      <x:c r="Q83" s="35" t="n">
        <x:v>252.2367</x:v>
      </x:c>
    </x:row>
    <x:row r="84" ht="30" customHeight="1">
      <x:c r="A84" s="26" t="str">
        <x:v>2026-08</x:v>
      </x:c>
      <x:c r="B84" s="26" t="n">
        <x:v>2026</x:v>
      </x:c>
      <x:c r="C84" s="26" t="n">
        <x:v>8</x:v>
      </x:c>
      <x:c r="D84" s="26" t="str">
        <x:v>P1专业机</x:v>
      </x:c>
      <x:c r="E84" s="26" t="str">
        <x:v>硬件</x:v>
      </x:c>
      <x:c r="F84" s="26" t="str">
        <x:v>专业级</x:v>
      </x:c>
      <x:c r="G84" s="26" t="str">
        <x:v>经销商</x:v>
      </x:c>
      <x:c r="H84" s="32" t="n">
        <x:v>326</x:v>
      </x:c>
      <x:c r="I84" s="32" t="n">
        <x:v>9604</x:v>
      </x:c>
      <x:c r="J84" s="32" t="n">
        <x:v>6420</x:v>
      </x:c>
      <x:c r="K84" s="32" t="n">
        <x:v>337</x:v>
      </x:c>
      <x:c r="L84" s="32" t="n">
        <x:v>9898</x:v>
      </x:c>
      <x:c r="M84" s="32" t="n">
        <x:v>6180</x:v>
      </x:c>
      <x:c r="N84" s="35" t="n">
        <x:v>313.0904</x:v>
      </x:c>
      <x:c r="O84" s="35" t="n">
        <x:v>209.292</x:v>
      </x:c>
      <x:c r="P84" s="35" t="n">
        <x:v>333.5626</x:v>
      </x:c>
      <x:c r="Q84" s="35" t="n">
        <x:v>208.266</x:v>
      </x:c>
    </x:row>
    <x:row r="85" ht="30" customHeight="1">
      <x:c r="A85" s="26" t="str">
        <x:v>2026-08</x:v>
      </x:c>
      <x:c r="B85" s="26" t="n">
        <x:v>2026</x:v>
      </x:c>
      <x:c r="C85" s="26" t="n">
        <x:v>8</x:v>
      </x:c>
      <x:c r="D85" s="26" t="str">
        <x:v>I1工业机</x:v>
      </x:c>
      <x:c r="E85" s="26" t="str">
        <x:v>硬件</x:v>
      </x:c>
      <x:c r="F85" s="26" t="str">
        <x:v>工业级</x:v>
      </x:c>
      <x:c r="G85" s="26" t="str">
        <x:v>直销</x:v>
      </x:c>
      <x:c r="H85" s="32" t="n">
        <x:v>41</x:v>
      </x:c>
      <x:c r="I85" s="32" t="n">
        <x:v>65650</x:v>
      </x:c>
      <x:c r="J85" s="32" t="n">
        <x:v>45580</x:v>
      </x:c>
      <x:c r="K85" s="32" t="n">
        <x:v>45</x:v>
      </x:c>
      <x:c r="L85" s="32" t="n">
        <x:v>66300</x:v>
      </x:c>
      <x:c r="M85" s="32" t="n">
        <x:v>44290</x:v>
      </x:c>
      <x:c r="N85" s="35" t="n">
        <x:v>269.165</x:v>
      </x:c>
      <x:c r="O85" s="35" t="n">
        <x:v>186.878</x:v>
      </x:c>
      <x:c r="P85" s="35" t="n">
        <x:v>298.35</x:v>
      </x:c>
      <x:c r="Q85" s="35" t="n">
        <x:v>199.305</x:v>
      </x:c>
    </x:row>
    <x:row r="86" ht="30" customHeight="1">
      <x:c r="A86" s="26" t="str">
        <x:v>2026-08</x:v>
      </x:c>
      <x:c r="B86" s="26" t="n">
        <x:v>2026</x:v>
      </x:c>
      <x:c r="C86" s="26" t="n">
        <x:v>8</x:v>
      </x:c>
      <x:c r="D86" s="26" t="str">
        <x:v>耗材</x:v>
      </x:c>
      <x:c r="E86" s="26" t="str">
        <x:v>耗材</x:v>
      </x:c>
      <x:c r="F86" s="26" t="str">
        <x:v>PLA/树脂</x:v>
      </x:c>
      <x:c r="G86" s="26" t="str">
        <x:v>全渠道</x:v>
      </x:c>
      <x:c r="H86" s="32" t="n">
        <x:v>19347</x:v>
      </x:c>
      <x:c r="I86" s="32" t="n">
        <x:v>95</x:v>
      </x:c>
      <x:c r="J86" s="32" t="n">
        <x:v>54</x:v>
      </x:c>
      <x:c r="K86" s="32" t="n">
        <x:v>18403</x:v>
      </x:c>
      <x:c r="L86" s="32" t="n">
        <x:v>96</x:v>
      </x:c>
      <x:c r="M86" s="32" t="n">
        <x:v>50</x:v>
      </x:c>
      <x:c r="N86" s="35" t="n">
        <x:v>183.7965</x:v>
      </x:c>
      <x:c r="O86" s="35" t="n">
        <x:v>104.4738</x:v>
      </x:c>
      <x:c r="P86" s="35" t="n">
        <x:v>176.6688</x:v>
      </x:c>
      <x:c r="Q86" s="35" t="n">
        <x:v>92.015</x:v>
      </x:c>
    </x:row>
    <x:row r="87" ht="30" customHeight="1">
      <x:c r="A87" s="26" t="str">
        <x:v>2026-09</x:v>
      </x:c>
      <x:c r="B87" s="26" t="n">
        <x:v>2026</x:v>
      </x:c>
      <x:c r="C87" s="26" t="n">
        <x:v>9</x:v>
      </x:c>
      <x:c r="D87" s="26" t="str">
        <x:v>E1桌面机</x:v>
      </x:c>
      <x:c r="E87" s="26" t="str">
        <x:v>硬件</x:v>
      </x:c>
      <x:c r="F87" s="26" t="str">
        <x:v>桌面级</x:v>
      </x:c>
      <x:c r="G87" s="26" t="str">
        <x:v>直营/电商</x:v>
      </x:c>
      <x:c r="H87" s="32" t="n">
        <x:v>899</x:v>
      </x:c>
      <x:c r="I87" s="32" t="n">
        <x:v>3990</x:v>
      </x:c>
      <x:c r="J87" s="32" t="n">
        <x:v>2916</x:v>
      </x:c>
      <x:c r="K87" s="32" t="n">
        <x:v>941</x:v>
      </x:c>
      <x:c r="L87" s="32" t="n">
        <x:v>4200</x:v>
      </x:c>
      <x:c r="M87" s="32" t="n">
        <x:v>2781</x:v>
      </x:c>
      <x:c r="N87" s="35" t="n">
        <x:v>358.701</x:v>
      </x:c>
      <x:c r="O87" s="35" t="n">
        <x:v>262.1484</x:v>
      </x:c>
      <x:c r="P87" s="35" t="n">
        <x:v>395.22</x:v>
      </x:c>
      <x:c r="Q87" s="35" t="n">
        <x:v>261.6921</x:v>
      </x:c>
    </x:row>
    <x:row r="88" ht="30" customHeight="1">
      <x:c r="A88" s="26" t="str">
        <x:v>2026-09</x:v>
      </x:c>
      <x:c r="B88" s="26" t="n">
        <x:v>2026</x:v>
      </x:c>
      <x:c r="C88" s="26" t="n">
        <x:v>9</x:v>
      </x:c>
      <x:c r="D88" s="26" t="str">
        <x:v>P1专业机</x:v>
      </x:c>
      <x:c r="E88" s="26" t="str">
        <x:v>硬件</x:v>
      </x:c>
      <x:c r="F88" s="26" t="str">
        <x:v>专业级</x:v>
      </x:c>
      <x:c r="G88" s="26" t="str">
        <x:v>经销商</x:v>
      </x:c>
      <x:c r="H88" s="32" t="n">
        <x:v>328</x:v>
      </x:c>
      <x:c r="I88" s="32" t="n">
        <x:v>9604</x:v>
      </x:c>
      <x:c r="J88" s="32" t="n">
        <x:v>6420</x:v>
      </x:c>
      <x:c r="K88" s="32" t="n">
        <x:v>349</x:v>
      </x:c>
      <x:c r="L88" s="32" t="n">
        <x:v>9898</x:v>
      </x:c>
      <x:c r="M88" s="32" t="n">
        <x:v>6180</x:v>
      </x:c>
      <x:c r="N88" s="35" t="n">
        <x:v>315.0112</x:v>
      </x:c>
      <x:c r="O88" s="35" t="n">
        <x:v>210.576</x:v>
      </x:c>
      <x:c r="P88" s="35" t="n">
        <x:v>345.4402</x:v>
      </x:c>
      <x:c r="Q88" s="35" t="n">
        <x:v>215.682</x:v>
      </x:c>
    </x:row>
    <x:row r="89" ht="30" customHeight="1">
      <x:c r="A89" s="26" t="str">
        <x:v>2026-09</x:v>
      </x:c>
      <x:c r="B89" s="26" t="n">
        <x:v>2026</x:v>
      </x:c>
      <x:c r="C89" s="26" t="n">
        <x:v>9</x:v>
      </x:c>
      <x:c r="D89" s="26" t="str">
        <x:v>I1工业机</x:v>
      </x:c>
      <x:c r="E89" s="26" t="str">
        <x:v>硬件</x:v>
      </x:c>
      <x:c r="F89" s="26" t="str">
        <x:v>工业级</x:v>
      </x:c>
      <x:c r="G89" s="26" t="str">
        <x:v>直销</x:v>
      </x:c>
      <x:c r="H89" s="32" t="n">
        <x:v>42</x:v>
      </x:c>
      <x:c r="I89" s="32" t="n">
        <x:v>65650</x:v>
      </x:c>
      <x:c r="J89" s="32" t="n">
        <x:v>45580</x:v>
      </x:c>
      <x:c r="K89" s="32" t="n">
        <x:v>46</x:v>
      </x:c>
      <x:c r="L89" s="32" t="n">
        <x:v>66300</x:v>
      </x:c>
      <x:c r="M89" s="32" t="n">
        <x:v>44290</x:v>
      </x:c>
      <x:c r="N89" s="35" t="n">
        <x:v>275.73</x:v>
      </x:c>
      <x:c r="O89" s="35" t="n">
        <x:v>191.436</x:v>
      </x:c>
      <x:c r="P89" s="35" t="n">
        <x:v>304.98</x:v>
      </x:c>
      <x:c r="Q89" s="35" t="n">
        <x:v>203.734</x:v>
      </x:c>
    </x:row>
    <x:row r="90" ht="30" customHeight="1">
      <x:c r="A90" s="26" t="str">
        <x:v>2026-09</x:v>
      </x:c>
      <x:c r="B90" s="26" t="n">
        <x:v>2026</x:v>
      </x:c>
      <x:c r="C90" s="26" t="n">
        <x:v>9</x:v>
      </x:c>
      <x:c r="D90" s="26" t="str">
        <x:v>耗材</x:v>
      </x:c>
      <x:c r="E90" s="26" t="str">
        <x:v>耗材</x:v>
      </x:c>
      <x:c r="F90" s="26" t="str">
        <x:v>PLA/树脂</x:v>
      </x:c>
      <x:c r="G90" s="26" t="str">
        <x:v>全渠道</x:v>
      </x:c>
      <x:c r="H90" s="32" t="n">
        <x:v>20698</x:v>
      </x:c>
      <x:c r="I90" s="32" t="n">
        <x:v>95</x:v>
      </x:c>
      <x:c r="J90" s="32" t="n">
        <x:v>54</x:v>
      </x:c>
      <x:c r="K90" s="32" t="n">
        <x:v>19085</x:v>
      </x:c>
      <x:c r="L90" s="32" t="n">
        <x:v>96</x:v>
      </x:c>
      <x:c r="M90" s="32" t="n">
        <x:v>50</x:v>
      </x:c>
      <x:c r="N90" s="35" t="n">
        <x:v>196.631</x:v>
      </x:c>
      <x:c r="O90" s="35" t="n">
        <x:v>111.7692</x:v>
      </x:c>
      <x:c r="P90" s="35" t="n">
        <x:v>183.216</x:v>
      </x:c>
      <x:c r="Q90" s="35" t="n">
        <x:v>95.425</x:v>
      </x:c>
    </x:row>
    <x:row r="91" ht="30" customHeight="1">
      <x:c r="A91" s="26" t="str">
        <x:v>2026-10</x:v>
      </x:c>
      <x:c r="B91" s="26" t="n">
        <x:v>2026</x:v>
      </x:c>
      <x:c r="C91" s="26" t="n">
        <x:v>10</x:v>
      </x:c>
      <x:c r="D91" s="26" t="str">
        <x:v>E1桌面机</x:v>
      </x:c>
      <x:c r="E91" s="26" t="str">
        <x:v>硬件</x:v>
      </x:c>
      <x:c r="F91" s="26" t="str">
        <x:v>桌面级</x:v>
      </x:c>
      <x:c r="G91" s="26" t="str">
        <x:v>直营/电商</x:v>
      </x:c>
      <x:c r="H91" s="32" t="n">
        <x:v>917</x:v>
      </x:c>
      <x:c r="I91" s="32" t="n">
        <x:v>3990</x:v>
      </x:c>
      <x:c r="J91" s="32" t="n">
        <x:v>2916</x:v>
      </x:c>
      <x:c r="K91" s="32" t="n">
        <x:v>974</x:v>
      </x:c>
      <x:c r="L91" s="32" t="n">
        <x:v>4200</x:v>
      </x:c>
      <x:c r="M91" s="32" t="n">
        <x:v>2781</x:v>
      </x:c>
      <x:c r="N91" s="35" t="n">
        <x:v>365.883</x:v>
      </x:c>
      <x:c r="O91" s="35" t="n">
        <x:v>267.3972</x:v>
      </x:c>
      <x:c r="P91" s="35" t="n">
        <x:v>409.08</x:v>
      </x:c>
      <x:c r="Q91" s="35" t="n">
        <x:v>270.8694</x:v>
      </x:c>
    </x:row>
    <x:row r="92" ht="30" customHeight="1">
      <x:c r="A92" s="26" t="str">
        <x:v>2026-10</x:v>
      </x:c>
      <x:c r="B92" s="26" t="n">
        <x:v>2026</x:v>
      </x:c>
      <x:c r="C92" s="26" t="n">
        <x:v>10</x:v>
      </x:c>
      <x:c r="D92" s="26" t="str">
        <x:v>P1专业机</x:v>
      </x:c>
      <x:c r="E92" s="26" t="str">
        <x:v>硬件</x:v>
      </x:c>
      <x:c r="F92" s="26" t="str">
        <x:v>专业级</x:v>
      </x:c>
      <x:c r="G92" s="26" t="str">
        <x:v>经销商</x:v>
      </x:c>
      <x:c r="H92" s="32" t="n">
        <x:v>345</x:v>
      </x:c>
      <x:c r="I92" s="32" t="n">
        <x:v>9604</x:v>
      </x:c>
      <x:c r="J92" s="32" t="n">
        <x:v>6420</x:v>
      </x:c>
      <x:c r="K92" s="32" t="n">
        <x:v>362</x:v>
      </x:c>
      <x:c r="L92" s="32" t="n">
        <x:v>9898</x:v>
      </x:c>
      <x:c r="M92" s="32" t="n">
        <x:v>6180</x:v>
      </x:c>
      <x:c r="N92" s="35" t="n">
        <x:v>331.338</x:v>
      </x:c>
      <x:c r="O92" s="35" t="n">
        <x:v>221.49</x:v>
      </x:c>
      <x:c r="P92" s="35" t="n">
        <x:v>358.3076</x:v>
      </x:c>
      <x:c r="Q92" s="35" t="n">
        <x:v>223.716</x:v>
      </x:c>
    </x:row>
    <x:row r="93" ht="30" customHeight="1">
      <x:c r="A93" s="26" t="str">
        <x:v>2026-10</x:v>
      </x:c>
      <x:c r="B93" s="26" t="n">
        <x:v>2026</x:v>
      </x:c>
      <x:c r="C93" s="26" t="n">
        <x:v>10</x:v>
      </x:c>
      <x:c r="D93" s="26" t="str">
        <x:v>I1工业机</x:v>
      </x:c>
      <x:c r="E93" s="26" t="str">
        <x:v>硬件</x:v>
      </x:c>
      <x:c r="F93" s="26" t="str">
        <x:v>工业级</x:v>
      </x:c>
      <x:c r="G93" s="26" t="str">
        <x:v>直销</x:v>
      </x:c>
      <x:c r="H93" s="32" t="n">
        <x:v>44</x:v>
      </x:c>
      <x:c r="I93" s="32" t="n">
        <x:v>65650</x:v>
      </x:c>
      <x:c r="J93" s="32" t="n">
        <x:v>45580</x:v>
      </x:c>
      <x:c r="K93" s="32" t="n">
        <x:v>48</x:v>
      </x:c>
      <x:c r="L93" s="32" t="n">
        <x:v>66300</x:v>
      </x:c>
      <x:c r="M93" s="32" t="n">
        <x:v>44290</x:v>
      </x:c>
      <x:c r="N93" s="35" t="n">
        <x:v>288.86</x:v>
      </x:c>
      <x:c r="O93" s="35" t="n">
        <x:v>200.552</x:v>
      </x:c>
      <x:c r="P93" s="35" t="n">
        <x:v>318.24</x:v>
      </x:c>
      <x:c r="Q93" s="35" t="n">
        <x:v>212.592</x:v>
      </x:c>
    </x:row>
    <x:row r="94" ht="30" customHeight="1">
      <x:c r="A94" s="26" t="str">
        <x:v>2026-10</x:v>
      </x:c>
      <x:c r="B94" s="26" t="n">
        <x:v>2026</x:v>
      </x:c>
      <x:c r="C94" s="26" t="n">
        <x:v>10</x:v>
      </x:c>
      <x:c r="D94" s="26" t="str">
        <x:v>耗材</x:v>
      </x:c>
      <x:c r="E94" s="26" t="str">
        <x:v>耗材</x:v>
      </x:c>
      <x:c r="F94" s="26" t="str">
        <x:v>PLA/树脂</x:v>
      </x:c>
      <x:c r="G94" s="26" t="str">
        <x:v>全渠道</x:v>
      </x:c>
      <x:c r="H94" s="32" t="n">
        <x:v>21172</x:v>
      </x:c>
      <x:c r="I94" s="32" t="n">
        <x:v>95</x:v>
      </x:c>
      <x:c r="J94" s="32" t="n">
        <x:v>54</x:v>
      </x:c>
      <x:c r="K94" s="32" t="n">
        <x:v>19766</x:v>
      </x:c>
      <x:c r="L94" s="32" t="n">
        <x:v>96</x:v>
      </x:c>
      <x:c r="M94" s="32" t="n">
        <x:v>50</x:v>
      </x:c>
      <x:c r="N94" s="35" t="n">
        <x:v>201.134</x:v>
      </x:c>
      <x:c r="O94" s="35" t="n">
        <x:v>114.3288</x:v>
      </x:c>
      <x:c r="P94" s="35" t="n">
        <x:v>189.7536</x:v>
      </x:c>
      <x:c r="Q94" s="35" t="n">
        <x:v>98.83</x:v>
      </x:c>
    </x:row>
    <x:row r="95" ht="30" customHeight="1">
      <x:c r="A95" s="26" t="str">
        <x:v>2026-11</x:v>
      </x:c>
      <x:c r="B95" s="26" t="n">
        <x:v>2026</x:v>
      </x:c>
      <x:c r="C95" s="26" t="n">
        <x:v>11</x:v>
      </x:c>
      <x:c r="D95" s="26" t="str">
        <x:v>E1桌面机</x:v>
      </x:c>
      <x:c r="E95" s="26" t="str">
        <x:v>硬件</x:v>
      </x:c>
      <x:c r="F95" s="26" t="str">
        <x:v>桌面级</x:v>
      </x:c>
      <x:c r="G95" s="26" t="str">
        <x:v>直营/电商</x:v>
      </x:c>
      <x:c r="H95" s="32" t="n">
        <x:v>950</x:v>
      </x:c>
      <x:c r="I95" s="32" t="n">
        <x:v>3990</x:v>
      </x:c>
      <x:c r="J95" s="32" t="n">
        <x:v>2916</x:v>
      </x:c>
      <x:c r="K95" s="32" t="n">
        <x:v>1025</x:v>
      </x:c>
      <x:c r="L95" s="32" t="n">
        <x:v>4200</x:v>
      </x:c>
      <x:c r="M95" s="32" t="n">
        <x:v>2781</x:v>
      </x:c>
      <x:c r="N95" s="35" t="n">
        <x:v>379.05</x:v>
      </x:c>
      <x:c r="O95" s="35" t="n">
        <x:v>277.02</x:v>
      </x:c>
      <x:c r="P95" s="35" t="n">
        <x:v>430.5</x:v>
      </x:c>
      <x:c r="Q95" s="35" t="n">
        <x:v>285.0525</x:v>
      </x:c>
    </x:row>
    <x:row r="96" ht="30" customHeight="1">
      <x:c r="A96" s="26" t="str">
        <x:v>2026-11</x:v>
      </x:c>
      <x:c r="B96" s="26" t="n">
        <x:v>2026</x:v>
      </x:c>
      <x:c r="C96" s="26" t="n">
        <x:v>11</x:v>
      </x:c>
      <x:c r="D96" s="26" t="str">
        <x:v>P1专业机</x:v>
      </x:c>
      <x:c r="E96" s="26" t="str">
        <x:v>硬件</x:v>
      </x:c>
      <x:c r="F96" s="26" t="str">
        <x:v>专业级</x:v>
      </x:c>
      <x:c r="G96" s="26" t="str">
        <x:v>经销商</x:v>
      </x:c>
      <x:c r="H96" s="32" t="n">
        <x:v>369</x:v>
      </x:c>
      <x:c r="I96" s="32" t="n">
        <x:v>9604</x:v>
      </x:c>
      <x:c r="J96" s="32" t="n">
        <x:v>6420</x:v>
      </x:c>
      <x:c r="K96" s="32" t="n">
        <x:v>381</x:v>
      </x:c>
      <x:c r="L96" s="32" t="n">
        <x:v>9898</x:v>
      </x:c>
      <x:c r="M96" s="32" t="n">
        <x:v>6180</x:v>
      </x:c>
      <x:c r="N96" s="35" t="n">
        <x:v>354.3876</x:v>
      </x:c>
      <x:c r="O96" s="35" t="n">
        <x:v>236.898</x:v>
      </x:c>
      <x:c r="P96" s="35" t="n">
        <x:v>377.1138</x:v>
      </x:c>
      <x:c r="Q96" s="35" t="n">
        <x:v>235.458</x:v>
      </x:c>
    </x:row>
    <x:row r="97" ht="30" customHeight="1">
      <x:c r="A97" s="26" t="str">
        <x:v>2026-11</x:v>
      </x:c>
      <x:c r="B97" s="26" t="n">
        <x:v>2026</x:v>
      </x:c>
      <x:c r="C97" s="26" t="n">
        <x:v>11</x:v>
      </x:c>
      <x:c r="D97" s="26" t="str">
        <x:v>I1工业机</x:v>
      </x:c>
      <x:c r="E97" s="26" t="str">
        <x:v>硬件</x:v>
      </x:c>
      <x:c r="F97" s="26" t="str">
        <x:v>工业级</x:v>
      </x:c>
      <x:c r="G97" s="26" t="str">
        <x:v>直销</x:v>
      </x:c>
      <x:c r="H97" s="32" t="n">
        <x:v>46</x:v>
      </x:c>
      <x:c r="I97" s="32" t="n">
        <x:v>65650</x:v>
      </x:c>
      <x:c r="J97" s="32" t="n">
        <x:v>45580</x:v>
      </x:c>
      <x:c r="K97" s="32" t="n">
        <x:v>50</x:v>
      </x:c>
      <x:c r="L97" s="32" t="n">
        <x:v>66300</x:v>
      </x:c>
      <x:c r="M97" s="32" t="n">
        <x:v>44290</x:v>
      </x:c>
      <x:c r="N97" s="35" t="n">
        <x:v>301.99</x:v>
      </x:c>
      <x:c r="O97" s="35" t="n">
        <x:v>209.668</x:v>
      </x:c>
      <x:c r="P97" s="35" t="n">
        <x:v>331.5</x:v>
      </x:c>
      <x:c r="Q97" s="35" t="n">
        <x:v>221.45</x:v>
      </x:c>
    </x:row>
    <x:row r="98" ht="30" customHeight="1">
      <x:c r="A98" s="26" t="str">
        <x:v>2026-11</x:v>
      </x:c>
      <x:c r="B98" s="26" t="n">
        <x:v>2026</x:v>
      </x:c>
      <x:c r="C98" s="26" t="n">
        <x:v>11</x:v>
      </x:c>
      <x:c r="D98" s="26" t="str">
        <x:v>耗材</x:v>
      </x:c>
      <x:c r="E98" s="26" t="str">
        <x:v>耗材</x:v>
      </x:c>
      <x:c r="F98" s="26" t="str">
        <x:v>PLA/树脂</x:v>
      </x:c>
      <x:c r="G98" s="26" t="str">
        <x:v>全渠道</x:v>
      </x:c>
      <x:c r="H98" s="32" t="n">
        <x:v>21941</x:v>
      </x:c>
      <x:c r="I98" s="32" t="n">
        <x:v>95</x:v>
      </x:c>
      <x:c r="J98" s="32" t="n">
        <x:v>54</x:v>
      </x:c>
      <x:c r="K98" s="32" t="n">
        <x:v>20789</x:v>
      </x:c>
      <x:c r="L98" s="32" t="n">
        <x:v>96</x:v>
      </x:c>
      <x:c r="M98" s="32" t="n">
        <x:v>50</x:v>
      </x:c>
      <x:c r="N98" s="35" t="n">
        <x:v>208.4395</x:v>
      </x:c>
      <x:c r="O98" s="35" t="n">
        <x:v>118.4814</x:v>
      </x:c>
      <x:c r="P98" s="35" t="n">
        <x:v>199.5744</x:v>
      </x:c>
      <x:c r="Q98" s="35" t="n">
        <x:v>103.945</x:v>
      </x:c>
    </x:row>
    <x:row r="99" ht="30" customHeight="1">
      <x:c r="A99" s="26" t="str">
        <x:v>2026-12</x:v>
      </x:c>
      <x:c r="B99" s="26" t="n">
        <x:v>2026</x:v>
      </x:c>
      <x:c r="C99" s="26" t="n">
        <x:v>12</x:v>
      </x:c>
      <x:c r="D99" s="26" t="str">
        <x:v>E1桌面机</x:v>
      </x:c>
      <x:c r="E99" s="26" t="str">
        <x:v>硬件</x:v>
      </x:c>
      <x:c r="F99" s="26" t="str">
        <x:v>桌面级</x:v>
      </x:c>
      <x:c r="G99" s="26" t="str">
        <x:v>直营/电商</x:v>
      </x:c>
      <x:c r="H99" s="32" t="n">
        <x:v>1050</x:v>
      </x:c>
      <x:c r="I99" s="32" t="n">
        <x:v>3990</x:v>
      </x:c>
      <x:c r="J99" s="32" t="n">
        <x:v>2916</x:v>
      </x:c>
      <x:c r="K99" s="32" t="n">
        <x:v>1134</x:v>
      </x:c>
      <x:c r="L99" s="32" t="n">
        <x:v>4200</x:v>
      </x:c>
      <x:c r="M99" s="32" t="n">
        <x:v>2781</x:v>
      </x:c>
      <x:c r="N99" s="35" t="n">
        <x:v>418.95</x:v>
      </x:c>
      <x:c r="O99" s="35" t="n">
        <x:v>306.18</x:v>
      </x:c>
      <x:c r="P99" s="35" t="n">
        <x:v>476.28</x:v>
      </x:c>
      <x:c r="Q99" s="35" t="n">
        <x:v>315.3654</x:v>
      </x:c>
    </x:row>
    <x:row r="100" ht="30" customHeight="1">
      <x:c r="A100" s="26" t="str">
        <x:v>2026-12</x:v>
      </x:c>
      <x:c r="B100" s="26" t="n">
        <x:v>2026</x:v>
      </x:c>
      <x:c r="C100" s="26" t="n">
        <x:v>12</x:v>
      </x:c>
      <x:c r="D100" s="26" t="str">
        <x:v>P1专业机</x:v>
      </x:c>
      <x:c r="E100" s="26" t="str">
        <x:v>硬件</x:v>
      </x:c>
      <x:c r="F100" s="26" t="str">
        <x:v>专业级</x:v>
      </x:c>
      <x:c r="G100" s="26" t="str">
        <x:v>经销商</x:v>
      </x:c>
      <x:c r="H100" s="32" t="n">
        <x:v>396</x:v>
      </x:c>
      <x:c r="I100" s="32" t="n">
        <x:v>9604</x:v>
      </x:c>
      <x:c r="J100" s="32" t="n">
        <x:v>6420</x:v>
      </x:c>
      <x:c r="K100" s="32" t="n">
        <x:v>421</x:v>
      </x:c>
      <x:c r="L100" s="32" t="n">
        <x:v>9898</x:v>
      </x:c>
      <x:c r="M100" s="32" t="n">
        <x:v>6180</x:v>
      </x:c>
      <x:c r="N100" s="35" t="n">
        <x:v>380.3184</x:v>
      </x:c>
      <x:c r="O100" s="35" t="n">
        <x:v>254.232</x:v>
      </x:c>
      <x:c r="P100" s="35" t="n">
        <x:v>416.7058</x:v>
      </x:c>
      <x:c r="Q100" s="35" t="n">
        <x:v>260.178</x:v>
      </x:c>
    </x:row>
    <x:row r="101" ht="30" customHeight="1">
      <x:c r="A101" s="26" t="str">
        <x:v>2026-12</x:v>
      </x:c>
      <x:c r="B101" s="26" t="n">
        <x:v>2026</x:v>
      </x:c>
      <x:c r="C101" s="26" t="n">
        <x:v>12</x:v>
      </x:c>
      <x:c r="D101" s="26" t="str">
        <x:v>I1工业机</x:v>
      </x:c>
      <x:c r="E101" s="26" t="str">
        <x:v>硬件</x:v>
      </x:c>
      <x:c r="F101" s="26" t="str">
        <x:v>工业级</x:v>
      </x:c>
      <x:c r="G101" s="26" t="str">
        <x:v>直销</x:v>
      </x:c>
      <x:c r="H101" s="32" t="n">
        <x:v>51</x:v>
      </x:c>
      <x:c r="I101" s="32" t="n">
        <x:v>65650</x:v>
      </x:c>
      <x:c r="J101" s="32" t="n">
        <x:v>45580</x:v>
      </x:c>
      <x:c r="K101" s="32" t="n">
        <x:v>56</x:v>
      </x:c>
      <x:c r="L101" s="32" t="n">
        <x:v>66300</x:v>
      </x:c>
      <x:c r="M101" s="32" t="n">
        <x:v>44290</x:v>
      </x:c>
      <x:c r="N101" s="35" t="n">
        <x:v>334.815</x:v>
      </x:c>
      <x:c r="O101" s="35" t="n">
        <x:v>232.458</x:v>
      </x:c>
      <x:c r="P101" s="35" t="n">
        <x:v>371.28</x:v>
      </x:c>
      <x:c r="Q101" s="35" t="n">
        <x:v>248.024</x:v>
      </x:c>
    </x:row>
    <x:row r="102" ht="30" customHeight="1">
      <x:c r="A102" s="27" t="str">
        <x:v>2026-12</x:v>
      </x:c>
      <x:c r="B102" s="27" t="n">
        <x:v>2026</x:v>
      </x:c>
      <x:c r="C102" s="27" t="n">
        <x:v>12</x:v>
      </x:c>
      <x:c r="D102" s="27" t="str">
        <x:v>耗材</x:v>
      </x:c>
      <x:c r="E102" s="27" t="str">
        <x:v>耗材</x:v>
      </x:c>
      <x:c r="F102" s="27" t="str">
        <x:v>PLA/树脂</x:v>
      </x:c>
      <x:c r="G102" s="27" t="str">
        <x:v>全渠道</x:v>
      </x:c>
      <x:c r="H102" s="33" t="n">
        <x:v>25060</x:v>
      </x:c>
      <x:c r="I102" s="33" t="n">
        <x:v>95</x:v>
      </x:c>
      <x:c r="J102" s="33" t="n">
        <x:v>54</x:v>
      </x:c>
      <x:c r="K102" s="33" t="n">
        <x:v>23004</x:v>
      </x:c>
      <x:c r="L102" s="33" t="n">
        <x:v>96</x:v>
      </x:c>
      <x:c r="M102" s="33" t="n">
        <x:v>50</x:v>
      </x:c>
      <x:c r="N102" s="36" t="n">
        <x:v>238.07</x:v>
      </x:c>
      <x:c r="O102" s="36" t="n">
        <x:v>135.324</x:v>
      </x:c>
      <x:c r="P102" s="36" t="n">
        <x:v>220.8384</x:v>
      </x:c>
      <x:c r="Q102" s="36" t="n">
        <x:v>115.02</x:v>
      </x:c>
    </x:row>
  </x:sheetData>
  <x:mergeCells>
    <x:mergeCell ref="A2:Q2"/>
    <x:mergeCell ref="A3:Q3"/>
  </x:mergeCells>
  <x:pageMargins left="0.7" right="0.7" top="0.75" bottom="0.75" header="0.3" footer="0.3"/>
  <x:tableParts count="1">
    <x:tablePart xmlns:r="http://schemas.openxmlformats.org/officeDocument/2006/relationships" r:id="R95314cf2b7224c7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8" hidden="0" customWidth="1"/>
  </x:cols>
  <x:sheetData>
    <x:row r="2" ht="26" customHeight="1">
      <x:c r="A2" s="1" t="str">
        <x:v>月度财务数据</x:v>
      </x:c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</x:row>
    <x:row r="3" ht="24" customHeight="1">
      <x:c r="A3" s="3" t="str">
        <x:v>公式汇总产品明细，并建立利润与经营现金流基础。</x:v>
      </x:c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</x:row>
    <x:row r="4">
      <x:c r="A4" s="43"/>
      <x:c r="B4" s="43"/>
      <x:c r="C4" s="43"/>
      <x:c r="D4" s="43"/>
      <x:c r="E4" s="43"/>
      <x:c r="F4" s="43"/>
      <x:c r="G4" s="43"/>
      <x:c r="H4" s="43"/>
      <x:c r="I4" s="43"/>
      <x:c r="J4" s="43"/>
      <x:c r="K4" s="43"/>
      <x:c r="L4" s="43"/>
    </x:row>
    <x:row r="5">
      <x:c r="A5" s="43"/>
      <x:c r="B5" s="43"/>
      <x:c r="C5" s="43"/>
      <x:c r="D5" s="43"/>
      <x:c r="E5" s="43"/>
      <x:c r="F5" s="43"/>
      <x:c r="G5" s="43"/>
      <x:c r="H5" s="43"/>
      <x:c r="I5" s="43"/>
      <x:c r="J5" s="43"/>
      <x:c r="K5" s="43"/>
      <x:c r="L5" s="43"/>
    </x:row>
    <x:row r="6" ht="32" customHeight="1">
      <x:c r="A6" s="21" t="str">
        <x:v>月份</x:v>
      </x:c>
      <x:c r="B6" s="21" t="str">
        <x:v>实际收入</x:v>
      </x:c>
      <x:c r="C6" s="21" t="str">
        <x:v>预算收入</x:v>
      </x:c>
      <x:c r="D6" s="21" t="str">
        <x:v>实际成本</x:v>
      </x:c>
      <x:c r="E6" s="21" t="str">
        <x:v>毛利</x:v>
      </x:c>
      <x:c r="F6" s="21" t="str">
        <x:v>毛利率</x:v>
      </x:c>
      <x:c r="G6" s="21" t="str">
        <x:v>销售费用</x:v>
      </x:c>
      <x:c r="H6" s="21" t="str">
        <x:v>管理费用</x:v>
      </x:c>
      <x:c r="I6" s="21" t="str">
        <x:v>研发费用</x:v>
      </x:c>
      <x:c r="J6" s="21" t="str">
        <x:v>财务费用</x:v>
      </x:c>
      <x:c r="K6" s="21" t="str">
        <x:v>营业利润</x:v>
      </x:c>
      <x:c r="L6" s="21" t="str">
        <x:v>经营现金流</x:v>
      </x:c>
    </x:row>
    <x:row r="7" ht="30" customHeight="1">
      <x:c r="A7" s="25" t="str">
        <x:v>2025-01</x:v>
      </x:c>
      <x:c r="B7" s="37" t="n">
        <x:f>SUMIFS('03-销售明细'!$N$7:$N$102,'03-销售明细'!$A$7:$A$102,$A7)</x:f>
        <x:v>718.6552</x:v>
      </x:c>
      <x:c r="C7" s="37" t="n">
        <x:f>SUMIFS('03-销售明细'!$P$7:$P$102,'03-销售明细'!$A$7:$A$102,$A7)</x:f>
        <x:v>713.168</x:v>
      </x:c>
      <x:c r="D7" s="37" t="n">
        <x:f>SUMIFS('03-销售明细'!$O$7:$O$102,'03-销售明细'!$A$7:$A$102,$A7)</x:f>
        <x:v>448.69879999999995</x:v>
      </x:c>
      <x:c r="E7" s="37" t="n">
        <x:f>B7-D7</x:f>
        <x:v>269.9564000000001</x:v>
      </x:c>
      <x:c r="F7" s="40" t="n">
        <x:f>IFERROR(E7/B7,0)</x:f>
        <x:v>0.37564105846586804</x:v>
      </x:c>
      <x:c r="G7" s="37" t="n">
        <x:f>B7*8%+40</x:f>
        <x:v>97.492416</x:v>
      </x:c>
      <x:c r="H7" s="37" t="n">
        <x:f>180+MOD(ROW(),3)*5</x:f>
        <x:v>185</x:v>
      </x:c>
      <x:c r="I7" s="37" t="n">
        <x:f>IF(LEFT(A7,4)="2026",425,300)</x:f>
        <x:v>300</x:v>
      </x:c>
      <x:c r="J7" s="37" t="n">
        <x:f>IF(LEFT(A7,4)="2026",55,35)</x:f>
        <x:v>35</x:v>
      </x:c>
      <x:c r="K7" s="37" t="n">
        <x:f>E7-G7-H7-I7-J7</x:f>
        <x:v>-347.5360159999999</x:v>
      </x:c>
      <x:c r="L7" s="37" t="n">
        <x:f>K7-B7*6%-IF(LEFT(A7,4)="2026",250,80)</x:f>
        <x:v>-470.6553279999999</x:v>
      </x:c>
    </x:row>
    <x:row r="8" ht="30" customHeight="1">
      <x:c r="A8" s="26" t="str">
        <x:v>2025-02</x:v>
      </x:c>
      <x:c r="B8" s="38" t="n">
        <x:f>SUMIFS('03-销售明细'!$N$7:$N$102,'03-销售明细'!$A$7:$A$102,$A8)</x:f>
        <x:v>677.5484</x:v>
      </x:c>
      <x:c r="C8" s="38" t="n">
        <x:f>SUMIFS('03-销售明细'!$P$7:$P$102,'03-销售明细'!$A$7:$A$102,$A8)</x:f>
        <x:v>674.1919999999999</x:v>
      </x:c>
      <x:c r="D8" s="38" t="n">
        <x:f>SUMIFS('03-销售明细'!$O$7:$O$102,'03-销售明细'!$A$7:$A$102,$A8)</x:f>
        <x:v>422.67960000000005</x:v>
      </x:c>
      <x:c r="E8" s="38" t="n">
        <x:f>B8-D8</x:f>
        <x:v>254.86879999999996</x:v>
      </x:c>
      <x:c r="F8" s="41" t="n">
        <x:f>IFERROR(E8/B8,0)</x:f>
        <x:v>0.37616323793252254</x:v>
      </x:c>
      <x:c r="G8" s="38" t="n">
        <x:f>B8*8%+40</x:f>
        <x:v>94.203872</x:v>
      </x:c>
      <x:c r="H8" s="38" t="n">
        <x:f>180+MOD(ROW(),3)*5</x:f>
        <x:v>190</x:v>
      </x:c>
      <x:c r="I8" s="38" t="n">
        <x:f>IF(LEFT(A8,4)="2026",425,300)</x:f>
        <x:v>300</x:v>
      </x:c>
      <x:c r="J8" s="38" t="n">
        <x:f>IF(LEFT(A8,4)="2026",55,35)</x:f>
        <x:v>35</x:v>
      </x:c>
      <x:c r="K8" s="38" t="n">
        <x:f>E8-G8-H8-I8-J8</x:f>
        <x:v>-364.335072</x:v>
      </x:c>
      <x:c r="L8" s="38" t="n">
        <x:f>K8-B8*6%-IF(LEFT(A8,4)="2026",250,80)</x:f>
        <x:v>-484.987976</x:v>
      </x:c>
    </x:row>
    <x:row r="9" ht="30" customHeight="1">
      <x:c r="A9" s="26" t="str">
        <x:v>2025-03</x:v>
      </x:c>
      <x:c r="B9" s="38" t="n">
        <x:f>SUMIFS('03-销售明细'!$N$7:$N$102,'03-销售明细'!$A$7:$A$102,$A9)</x:f>
        <x:v>795.5036</x:v>
      </x:c>
      <x:c r="C9" s="38" t="n">
        <x:f>SUMIFS('03-销售明细'!$P$7:$P$102,'03-销售明细'!$A$7:$A$102,$A9)</x:f>
        <x:v>796.628</x:v>
      </x:c>
      <x:c r="D9" s="38" t="n">
        <x:f>SUMIFS('03-销售明细'!$O$7:$O$102,'03-销售明细'!$A$7:$A$102,$A9)</x:f>
        <x:v>496.4984</x:v>
      </x:c>
      <x:c r="E9" s="38" t="n">
        <x:f>B9-D9</x:f>
        <x:v>299.0052</x:v>
      </x:c>
      <x:c r="F9" s="41" t="n">
        <x:f>IFERROR(E9/B9,0)</x:f>
        <x:v>0.3758690721198496</x:v>
      </x:c>
      <x:c r="G9" s="38" t="n">
        <x:f>B9*8%+40</x:f>
        <x:v>103.640288</x:v>
      </x:c>
      <x:c r="H9" s="38" t="n">
        <x:f>180+MOD(ROW(),3)*5</x:f>
        <x:v>180</x:v>
      </x:c>
      <x:c r="I9" s="38" t="n">
        <x:f>IF(LEFT(A9,4)="2026",425,300)</x:f>
        <x:v>300</x:v>
      </x:c>
      <x:c r="J9" s="38" t="n">
        <x:f>IF(LEFT(A9,4)="2026",55,35)</x:f>
        <x:v>35</x:v>
      </x:c>
      <x:c r="K9" s="38" t="n">
        <x:f>E9-G9-H9-I9-J9</x:f>
        <x:v>-319.635088</x:v>
      </x:c>
      <x:c r="L9" s="38" t="n">
        <x:f>K9-B9*6%-IF(LEFT(A9,4)="2026",250,80)</x:f>
        <x:v>-447.365304</x:v>
      </x:c>
    </x:row>
    <x:row r="10" ht="30" customHeight="1">
      <x:c r="A10" s="26" t="str">
        <x:v>2025-04</x:v>
      </x:c>
      <x:c r="B10" s="38" t="n">
        <x:f>SUMIFS('03-销售明细'!$N$7:$N$102,'03-销售明细'!$A$7:$A$102,$A10)</x:f>
        <x:v>828.692</x:v>
      </x:c>
      <x:c r="C10" s="38" t="n">
        <x:f>SUMIFS('03-销售明细'!$P$7:$P$102,'03-销售明细'!$A$7:$A$102,$A10)</x:f>
        <x:v>834.624</x:v>
      </x:c>
      <x:c r="D10" s="38" t="n">
        <x:f>SUMIFS('03-销售明细'!$O$7:$O$102,'03-销售明细'!$A$7:$A$102,$A10)</x:f>
        <x:v>516.918</x:v>
      </x:c>
      <x:c r="E10" s="38" t="n">
        <x:f>B10-D10</x:f>
        <x:v>311.774</x:v>
      </x:c>
      <x:c r="F10" s="41" t="n">
        <x:f>IFERROR(E10/B10,0)</x:f>
        <x:v>0.37622421840683873</x:v>
      </x:c>
      <x:c r="G10" s="38" t="n">
        <x:f>B10*8%+40</x:f>
        <x:v>106.29536</x:v>
      </x:c>
      <x:c r="H10" s="38" t="n">
        <x:f>180+MOD(ROW(),3)*5</x:f>
        <x:v>185</x:v>
      </x:c>
      <x:c r="I10" s="38" t="n">
        <x:f>IF(LEFT(A10,4)="2026",425,300)</x:f>
        <x:v>300</x:v>
      </x:c>
      <x:c r="J10" s="38" t="n">
        <x:f>IF(LEFT(A10,4)="2026",55,35)</x:f>
        <x:v>35</x:v>
      </x:c>
      <x:c r="K10" s="38" t="n">
        <x:f>E10-G10-H10-I10-J10</x:f>
        <x:v>-314.52136</x:v>
      </x:c>
      <x:c r="L10" s="38" t="n">
        <x:f>K10-B10*6%-IF(LEFT(A10,4)="2026",250,80)</x:f>
        <x:v>-444.24288</x:v>
      </x:c>
    </x:row>
    <x:row r="11" ht="30" customHeight="1">
      <x:c r="A11" s="26" t="str">
        <x:v>2025-05</x:v>
      </x:c>
      <x:c r="B11" s="38" t="n">
        <x:f>SUMIFS('03-销售明细'!$N$7:$N$102,'03-销售明细'!$A$7:$A$102,$A11)</x:f>
        <x:v>880.4572000000001</x:v>
      </x:c>
      <x:c r="C11" s="38" t="n">
        <x:f>SUMIFS('03-销售明细'!$P$7:$P$102,'03-销售明细'!$A$7:$A$102,$A11)</x:f>
        <x:v>886.588</x:v>
      </x:c>
      <x:c r="D11" s="38" t="n">
        <x:f>SUMIFS('03-销售明细'!$O$7:$O$102,'03-销售明细'!$A$7:$A$102,$A11)</x:f>
        <x:v>549.2568</x:v>
      </x:c>
      <x:c r="E11" s="38" t="n">
        <x:f>B11-D11</x:f>
        <x:v>331.20040000000006</x:v>
      </x:c>
      <x:c r="F11" s="41" t="n">
        <x:f>IFERROR(E11/B11,0)</x:f>
        <x:v>0.3761686541946616</x:v>
      </x:c>
      <x:c r="G11" s="38" t="n">
        <x:f>B11*8%+40</x:f>
        <x:v>110.436576</x:v>
      </x:c>
      <x:c r="H11" s="38" t="n">
        <x:f>180+MOD(ROW(),3)*5</x:f>
        <x:v>190</x:v>
      </x:c>
      <x:c r="I11" s="38" t="n">
        <x:f>IF(LEFT(A11,4)="2026",425,300)</x:f>
        <x:v>300</x:v>
      </x:c>
      <x:c r="J11" s="38" t="n">
        <x:f>IF(LEFT(A11,4)="2026",55,35)</x:f>
        <x:v>35</x:v>
      </x:c>
      <x:c r="K11" s="38" t="n">
        <x:f>E11-G11-H11-I11-J11</x:f>
        <x:v>-304.23617599999994</x:v>
      </x:c>
      <x:c r="L11" s="38" t="n">
        <x:f>K11-B11*6%-IF(LEFT(A11,4)="2026",250,80)</x:f>
        <x:v>-437.06360799999993</x:v>
      </x:c>
    </x:row>
    <x:row r="12" ht="30" customHeight="1">
      <x:c r="A12" s="26" t="str">
        <x:v>2025-06</x:v>
      </x:c>
      <x:c r="B12" s="38" t="n">
        <x:f>SUMIFS('03-销售明细'!$N$7:$N$102,'03-销售明细'!$A$7:$A$102,$A12)</x:f>
        <x:v>900.054</x:v>
      </x:c>
      <x:c r="C12" s="38" t="n">
        <x:f>SUMIFS('03-销售明细'!$P$7:$P$102,'03-销售明细'!$A$7:$A$102,$A12)</x:f>
        <x:v>912.0799999999999</x:v>
      </x:c>
      <x:c r="D12" s="38" t="n">
        <x:f>SUMIFS('03-销售明细'!$O$7:$O$102,'03-销售明细'!$A$7:$A$102,$A12)</x:f>
        <x:v>561.666</x:v>
      </x:c>
      <x:c r="E12" s="38" t="n">
        <x:f>B12-D12</x:f>
        <x:v>338.3879999999999</x:v>
      </x:c>
      <x:c r="F12" s="41" t="n">
        <x:f>IFERROR(E12/B12,0)</x:f>
        <x:v>0.37596410882013737</x:v>
      </x:c>
      <x:c r="G12" s="38" t="n">
        <x:f>B12*8%+40</x:f>
        <x:v>112.00431999999999</x:v>
      </x:c>
      <x:c r="H12" s="38" t="n">
        <x:f>180+MOD(ROW(),3)*5</x:f>
        <x:v>180</x:v>
      </x:c>
      <x:c r="I12" s="38" t="n">
        <x:f>IF(LEFT(A12,4)="2026",425,300)</x:f>
        <x:v>300</x:v>
      </x:c>
      <x:c r="J12" s="38" t="n">
        <x:f>IF(LEFT(A12,4)="2026",55,35)</x:f>
        <x:v>35</x:v>
      </x:c>
      <x:c r="K12" s="38" t="n">
        <x:f>E12-G12-H12-I12-J12</x:f>
        <x:v>-288.6163200000001</x:v>
      </x:c>
      <x:c r="L12" s="38" t="n">
        <x:f>K12-B12*6%-IF(LEFT(A12,4)="2026",250,80)</x:f>
        <x:v>-422.6195600000001</x:v>
      </x:c>
    </x:row>
    <x:row r="13" ht="30" customHeight="1">
      <x:c r="A13" s="26" t="str">
        <x:v>2025-07</x:v>
      </x:c>
      <x:c r="B13" s="38" t="n">
        <x:f>SUMIFS('03-销售明细'!$N$7:$N$102,'03-销售明细'!$A$7:$A$102,$A13)</x:f>
        <x:v>881.4228</x:v>
      </x:c>
      <x:c r="C13" s="38" t="n">
        <x:f>SUMIFS('03-销售明细'!$P$7:$P$102,'03-销售明细'!$A$7:$A$102,$A13)</x:f>
        <x:v>867.1</x:v>
      </x:c>
      <x:c r="D13" s="38" t="n">
        <x:f>SUMIFS('03-销售明细'!$O$7:$O$102,'03-销售明细'!$A$7:$A$102,$A13)</x:f>
        <x:v>550.2432</x:v>
      </x:c>
      <x:c r="E13" s="38" t="n">
        <x:f>B13-D13</x:f>
        <x:v>331.17960000000005</x:v>
      </x:c>
      <x:c r="F13" s="41" t="n">
        <x:f>IFERROR(E13/B13,0)</x:f>
        <x:v>0.3757329626599176</x:v>
      </x:c>
      <x:c r="G13" s="38" t="n">
        <x:f>B13*8%+40</x:f>
        <x:v>110.513824</x:v>
      </x:c>
      <x:c r="H13" s="38" t="n">
        <x:f>180+MOD(ROW(),3)*5</x:f>
        <x:v>185</x:v>
      </x:c>
      <x:c r="I13" s="38" t="n">
        <x:f>IF(LEFT(A13,4)="2026",425,300)</x:f>
        <x:v>300</x:v>
      </x:c>
      <x:c r="J13" s="38" t="n">
        <x:f>IF(LEFT(A13,4)="2026",55,35)</x:f>
        <x:v>35</x:v>
      </x:c>
      <x:c r="K13" s="38" t="n">
        <x:f>E13-G13-H13-I13-J13</x:f>
        <x:v>-299.33422399999995</x:v>
      </x:c>
      <x:c r="L13" s="38" t="n">
        <x:f>K13-B13*6%-IF(LEFT(A13,4)="2026",250,80)</x:f>
        <x:v>-432.2195919999999</x:v>
      </x:c>
    </x:row>
    <x:row r="14" ht="30" customHeight="1">
      <x:c r="A14" s="26" t="str">
        <x:v>2025-08</x:v>
      </x:c>
      <x:c r="B14" s="38" t="n">
        <x:f>SUMIFS('03-销售明细'!$N$7:$N$102,'03-销售明细'!$A$7:$A$102,$A14)</x:f>
        <x:v>936.7388000000001</x:v>
      </x:c>
      <x:c r="C14" s="38" t="n">
        <x:f>SUMIFS('03-销售明细'!$P$7:$P$102,'03-销售明细'!$A$7:$A$102,$A14)</x:f>
        <x:v>937.5719999999999</x:v>
      </x:c>
      <x:c r="D14" s="38" t="n">
        <x:f>SUMIFS('03-销售明细'!$O$7:$O$102,'03-销售明细'!$A$7:$A$102,$A14)</x:f>
        <x:v>584.3571999999999</x:v>
      </x:c>
      <x:c r="E14" s="38" t="n">
        <x:f>B14-D14</x:f>
        <x:v>352.38160000000016</x:v>
      </x:c>
      <x:c r="F14" s="41" t="n">
        <x:f>IFERROR(E14/B14,0)</x:f>
        <x:v>0.37617914406876296</x:v>
      </x:c>
      <x:c r="G14" s="38" t="n">
        <x:f>B14*8%+40</x:f>
        <x:v>114.93910400000001</x:v>
      </x:c>
      <x:c r="H14" s="38" t="n">
        <x:f>180+MOD(ROW(),3)*5</x:f>
        <x:v>190</x:v>
      </x:c>
      <x:c r="I14" s="38" t="n">
        <x:f>IF(LEFT(A14,4)="2026",425,300)</x:f>
        <x:v>300</x:v>
      </x:c>
      <x:c r="J14" s="38" t="n">
        <x:f>IF(LEFT(A14,4)="2026",55,35)</x:f>
        <x:v>35</x:v>
      </x:c>
      <x:c r="K14" s="38" t="n">
        <x:f>E14-G14-H14-I14-J14</x:f>
        <x:v>-287.5575039999999</x:v>
      </x:c>
      <x:c r="L14" s="38" t="n">
        <x:f>K14-B14*6%-IF(LEFT(A14,4)="2026",250,80)</x:f>
        <x:v>-423.7618319999999</x:v>
      </x:c>
    </x:row>
    <x:row r="15" ht="30" customHeight="1">
      <x:c r="A15" s="26" t="str">
        <x:v>2025-09</x:v>
      </x:c>
      <x:c r="B15" s="38" t="n">
        <x:f>SUMIFS('03-销售明细'!$N$7:$N$102,'03-销售明细'!$A$7:$A$102,$A15)</x:f>
        <x:v>972.94</x:v>
      </x:c>
      <x:c r="C15" s="38" t="n">
        <x:f>SUMIFS('03-销售明细'!$P$7:$P$102,'03-销售明细'!$A$7:$A$102,$A15)</x:f>
        <x:v>970.048</x:v>
      </x:c>
      <x:c r="D15" s="38" t="n">
        <x:f>SUMIFS('03-销售明细'!$O$7:$O$102,'03-销售明细'!$A$7:$A$102,$A15)</x:f>
        <x:v>607.66</x:v>
      </x:c>
      <x:c r="E15" s="38" t="n">
        <x:f>B15-D15</x:f>
        <x:v>365.2800000000001</x:v>
      </x:c>
      <x:c r="F15" s="41" t="n">
        <x:f>IFERROR(E15/B15,0)</x:f>
        <x:v>0.37543938989043524</x:v>
      </x:c>
      <x:c r="G15" s="38" t="n">
        <x:f>B15*8%+40</x:f>
        <x:v>117.8352</x:v>
      </x:c>
      <x:c r="H15" s="38" t="n">
        <x:f>180+MOD(ROW(),3)*5</x:f>
        <x:v>180</x:v>
      </x:c>
      <x:c r="I15" s="38" t="n">
        <x:f>IF(LEFT(A15,4)="2026",425,300)</x:f>
        <x:v>300</x:v>
      </x:c>
      <x:c r="J15" s="38" t="n">
        <x:f>IF(LEFT(A15,4)="2026",55,35)</x:f>
        <x:v>35</x:v>
      </x:c>
      <x:c r="K15" s="38" t="n">
        <x:f>E15-G15-H15-I15-J15</x:f>
        <x:v>-267.5551999999999</x:v>
      </x:c>
      <x:c r="L15" s="38" t="n">
        <x:f>K15-B15*6%-IF(LEFT(A15,4)="2026",250,80)</x:f>
        <x:v>-405.9315999999999</x:v>
      </x:c>
    </x:row>
    <x:row r="16" ht="30" customHeight="1">
      <x:c r="A16" s="26" t="str">
        <x:v>2025-10</x:v>
      </x:c>
      <x:c r="B16" s="38" t="n">
        <x:f>SUMIFS('03-销售明细'!$N$7:$N$102,'03-销售明细'!$A$7:$A$102,$A16)</x:f>
        <x:v>1004.8044</x:v>
      </x:c>
      <x:c r="C16" s="38" t="n">
        <x:f>SUMIFS('03-销售明细'!$P$7:$P$102,'03-销售明细'!$A$7:$A$102,$A16)</x:f>
        <x:v>1008.044</x:v>
      </x:c>
      <x:c r="D16" s="38" t="n">
        <x:f>SUMIFS('03-销售明细'!$O$7:$O$102,'03-销售明细'!$A$7:$A$102,$A16)</x:f>
        <x:v>626.5936</x:v>
      </x:c>
      <x:c r="E16" s="38" t="n">
        <x:f>B16-D16</x:f>
        <x:v>378.21079999999995</x:v>
      </x:c>
      <x:c r="F16" s="41" t="n">
        <x:f>IFERROR(E16/B16,0)</x:f>
        <x:v>0.37640241225058324</x:v>
      </x:c>
      <x:c r="G16" s="38" t="n">
        <x:f>B16*8%+40</x:f>
        <x:v>120.384352</x:v>
      </x:c>
      <x:c r="H16" s="38" t="n">
        <x:f>180+MOD(ROW(),3)*5</x:f>
        <x:v>185</x:v>
      </x:c>
      <x:c r="I16" s="38" t="n">
        <x:f>IF(LEFT(A16,4)="2026",425,300)</x:f>
        <x:v>300</x:v>
      </x:c>
      <x:c r="J16" s="38" t="n">
        <x:f>IF(LEFT(A16,4)="2026",55,35)</x:f>
        <x:v>35</x:v>
      </x:c>
      <x:c r="K16" s="38" t="n">
        <x:f>E16-G16-H16-I16-J16</x:f>
        <x:v>-262.1735520000001</x:v>
      </x:c>
      <x:c r="L16" s="38" t="n">
        <x:f>K16-B16*6%-IF(LEFT(A16,4)="2026",250,80)</x:f>
        <x:v>-402.4618160000001</x:v>
      </x:c>
    </x:row>
    <x:row r="17" ht="30" customHeight="1">
      <x:c r="A17" s="26" t="str">
        <x:v>2025-11</x:v>
      </x:c>
      <x:c r="B17" s="38" t="n">
        <x:f>SUMIFS('03-销售明细'!$N$7:$N$102,'03-销售明细'!$A$7:$A$102,$A17)</x:f>
        <x:v>1053.754</x:v>
      </x:c>
      <x:c r="C17" s="38" t="n">
        <x:f>SUMIFS('03-销售明细'!$P$7:$P$102,'03-销售明细'!$A$7:$A$102,$A17)</x:f>
        <x:v>1060.0079999999998</x:v>
      </x:c>
      <x:c r="D17" s="38" t="n">
        <x:f>SUMIFS('03-销售明细'!$O$7:$O$102,'03-销售明细'!$A$7:$A$102,$A17)</x:f>
        <x:v>657.5260000000001</x:v>
      </x:c>
      <x:c r="E17" s="38" t="n">
        <x:f>B17-D17</x:f>
        <x:v>396.22799999999984</x:v>
      </x:c>
      <x:c r="F17" s="41" t="n">
        <x:f>IFERROR(E17/B17,0)</x:f>
        <x:v>0.37601565450759844</x:v>
      </x:c>
      <x:c r="G17" s="38" t="n">
        <x:f>B17*8%+40</x:f>
        <x:v>124.30032</x:v>
      </x:c>
      <x:c r="H17" s="38" t="n">
        <x:f>180+MOD(ROW(),3)*5</x:f>
        <x:v>190</x:v>
      </x:c>
      <x:c r="I17" s="38" t="n">
        <x:f>IF(LEFT(A17,4)="2026",425,300)</x:f>
        <x:v>300</x:v>
      </x:c>
      <x:c r="J17" s="38" t="n">
        <x:f>IF(LEFT(A17,4)="2026",55,35)</x:f>
        <x:v>35</x:v>
      </x:c>
      <x:c r="K17" s="38" t="n">
        <x:f>E17-G17-H17-I17-J17</x:f>
        <x:v>-253.07232000000016</x:v>
      </x:c>
      <x:c r="L17" s="38" t="n">
        <x:f>K17-B17*6%-IF(LEFT(A17,4)="2026",250,80)</x:f>
        <x:v>-396.29756000000015</x:v>
      </x:c>
    </x:row>
    <x:row r="18" ht="30" customHeight="1">
      <x:c r="A18" s="26" t="str">
        <x:v>2025-12</x:v>
      </x:c>
      <x:c r="B18" s="38" t="n">
        <x:f>SUMIFS('03-销售明细'!$N$7:$N$102,'03-销售明细'!$A$7:$A$102,$A18)</x:f>
        <x:v>1151.7192</x:v>
      </x:c>
      <x:c r="C18" s="38" t="n">
        <x:f>SUMIFS('03-销售明细'!$P$7:$P$102,'03-销售明细'!$A$7:$A$102,$A18)</x:f>
        <x:v>1168.96</x:v>
      </x:c>
      <x:c r="D18" s="38" t="n">
        <x:f>SUMIFS('03-销售明细'!$O$7:$O$102,'03-销售明细'!$A$7:$A$102,$A18)</x:f>
        <x:v>718.6048000000001</x:v>
      </x:c>
      <x:c r="E18" s="38" t="n">
        <x:f>B18-D18</x:f>
        <x:v>433.11439999999993</x:v>
      </x:c>
      <x:c r="F18" s="41" t="n">
        <x:f>IFERROR(E18/B18,0)</x:f>
        <x:v>0.37605902549857634</x:v>
      </x:c>
      <x:c r="G18" s="38" t="n">
        <x:f>B18*8%+40</x:f>
        <x:v>132.137536</x:v>
      </x:c>
      <x:c r="H18" s="38" t="n">
        <x:f>180+MOD(ROW(),3)*5</x:f>
        <x:v>180</x:v>
      </x:c>
      <x:c r="I18" s="38" t="n">
        <x:f>IF(LEFT(A18,4)="2026",425,300)</x:f>
        <x:v>300</x:v>
      </x:c>
      <x:c r="J18" s="38" t="n">
        <x:f>IF(LEFT(A18,4)="2026",55,35)</x:f>
        <x:v>35</x:v>
      </x:c>
      <x:c r="K18" s="38" t="n">
        <x:f>E18-G18-H18-I18-J18</x:f>
        <x:v>-214.02313600000008</x:v>
      </x:c>
      <x:c r="L18" s="38" t="n">
        <x:f>K18-B18*6%-IF(LEFT(A18,4)="2026",250,80)</x:f>
        <x:v>-363.12628800000005</x:v>
      </x:c>
    </x:row>
    <x:row r="19" ht="30" customHeight="1">
      <x:c r="A19" s="26" t="str">
        <x:v>2026-01</x:v>
      </x:c>
      <x:c r="B19" s="38" t="n">
        <x:f>SUMIFS('03-销售明细'!$N$7:$N$102,'03-销售明细'!$A$7:$A$102,$A19)</x:f>
        <x:v>852.8538000000001</x:v>
      </x:c>
      <x:c r="C19" s="38" t="n">
        <x:f>SUMIFS('03-销售明细'!$P$7:$P$102,'03-销售明细'!$A$7:$A$102,$A19)</x:f>
        <x:v>902.3296</x:v>
      </x:c>
      <x:c r="D19" s="38" t="n">
        <x:f>SUMIFS('03-销售明细'!$O$7:$O$102,'03-销售明细'!$A$7:$A$102,$A19)</x:f>
        <x:v>591.2284000000001</x:v>
      </x:c>
      <x:c r="E19" s="38" t="n">
        <x:f>B19-D19</x:f>
        <x:v>261.6254</x:v>
      </x:c>
      <x:c r="F19" s="41" t="n">
        <x:f>IFERROR(E19/B19,0)</x:f>
        <x:v>0.30676465298038186</x:v>
      </x:c>
      <x:c r="G19" s="38" t="n">
        <x:f>B19*8%+40</x:f>
        <x:v>108.22830400000001</x:v>
      </x:c>
      <x:c r="H19" s="38" t="n">
        <x:f>180+MOD(ROW(),3)*5</x:f>
        <x:v>185</x:v>
      </x:c>
      <x:c r="I19" s="38" t="n">
        <x:f>IF(LEFT(A19,4)="2026",425,300)</x:f>
        <x:v>425</x:v>
      </x:c>
      <x:c r="J19" s="38" t="n">
        <x:f>IF(LEFT(A19,4)="2026",55,35)</x:f>
        <x:v>55</x:v>
      </x:c>
      <x:c r="K19" s="38" t="n">
        <x:f>E19-G19-H19-I19-J19</x:f>
        <x:v>-511.60290399999997</x:v>
      </x:c>
      <x:c r="L19" s="38" t="n">
        <x:f>K19-B19*6%-IF(LEFT(A19,4)="2026",250,80)</x:f>
        <x:v>-812.774132</x:v>
      </x:c>
    </x:row>
    <x:row r="20" ht="30" customHeight="1">
      <x:c r="A20" s="26" t="str">
        <x:v>2026-02</x:v>
      </x:c>
      <x:c r="B20" s="38" t="n">
        <x:f>SUMIFS('03-销售明细'!$N$7:$N$102,'03-销售明细'!$A$7:$A$102,$A20)</x:f>
        <x:v>798.6232</x:v>
      </x:c>
      <x:c r="C20" s="38" t="n">
        <x:f>SUMIFS('03-销售明细'!$P$7:$P$102,'03-销售明细'!$A$7:$A$102,$A20)</x:f>
        <x:v>855.375</x:v>
      </x:c>
      <x:c r="D20" s="38" t="n">
        <x:f>SUMIFS('03-销售明细'!$O$7:$O$102,'03-销售明细'!$A$7:$A$102,$A20)</x:f>
        <x:v>554.0253</x:v>
      </x:c>
      <x:c r="E20" s="38" t="n">
        <x:f>B20-D20</x:f>
        <x:v>244.59789999999998</x:v>
      </x:c>
      <x:c r="F20" s="41" t="n">
        <x:f>IFERROR(E20/B20,0)</x:f>
        <x:v>0.3062744733686675</x:v>
      </x:c>
      <x:c r="G20" s="38" t="n">
        <x:f>B20*8%+40</x:f>
        <x:v>103.88985600000001</x:v>
      </x:c>
      <x:c r="H20" s="38" t="n">
        <x:f>180+MOD(ROW(),3)*5</x:f>
        <x:v>190</x:v>
      </x:c>
      <x:c r="I20" s="38" t="n">
        <x:f>IF(LEFT(A20,4)="2026",425,300)</x:f>
        <x:v>425</x:v>
      </x:c>
      <x:c r="J20" s="38" t="n">
        <x:f>IF(LEFT(A20,4)="2026",55,35)</x:f>
        <x:v>55</x:v>
      </x:c>
      <x:c r="K20" s="38" t="n">
        <x:f>E20-G20-H20-I20-J20</x:f>
        <x:v>-529.291956</x:v>
      </x:c>
      <x:c r="L20" s="38" t="n">
        <x:f>K20-B20*6%-IF(LEFT(A20,4)="2026",250,80)</x:f>
        <x:v>-827.209348</x:v>
      </x:c>
    </x:row>
    <x:row r="21" ht="30" customHeight="1">
      <x:c r="A21" s="26" t="str">
        <x:v>2026-03</x:v>
      </x:c>
      <x:c r="B21" s="38" t="n">
        <x:f>SUMIFS('03-销售明细'!$N$7:$N$102,'03-销售明细'!$A$7:$A$102,$A21)</x:f>
        <x:v>940.3321000000001</x:v>
      </x:c>
      <x:c r="C21" s="38" t="n">
        <x:f>SUMIFS('03-销售明细'!$P$7:$P$102,'03-销售明细'!$A$7:$A$102,$A21)</x:f>
        <x:v>1011.1718000000001</x:v>
      </x:c>
      <x:c r="D21" s="38" t="n">
        <x:f>SUMIFS('03-销售明细'!$O$7:$O$102,'03-销售明细'!$A$7:$A$102,$A21)</x:f>
        <x:v>652.2984</x:v>
      </x:c>
      <x:c r="E21" s="38" t="n">
        <x:f>B21-D21</x:f>
        <x:v>288.03370000000007</x:v>
      </x:c>
      <x:c r="F21" s="41" t="n">
        <x:f>IFERROR(E21/B21,0)</x:f>
        <x:v>0.3063106109001278</x:v>
      </x:c>
      <x:c r="G21" s="38" t="n">
        <x:f>B21*8%+40</x:f>
        <x:v>115.22656800000001</x:v>
      </x:c>
      <x:c r="H21" s="38" t="n">
        <x:f>180+MOD(ROW(),3)*5</x:f>
        <x:v>180</x:v>
      </x:c>
      <x:c r="I21" s="38" t="n">
        <x:f>IF(LEFT(A21,4)="2026",425,300)</x:f>
        <x:v>425</x:v>
      </x:c>
      <x:c r="J21" s="38" t="n">
        <x:f>IF(LEFT(A21,4)="2026",55,35)</x:f>
        <x:v>55</x:v>
      </x:c>
      <x:c r="K21" s="38" t="n">
        <x:f>E21-G21-H21-I21-J21</x:f>
        <x:v>-487.192868</x:v>
      </x:c>
      <x:c r="L21" s="38" t="n">
        <x:f>K21-B21*6%-IF(LEFT(A21,4)="2026",250,80)</x:f>
        <x:v>-793.612794</x:v>
      </x:c>
    </x:row>
    <x:row r="22" ht="30" customHeight="1">
      <x:c r="A22" s="26" t="str">
        <x:v>2026-04</x:v>
      </x:c>
      <x:c r="B22" s="38" t="n">
        <x:f>SUMIFS('03-销售明细'!$N$7:$N$102,'03-销售明细'!$A$7:$A$102,$A22)</x:f>
        <x:v>984.2406000000001</x:v>
      </x:c>
      <x:c r="C22" s="38" t="n">
        <x:f>SUMIFS('03-销售明细'!$P$7:$P$102,'03-销售明细'!$A$7:$A$102,$A22)</x:f>
        <x:v>1057.6968000000002</x:v>
      </x:c>
      <x:c r="D22" s="38" t="n">
        <x:f>SUMIFS('03-销售明细'!$O$7:$O$102,'03-销售明细'!$A$7:$A$102,$A22)</x:f>
        <x:v>681.9199</x:v>
      </x:c>
      <x:c r="E22" s="38" t="n">
        <x:f>B22-D22</x:f>
        <x:v>302.3207000000001</x:v>
      </x:c>
      <x:c r="F22" s="41" t="n">
        <x:f>IFERROR(E22/B22,0)</x:f>
        <x:v>0.3071613790367925</x:v>
      </x:c>
      <x:c r="G22" s="38" t="n">
        <x:f>B22*8%+40</x:f>
        <x:v>118.739248</x:v>
      </x:c>
      <x:c r="H22" s="38" t="n">
        <x:f>180+MOD(ROW(),3)*5</x:f>
        <x:v>185</x:v>
      </x:c>
      <x:c r="I22" s="38" t="n">
        <x:f>IF(LEFT(A22,4)="2026",425,300)</x:f>
        <x:v>425</x:v>
      </x:c>
      <x:c r="J22" s="38" t="n">
        <x:f>IF(LEFT(A22,4)="2026",55,35)</x:f>
        <x:v>55</x:v>
      </x:c>
      <x:c r="K22" s="38" t="n">
        <x:f>E22-G22-H22-I22-J22</x:f>
        <x:v>-481.4185479999999</x:v>
      </x:c>
      <x:c r="L22" s="38" t="n">
        <x:f>K22-B22*6%-IF(LEFT(A22,4)="2026",250,80)</x:f>
        <x:v>-790.4729839999999</x:v>
      </x:c>
    </x:row>
    <x:row r="23" ht="30" customHeight="1">
      <x:c r="A23" s="26" t="str">
        <x:v>2026-05</x:v>
      </x:c>
      <x:c r="B23" s="38" t="n">
        <x:f>SUMIFS('03-销售明细'!$N$7:$N$102,'03-销售明细'!$A$7:$A$102,$A23)</x:f>
        <x:v>1040.2124</x:v>
      </x:c>
      <x:c r="C23" s="38" t="n">
        <x:f>SUMIFS('03-销售明细'!$P$7:$P$102,'03-销售明细'!$A$7:$A$102,$A23)</x:f>
        <x:v>1120.0140000000001</x:v>
      </x:c>
      <x:c r="D23" s="38" t="n">
        <x:f>SUMIFS('03-销售明细'!$O$7:$O$102,'03-销售明细'!$A$7:$A$102,$A23)</x:f>
        <x:v>704.2944</x:v>
      </x:c>
      <x:c r="E23" s="38" t="n">
        <x:f>B23-D23</x:f>
        <x:v>335.9179999999999</x:v>
      </x:c>
      <x:c r="F23" s="41" t="n">
        <x:f>IFERROR(E23/B23,0)</x:f>
        <x:v>0.3229321242469326</x:v>
      </x:c>
      <x:c r="G23" s="38" t="n">
        <x:f>B23*8%+40</x:f>
        <x:v>123.21699199999999</x:v>
      </x:c>
      <x:c r="H23" s="38" t="n">
        <x:f>180+MOD(ROW(),3)*5</x:f>
        <x:v>190</x:v>
      </x:c>
      <x:c r="I23" s="38" t="n">
        <x:f>IF(LEFT(A23,4)="2026",425,300)</x:f>
        <x:v>425</x:v>
      </x:c>
      <x:c r="J23" s="38" t="n">
        <x:f>IF(LEFT(A23,4)="2026",55,35)</x:f>
        <x:v>55</x:v>
      </x:c>
      <x:c r="K23" s="38" t="n">
        <x:f>E23-G23-H23-I23-J23</x:f>
        <x:v>-457.2989920000001</x:v>
      </x:c>
      <x:c r="L23" s="38" t="n">
        <x:f>K23-B23*6%-IF(LEFT(A23,4)="2026",250,80)</x:f>
        <x:v>-769.7117360000001</x:v>
      </x:c>
    </x:row>
    <x:row r="24" ht="30" customHeight="1">
      <x:c r="A24" s="26" t="str">
        <x:v>2026-06</x:v>
      </x:c>
      <x:c r="B24" s="38" t="n">
        <x:f>SUMIFS('03-销售明细'!$N$7:$N$102,'03-销售明细'!$A$7:$A$102,$A24)</x:f>
        <x:v>1060.4388000000001</x:v>
      </x:c>
      <x:c r="C24" s="38" t="n">
        <x:f>SUMIFS('03-销售明细'!$P$7:$P$102,'03-销售明细'!$A$7:$A$102,$A24)</x:f>
        <x:v>1151.9476</x:v>
      </x:c>
      <x:c r="D24" s="38" t="n">
        <x:f>SUMIFS('03-销售明细'!$O$7:$O$102,'03-销售明细'!$A$7:$A$102,$A24)</x:f>
        <x:v>717.5724</x:v>
      </x:c>
      <x:c r="E24" s="38" t="n">
        <x:f>B24-D24</x:f>
        <x:v>342.8664000000001</x:v>
      </x:c>
      <x:c r="F24" s="41" t="n">
        <x:f>IFERROR(E24/B24,0)</x:f>
        <x:v>0.32332502356571646</x:v>
      </x:c>
      <x:c r="G24" s="38" t="n">
        <x:f>B24*8%+40</x:f>
        <x:v>124.83510400000002</x:v>
      </x:c>
      <x:c r="H24" s="38" t="n">
        <x:f>180+MOD(ROW(),3)*5</x:f>
        <x:v>180</x:v>
      </x:c>
      <x:c r="I24" s="38" t="n">
        <x:f>IF(LEFT(A24,4)="2026",425,300)</x:f>
        <x:v>425</x:v>
      </x:c>
      <x:c r="J24" s="38" t="n">
        <x:f>IF(LEFT(A24,4)="2026",55,35)</x:f>
        <x:v>55</x:v>
      </x:c>
      <x:c r="K24" s="38" t="n">
        <x:f>E24-G24-H24-I24-J24</x:f>
        <x:v>-441.9687039999999</x:v>
      </x:c>
      <x:c r="L24" s="38" t="n">
        <x:f>K24-B24*6%-IF(LEFT(A24,4)="2026",250,80)</x:f>
        <x:v>-755.595032</x:v>
      </x:c>
    </x:row>
    <x:row r="25" ht="30" customHeight="1">
      <x:c r="A25" s="26" t="str">
        <x:v>2026-07</x:v>
      </x:c>
      <x:c r="B25" s="38" t="n">
        <x:f>SUMIFS('03-销售明细'!$N$7:$N$102,'03-销售明细'!$A$7:$A$102,$A25)</x:f>
        <x:v>1028.0836</x:v>
      </x:c>
      <x:c r="C25" s="38" t="n">
        <x:f>SUMIFS('03-销售明细'!$P$7:$P$102,'03-销售明细'!$A$7:$A$102,$A25)</x:f>
        <x:v>1097.0316</x:v>
      </x:c>
      <x:c r="D25" s="38" t="n">
        <x:f>SUMIFS('03-销售明细'!$O$7:$O$102,'03-销售明细'!$A$7:$A$102,$A25)</x:f>
        <x:v>695.9012</x:v>
      </x:c>
      <x:c r="E25" s="38" t="n">
        <x:f>B25-D25</x:f>
        <x:v>332.1823999999999</x:v>
      </x:c>
      <x:c r="F25" s="41" t="n">
        <x:f>IFERROR(E25/B25,0)</x:f>
        <x:v>0.3231083542233335</x:v>
      </x:c>
      <x:c r="G25" s="38" t="n">
        <x:f>B25*8%+40</x:f>
        <x:v>122.24668799999999</x:v>
      </x:c>
      <x:c r="H25" s="38" t="n">
        <x:f>180+MOD(ROW(),3)*5</x:f>
        <x:v>185</x:v>
      </x:c>
      <x:c r="I25" s="38" t="n">
        <x:f>IF(LEFT(A25,4)="2026",425,300)</x:f>
        <x:v>425</x:v>
      </x:c>
      <x:c r="J25" s="38" t="n">
        <x:f>IF(LEFT(A25,4)="2026",55,35)</x:f>
        <x:v>55</x:v>
      </x:c>
      <x:c r="K25" s="38" t="n">
        <x:f>E25-G25-H25-I25-J25</x:f>
        <x:v>-455.0642880000001</x:v>
      </x:c>
      <x:c r="L25" s="38" t="n">
        <x:f>K25-B25*6%-IF(LEFT(A25,4)="2026",250,80)</x:f>
        <x:v>-766.749304</x:v>
      </x:c>
    </x:row>
    <x:row r="26" ht="30" customHeight="1">
      <x:c r="A26" s="26" t="str">
        <x:v>2026-08</x:v>
      </x:c>
      <x:c r="B26" s="38" t="n">
        <x:f>SUMIFS('03-销售明细'!$N$7:$N$102,'03-销售明细'!$A$7:$A$102,$A26)</x:f>
        <x:v>1112.3838999999998</x:v>
      </x:c>
      <x:c r="C26" s="38" t="n">
        <x:f>SUMIFS('03-销售明细'!$P$7:$P$102,'03-销售明细'!$A$7:$A$102,$A26)</x:f>
        <x:v>1189.5214</x:v>
      </x:c>
      <x:c r="D26" s="38" t="n">
        <x:f>SUMIFS('03-销售明细'!$O$7:$O$102,'03-销售明细'!$A$7:$A$102,$A26)</x:f>
        <x:v>753.7526</x:v>
      </x:c>
      <x:c r="E26" s="38" t="n">
        <x:f>B26-D26</x:f>
        <x:v>358.6312999999998</x:v>
      </x:c>
      <x:c r="F26" s="41" t="n">
        <x:f>IFERROR(E26/B26,0)</x:f>
        <x:v>0.3223988588831606</x:v>
      </x:c>
      <x:c r="G26" s="38" t="n">
        <x:f>B26*8%+40</x:f>
        <x:v>128.99071199999997</x:v>
      </x:c>
      <x:c r="H26" s="38" t="n">
        <x:f>180+MOD(ROW(),3)*5</x:f>
        <x:v>190</x:v>
      </x:c>
      <x:c r="I26" s="38" t="n">
        <x:f>IF(LEFT(A26,4)="2026",425,300)</x:f>
        <x:v>425</x:v>
      </x:c>
      <x:c r="J26" s="38" t="n">
        <x:f>IF(LEFT(A26,4)="2026",55,35)</x:f>
        <x:v>55</x:v>
      </x:c>
      <x:c r="K26" s="38" t="n">
        <x:f>E26-G26-H26-I26-J26</x:f>
        <x:v>-440.3594120000002</x:v>
      </x:c>
      <x:c r="L26" s="38" t="n">
        <x:f>K26-B26*6%-IF(LEFT(A26,4)="2026",250,80)</x:f>
        <x:v>-757.1024460000001</x:v>
      </x:c>
    </x:row>
    <x:row r="27" ht="30" customHeight="1">
      <x:c r="A27" s="26" t="str">
        <x:v>2026-09</x:v>
      </x:c>
      <x:c r="B27" s="38" t="n">
        <x:f>SUMIFS('03-销售明细'!$N$7:$N$102,'03-销售明细'!$A$7:$A$102,$A27)</x:f>
        <x:v>1146.0732</x:v>
      </x:c>
      <x:c r="C27" s="38" t="n">
        <x:f>SUMIFS('03-销售明细'!$P$7:$P$102,'03-销售明细'!$A$7:$A$102,$A27)</x:f>
        <x:v>1228.8562000000002</x:v>
      </x:c>
      <x:c r="D27" s="38" t="n">
        <x:f>SUMIFS('03-销售明细'!$O$7:$O$102,'03-销售明细'!$A$7:$A$102,$A27)</x:f>
        <x:v>775.9295999999999</x:v>
      </x:c>
      <x:c r="E27" s="38" t="n">
        <x:f>B27-D27</x:f>
        <x:v>370.1436000000001</x:v>
      </x:c>
      <x:c r="F27" s="41" t="n">
        <x:f>IFERROR(E27/B27,0)</x:f>
        <x:v>0.3229668052616535</x:v>
      </x:c>
      <x:c r="G27" s="38" t="n">
        <x:f>B27*8%+40</x:f>
        <x:v>131.685856</x:v>
      </x:c>
      <x:c r="H27" s="38" t="n">
        <x:f>180+MOD(ROW(),3)*5</x:f>
        <x:v>180</x:v>
      </x:c>
      <x:c r="I27" s="38" t="n">
        <x:f>IF(LEFT(A27,4)="2026",425,300)</x:f>
        <x:v>425</x:v>
      </x:c>
      <x:c r="J27" s="38" t="n">
        <x:f>IF(LEFT(A27,4)="2026",55,35)</x:f>
        <x:v>55</x:v>
      </x:c>
      <x:c r="K27" s="38" t="n">
        <x:f>E27-G27-H27-I27-J27</x:f>
        <x:v>-421.5422559999999</x:v>
      </x:c>
      <x:c r="L27" s="38" t="n">
        <x:f>K27-B27*6%-IF(LEFT(A27,4)="2026",250,80)</x:f>
        <x:v>-740.3066479999999</x:v>
      </x:c>
    </x:row>
    <x:row r="28" ht="30" customHeight="1">
      <x:c r="A28" s="26" t="str">
        <x:v>2026-10</x:v>
      </x:c>
      <x:c r="B28" s="38" t="n">
        <x:f>SUMIFS('03-销售明细'!$N$7:$N$102,'03-销售明细'!$A$7:$A$102,$A28)</x:f>
        <x:v>1187.215</x:v>
      </x:c>
      <x:c r="C28" s="38" t="n">
        <x:f>SUMIFS('03-销售明细'!$P$7:$P$102,'03-销售明细'!$A$7:$A$102,$A28)</x:f>
        <x:v>1275.3812</x:v>
      </x:c>
      <x:c r="D28" s="38" t="n">
        <x:f>SUMIFS('03-销售明细'!$O$7:$O$102,'03-销售明细'!$A$7:$A$102,$A28)</x:f>
        <x:v>803.768</x:v>
      </x:c>
      <x:c r="E28" s="38" t="n">
        <x:f>B28-D28</x:f>
        <x:v>383.4469999999999</x:v>
      </x:c>
      <x:c r="F28" s="41" t="n">
        <x:f>IFERROR(E28/B28,0)</x:f>
        <x:v>0.32298025210260983</x:v>
      </x:c>
      <x:c r="G28" s="38" t="n">
        <x:f>B28*8%+40</x:f>
        <x:v>134.97719999999998</x:v>
      </x:c>
      <x:c r="H28" s="38" t="n">
        <x:f>180+MOD(ROW(),3)*5</x:f>
        <x:v>185</x:v>
      </x:c>
      <x:c r="I28" s="38" t="n">
        <x:f>IF(LEFT(A28,4)="2026",425,300)</x:f>
        <x:v>425</x:v>
      </x:c>
      <x:c r="J28" s="38" t="n">
        <x:f>IF(LEFT(A28,4)="2026",55,35)</x:f>
        <x:v>55</x:v>
      </x:c>
      <x:c r="K28" s="38" t="n">
        <x:f>E28-G28-H28-I28-J28</x:f>
        <x:v>-416.5302000000001</x:v>
      </x:c>
      <x:c r="L28" s="38" t="n">
        <x:f>K28-B28*6%-IF(LEFT(A28,4)="2026",250,80)</x:f>
        <x:v>-737.7631000000001</x:v>
      </x:c>
    </x:row>
    <x:row r="29" ht="30" customHeight="1">
      <x:c r="A29" s="26" t="str">
        <x:v>2026-11</x:v>
      </x:c>
      <x:c r="B29" s="38" t="n">
        <x:f>SUMIFS('03-销售明细'!$N$7:$N$102,'03-销售明细'!$A$7:$A$102,$A29)</x:f>
        <x:v>1243.8671</x:v>
      </x:c>
      <x:c r="C29" s="38" t="n">
        <x:f>SUMIFS('03-销售明细'!$P$7:$P$102,'03-销售明细'!$A$7:$A$102,$A29)</x:f>
        <x:v>1338.6882</x:v>
      </x:c>
      <x:c r="D29" s="38" t="n">
        <x:f>SUMIFS('03-销售明细'!$O$7:$O$102,'03-销售明细'!$A$7:$A$102,$A29)</x:f>
        <x:v>842.0674</x:v>
      </x:c>
      <x:c r="E29" s="38" t="n">
        <x:f>B29-D29</x:f>
        <x:v>401.7996999999999</x:v>
      </x:c>
      <x:c r="F29" s="41" t="n">
        <x:f>IFERROR(E29/B29,0)</x:f>
        <x:v>0.3230246221642167</x:v>
      </x:c>
      <x:c r="G29" s="38" t="n">
        <x:f>B29*8%+40</x:f>
        <x:v>139.509368</x:v>
      </x:c>
      <x:c r="H29" s="38" t="n">
        <x:f>180+MOD(ROW(),3)*5</x:f>
        <x:v>190</x:v>
      </x:c>
      <x:c r="I29" s="38" t="n">
        <x:f>IF(LEFT(A29,4)="2026",425,300)</x:f>
        <x:v>425</x:v>
      </x:c>
      <x:c r="J29" s="38" t="n">
        <x:f>IF(LEFT(A29,4)="2026",55,35)</x:f>
        <x:v>55</x:v>
      </x:c>
      <x:c r="K29" s="38" t="n">
        <x:f>E29-G29-H29-I29-J29</x:f>
        <x:v>-407.7096680000001</x:v>
      </x:c>
      <x:c r="L29" s="38" t="n">
        <x:f>K29-B29*6%-IF(LEFT(A29,4)="2026",250,80)</x:f>
        <x:v>-732.3416940000001</x:v>
      </x:c>
    </x:row>
    <x:row r="30" ht="30" customHeight="1">
      <x:c r="A30" s="27" t="str">
        <x:v>2026-12</x:v>
      </x:c>
      <x:c r="B30" s="39" t="n">
        <x:f>SUMIFS('03-销售明细'!$N$7:$N$102,'03-销售明细'!$A$7:$A$102,$A30)</x:f>
        <x:v>1372.1534</x:v>
      </x:c>
      <x:c r="C30" s="39" t="n">
        <x:f>SUMIFS('03-销售明细'!$P$7:$P$102,'03-销售明细'!$A$7:$A$102,$A30)</x:f>
        <x:v>1485.1042</x:v>
      </x:c>
      <x:c r="D30" s="39" t="n">
        <x:f>SUMIFS('03-销售明细'!$O$7:$O$102,'03-销售明细'!$A$7:$A$102,$A30)</x:f>
        <x:v>928.194</x:v>
      </x:c>
      <x:c r="E30" s="39" t="n">
        <x:f>B30-D30</x:f>
        <x:v>443.95939999999996</x:v>
      </x:c>
      <x:c r="F30" s="42" t="n">
        <x:f>IFERROR(E30/B30,0)</x:f>
        <x:v>0.3235493932383945</x:v>
      </x:c>
      <x:c r="G30" s="39" t="n">
        <x:f>B30*8%+40</x:f>
        <x:v>149.772272</x:v>
      </x:c>
      <x:c r="H30" s="39" t="n">
        <x:f>180+MOD(ROW(),3)*5</x:f>
        <x:v>180</x:v>
      </x:c>
      <x:c r="I30" s="39" t="n">
        <x:f>IF(LEFT(A30,4)="2026",425,300)</x:f>
        <x:v>425</x:v>
      </x:c>
      <x:c r="J30" s="39" t="n">
        <x:f>IF(LEFT(A30,4)="2026",55,35)</x:f>
        <x:v>55</x:v>
      </x:c>
      <x:c r="K30" s="39" t="n">
        <x:f>E30-G30-H30-I30-J30</x:f>
        <x:v>-365.812872</x:v>
      </x:c>
      <x:c r="L30" s="39" t="n">
        <x:f>K30-B30*6%-IF(LEFT(A30,4)="2026",250,80)</x:f>
        <x:v>-698.1420760000001</x:v>
      </x:c>
    </x:row>
  </x:sheetData>
  <x:mergeCells>
    <x:mergeCell ref="A2:L2"/>
    <x:mergeCell ref="A3:L3"/>
  </x:mergeCells>
  <x:pageMargins left="0.7" right="0.7" top="0.75" bottom="0.75" header="0.3" footer="0.3"/>
  <x:tableParts count="1">
    <x:tablePart xmlns:r="http://schemas.openxmlformats.org/officeDocument/2006/relationships" r:id="Rbbb6eaa418fa4ea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6" hidden="0" customWidth="1"/>
    <x:col min="6" max="6" width="48" hidden="0" customWidth="1"/>
    <x:col min="7" max="7" width="40" hidden="0" customWidth="1"/>
  </x:cols>
  <x:sheetData>
    <x:row r="2" ht="26" customHeight="1">
      <x:c r="A2" s="1" t="str">
        <x:v>预算与实际分析</x:v>
      </x:c>
      <x:c r="B2" s="43"/>
      <x:c r="C2" s="43"/>
      <x:c r="D2" s="43"/>
      <x:c r="E2" s="43"/>
      <x:c r="F2" s="43"/>
      <x:c r="G2" s="43"/>
    </x:row>
    <x:row r="3" ht="24" customHeight="1">
      <x:c r="A3" s="3" t="str">
        <x:v>公式或结构化模板可按月刷新；分析结论必须区分事实、业务信息、判断与待验证事项。</x:v>
      </x:c>
      <x:c r="B3" s="43"/>
      <x:c r="C3" s="43"/>
      <x:c r="D3" s="43"/>
      <x:c r="E3" s="43"/>
      <x:c r="F3" s="43"/>
      <x:c r="G3" s="43"/>
    </x:row>
    <x:row r="4">
      <x:c r="A4" s="43"/>
      <x:c r="B4" s="43"/>
      <x:c r="C4" s="43"/>
      <x:c r="D4" s="43"/>
      <x:c r="E4" s="43"/>
      <x:c r="F4" s="43"/>
      <x:c r="G4" s="43"/>
    </x:row>
    <x:row r="5">
      <x:c r="A5" s="43"/>
      <x:c r="B5" s="43"/>
      <x:c r="C5" s="43"/>
      <x:c r="D5" s="43"/>
      <x:c r="E5" s="43"/>
      <x:c r="F5" s="43"/>
      <x:c r="G5" s="43"/>
    </x:row>
    <x:row r="6" ht="32" customHeight="1">
      <x:c r="A6" s="21" t="str">
        <x:v>指标</x:v>
      </x:c>
      <x:c r="B6" s="21" t="str">
        <x:v>实际</x:v>
      </x:c>
      <x:c r="C6" s="21" t="str">
        <x:v>预算</x:v>
      </x:c>
      <x:c r="D6" s="21" t="str">
        <x:v>差异</x:v>
      </x:c>
      <x:c r="E6" s="21" t="str">
        <x:v>差异率</x:v>
      </x:c>
      <x:c r="F6" s="21" t="str">
        <x:v>业务解释</x:v>
      </x:c>
      <x:c r="G6" s="21" t="str">
        <x:v>需取得数据</x:v>
      </x:c>
    </x:row>
    <x:row r="7" ht="30" customHeight="1">
      <x:c r="A7" s="25" t="str">
        <x:v>收入</x:v>
      </x:c>
      <x:c r="B7" s="25" t="n">
        <x:v>45000</x:v>
      </x:c>
      <x:c r="C7" s="25" t="n">
        <x:v>48000</x:v>
      </x:c>
      <x:c r="D7" s="25" t="n">
        <x:f>B7-C7</x:f>
        <x:v>-3000</x:v>
      </x:c>
      <x:c r="E7" s="25" t="n">
        <x:f>IFERROR(D7/C7,0)</x:f>
        <x:v>-0.0625</x:v>
      </x:c>
      <x:c r="F7" s="25" t="str">
        <x:v>销量低于预算，耗材好于预算</x:v>
      </x:c>
      <x:c r="G7" s="25" t="str">
        <x:v>订单、出货、渠道库存</x:v>
      </x:c>
    </x:row>
    <x:row r="8" ht="30" customHeight="1">
      <x:c r="A8" s="26" t="str">
        <x:v>毛利</x:v>
      </x:c>
      <x:c r="B8" s="26" t="n">
        <x:v>15525</x:v>
      </x:c>
      <x:c r="C8" s="26" t="n">
        <x:v>18720</x:v>
      </x:c>
      <x:c r="D8" s="26" t="n">
        <x:f>B8-C8</x:f>
        <x:v>-3195</x:v>
      </x:c>
      <x:c r="E8" s="26" t="n">
        <x:f>IFERROR(D8/C8,0)</x:f>
        <x:v>-0.17067307692307693</x:v>
      </x:c>
      <x:c r="F8" s="26" t="str">
        <x:v>价格、材料、良率与产能共同影响</x:v>
      </x:c>
      <x:c r="G8" s="26" t="str">
        <x:v>价格、BOM、良率、工时</x:v>
      </x:c>
    </x:row>
    <x:row r="9" ht="30" customHeight="1">
      <x:c r="A9" s="27" t="str">
        <x:v>研发费用</x:v>
      </x:c>
      <x:c r="B9" s="27" t="n">
        <x:v>5100</x:v>
      </x:c>
      <x:c r="C9" s="27" t="n">
        <x:v>4800</x:v>
      </x:c>
      <x:c r="D9" s="27" t="n">
        <x:f>B9-C9</x:f>
        <x:v>300</x:v>
      </x:c>
      <x:c r="E9" s="27" t="n">
        <x:f>IFERROR(D9/C9,0)</x:f>
        <x:v>0.0625</x:v>
      </x:c>
      <x:c r="F9" s="27" t="str">
        <x:v>新增项目和外包</x:v>
      </x:c>
      <x:c r="G9" s="27" t="str">
        <x:v>项目工时、里程碑</x:v>
      </x:c>
    </x:row>
  </x:sheetData>
  <x:mergeCells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da144775845d4090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32" hidden="0" customWidth="1"/>
  </x:cols>
  <x:sheetData>
    <x:row r="2" ht="26" customHeight="1">
      <x:c r="A2" s="1" t="str">
        <x:v>同比环比与滚动趋势</x:v>
      </x:c>
      <x:c r="B2" s="43"/>
      <x:c r="C2" s="43"/>
      <x:c r="D2" s="43"/>
      <x:c r="E2" s="43"/>
      <x:c r="F2" s="43"/>
      <x:c r="G2" s="43"/>
    </x:row>
    <x:row r="3" ht="24" customHeight="1">
      <x:c r="A3" s="3" t="str">
        <x:v>公式或结构化模板可按月刷新；分析结论必须区分事实、业务信息、判断与待验证事项。</x:v>
      </x:c>
      <x:c r="B3" s="43"/>
      <x:c r="C3" s="43"/>
      <x:c r="D3" s="43"/>
      <x:c r="E3" s="43"/>
      <x:c r="F3" s="43"/>
      <x:c r="G3" s="43"/>
    </x:row>
    <x:row r="4">
      <x:c r="A4" s="43"/>
      <x:c r="B4" s="43"/>
      <x:c r="C4" s="43"/>
      <x:c r="D4" s="43"/>
      <x:c r="E4" s="43"/>
      <x:c r="F4" s="43"/>
      <x:c r="G4" s="43"/>
    </x:row>
    <x:row r="5">
      <x:c r="A5" s="43"/>
      <x:c r="B5" s="43"/>
      <x:c r="C5" s="43"/>
      <x:c r="D5" s="43"/>
      <x:c r="E5" s="43"/>
      <x:c r="F5" s="43"/>
      <x:c r="G5" s="43"/>
    </x:row>
    <x:row r="6" ht="32" customHeight="1">
      <x:c r="A6" s="21" t="str">
        <x:v>月份</x:v>
      </x:c>
      <x:c r="B6" s="21" t="str">
        <x:v>收入</x:v>
      </x:c>
      <x:c r="C6" s="21" t="str">
        <x:v>同比</x:v>
      </x:c>
      <x:c r="D6" s="21" t="str">
        <x:v>环比</x:v>
      </x:c>
      <x:c r="E6" s="21" t="str">
        <x:v>毛利率</x:v>
      </x:c>
      <x:c r="F6" s="21" t="str">
        <x:v>营业利润</x:v>
      </x:c>
      <x:c r="G6" s="21" t="str">
        <x:v>备注</x:v>
      </x:c>
    </x:row>
    <x:row r="7" ht="30" customHeight="1">
      <x:c r="A7" s="25" t="str">
        <x:v>2026-01</x:v>
      </x:c>
      <x:c r="B7" s="25" t="n">
        <x:f>'04-月度财务数据'!B19</x:f>
        <x:v>852.8538000000001</x:v>
      </x:c>
      <x:c r="C7" s="25" t="n">
        <x:f>IFERROR(B7/'04-月度财务数据'!B7-1,0)</x:f>
        <x:v>0.1867357252824442</x:v>
      </x:c>
      <x:c r="D7" s="25" t="n">
        <x:f>IFERROR(B7/'04-月度财务数据'!B18-1,0)</x:f>
        <x:v>-0.25949502274512737</x:v>
      </x:c>
      <x:c r="E7" s="25" t="n">
        <x:f>'04-月度财务数据'!F19</x:f>
        <x:v>0.30676465298038186</x:v>
      </x:c>
      <x:c r="F7" s="25" t="n">
        <x:f>'04-月度财务数据'!K19</x:f>
        <x:v>-511.60290399999997</x:v>
      </x:c>
      <x:c r="G7" s="25" t="str"/>
    </x:row>
    <x:row r="8" ht="30" customHeight="1">
      <x:c r="A8" s="26" t="str">
        <x:v>2026-02</x:v>
      </x:c>
      <x:c r="B8" s="26" t="n">
        <x:f>'04-月度财务数据'!B20</x:f>
        <x:v>798.6232</x:v>
      </x:c>
      <x:c r="C8" s="26" t="n">
        <x:f>IFERROR(B8/'04-月度财务数据'!B8-1,0)</x:f>
        <x:v>0.17869542603893684</x:v>
      </x:c>
      <x:c r="D8" s="26" t="n">
        <x:f>IFERROR(B8/B7-1,0)</x:f>
        <x:v>-0.06358721741053397</x:v>
      </x:c>
      <x:c r="E8" s="26" t="n">
        <x:f>'04-月度财务数据'!F20</x:f>
        <x:v>0.3062744733686675</x:v>
      </x:c>
      <x:c r="F8" s="26" t="n">
        <x:f>'04-月度财务数据'!K20</x:f>
        <x:v>-529.291956</x:v>
      </x:c>
      <x:c r="G8" s="26" t="str"/>
    </x:row>
    <x:row r="9" ht="30" customHeight="1">
      <x:c r="A9" s="26" t="str">
        <x:v>2026-03</x:v>
      </x:c>
      <x:c r="B9" s="26" t="n">
        <x:f>'04-月度财务数据'!B21</x:f>
        <x:v>940.3321000000001</x:v>
      </x:c>
      <x:c r="C9" s="26" t="n">
        <x:f>IFERROR(B9/'04-月度财务数据'!B9-1,0)</x:f>
        <x:v>0.18205888697423878</x:v>
      </x:c>
      <x:c r="D9" s="26" t="n">
        <x:f>IFERROR(B9/B8-1,0)</x:f>
        <x:v>0.17744150182464025</x:v>
      </x:c>
      <x:c r="E9" s="26" t="n">
        <x:f>'04-月度财务数据'!F21</x:f>
        <x:v>0.3063106109001278</x:v>
      </x:c>
      <x:c r="F9" s="26" t="n">
        <x:f>'04-月度财务数据'!K21</x:f>
        <x:v>-487.192868</x:v>
      </x:c>
      <x:c r="G9" s="26" t="str"/>
    </x:row>
    <x:row r="10" ht="30" customHeight="1">
      <x:c r="A10" s="26" t="str">
        <x:v>2026-04</x:v>
      </x:c>
      <x:c r="B10" s="26" t="n">
        <x:f>'04-月度财务数据'!B22</x:f>
        <x:v>984.2406000000001</x:v>
      </x:c>
      <x:c r="C10" s="26" t="n">
        <x:f>IFERROR(B10/'04-月度财务数据'!B10-1,0)</x:f>
        <x:v>0.18770375483291746</x:v>
      </x:c>
      <x:c r="D10" s="26" t="n">
        <x:f>IFERROR(B10/B9-1,0)</x:f>
        <x:v>0.04669467308411579</x:v>
      </x:c>
      <x:c r="E10" s="26" t="n">
        <x:f>'04-月度财务数据'!F22</x:f>
        <x:v>0.3071613790367925</x:v>
      </x:c>
      <x:c r="F10" s="26" t="n">
        <x:f>'04-月度财务数据'!K22</x:f>
        <x:v>-481.4185479999999</x:v>
      </x:c>
      <x:c r="G10" s="26" t="str"/>
    </x:row>
    <x:row r="11" ht="30" customHeight="1">
      <x:c r="A11" s="26" t="str">
        <x:v>2026-05</x:v>
      </x:c>
      <x:c r="B11" s="26" t="n">
        <x:f>'04-月度财务数据'!B23</x:f>
        <x:v>1040.2124</x:v>
      </x:c>
      <x:c r="C11" s="26" t="n">
        <x:f>IFERROR(B11/'04-月度财务数据'!B11-1,0)</x:f>
        <x:v>0.1814457306953703</x:v>
      </x:c>
      <x:c r="D11" s="26" t="n">
        <x:f>IFERROR(B11/B10-1,0)</x:f>
        <x:v>0.05686800564821226</x:v>
      </x:c>
      <x:c r="E11" s="26" t="n">
        <x:f>'04-月度财务数据'!F23</x:f>
        <x:v>0.3229321242469326</x:v>
      </x:c>
      <x:c r="F11" s="26" t="n">
        <x:f>'04-月度财务数据'!K23</x:f>
        <x:v>-457.2989920000001</x:v>
      </x:c>
      <x:c r="G11" s="26" t="str"/>
    </x:row>
    <x:row r="12" ht="30" customHeight="1">
      <x:c r="A12" s="26" t="str">
        <x:v>2026-06</x:v>
      </x:c>
      <x:c r="B12" s="26" t="n">
        <x:f>'04-月度财务数据'!B24</x:f>
        <x:v>1060.4388000000001</x:v>
      </x:c>
      <x:c r="C12" s="26" t="n">
        <x:f>IFERROR(B12/'04-月度财务数据'!B12-1,0)</x:f>
        <x:v>0.17819464165483412</x:v>
      </x:c>
      <x:c r="D12" s="26" t="n">
        <x:f>IFERROR(B12/B11-1,0)</x:f>
        <x:v>0.0194444903752351</x:v>
      </x:c>
      <x:c r="E12" s="26" t="n">
        <x:f>'04-月度财务数据'!F24</x:f>
        <x:v>0.32332502356571646</x:v>
      </x:c>
      <x:c r="F12" s="26" t="n">
        <x:f>'04-月度财务数据'!K24</x:f>
        <x:v>-441.9687039999999</x:v>
      </x:c>
      <x:c r="G12" s="26" t="str"/>
    </x:row>
    <x:row r="13" ht="30" customHeight="1">
      <x:c r="A13" s="26" t="str">
        <x:v>2026-07</x:v>
      </x:c>
      <x:c r="B13" s="26" t="n">
        <x:f>'04-月度财务数据'!B25</x:f>
        <x:v>1028.0836</x:v>
      </x:c>
      <x:c r="C13" s="26" t="n">
        <x:f>IFERROR(B13/'04-月度财务数据'!B13-1,0)</x:f>
        <x:v>0.16639097604464048</x:v>
      </x:c>
      <x:c r="D13" s="26" t="n">
        <x:f>IFERROR(B13/B12-1,0)</x:f>
        <x:v>-0.030511143123016837</x:v>
      </x:c>
      <x:c r="E13" s="26" t="n">
        <x:f>'04-月度财务数据'!F25</x:f>
        <x:v>0.3231083542233335</x:v>
      </x:c>
      <x:c r="F13" s="26" t="n">
        <x:f>'04-月度财务数据'!K25</x:f>
        <x:v>-455.0642880000001</x:v>
      </x:c>
      <x:c r="G13" s="26" t="str"/>
    </x:row>
    <x:row r="14" ht="30" customHeight="1">
      <x:c r="A14" s="26" t="str">
        <x:v>2026-08</x:v>
      </x:c>
      <x:c r="B14" s="26" t="n">
        <x:f>'04-月度财务数据'!B26</x:f>
        <x:v>1112.3838999999998</x:v>
      </x:c>
      <x:c r="C14" s="26" t="n">
        <x:f>IFERROR(B14/'04-月度财务数据'!B14-1,0)</x:f>
        <x:v>0.18750701903241307</x:v>
      </x:c>
      <x:c r="D14" s="26" t="n">
        <x:f>IFERROR(B14/B13-1,0)</x:f>
        <x:v>0.08199751459900728</x:v>
      </x:c>
      <x:c r="E14" s="26" t="n">
        <x:f>'04-月度财务数据'!F26</x:f>
        <x:v>0.3223988588831606</x:v>
      </x:c>
      <x:c r="F14" s="26" t="n">
        <x:f>'04-月度财务数据'!K26</x:f>
        <x:v>-440.3594120000002</x:v>
      </x:c>
      <x:c r="G14" s="26" t="str"/>
    </x:row>
    <x:row r="15" ht="30" customHeight="1">
      <x:c r="A15" s="26" t="str">
        <x:v>2026-09</x:v>
      </x:c>
      <x:c r="B15" s="26" t="n">
        <x:f>'04-月度财务数据'!B27</x:f>
        <x:v>1146.0732</x:v>
      </x:c>
      <x:c r="C15" s="26" t="n">
        <x:f>IFERROR(B15/'04-月度财务数据'!B15-1,0)</x:f>
        <x:v>0.17794848603202662</x:v>
      </x:c>
      <x:c r="D15" s="26" t="n">
        <x:f>IFERROR(B15/B14-1,0)</x:f>
        <x:v>0.030285677453620208</x:v>
      </x:c>
      <x:c r="E15" s="26" t="n">
        <x:f>'04-月度财务数据'!F27</x:f>
        <x:v>0.3229668052616535</x:v>
      </x:c>
      <x:c r="F15" s="26" t="n">
        <x:f>'04-月度财务数据'!K27</x:f>
        <x:v>-421.5422559999999</x:v>
      </x:c>
      <x:c r="G15" s="26" t="str"/>
    </x:row>
    <x:row r="16" ht="30" customHeight="1">
      <x:c r="A16" s="26" t="str">
        <x:v>2026-10</x:v>
      </x:c>
      <x:c r="B16" s="26" t="n">
        <x:f>'04-月度财务数据'!B28</x:f>
        <x:v>1187.215</x:v>
      </x:c>
      <x:c r="C16" s="26" t="n">
        <x:f>IFERROR(B16/'04-月度财务数据'!B16-1,0)</x:f>
        <x:v>0.18153841683018102</x:v>
      </x:c>
      <x:c r="D16" s="26" t="n">
        <x:f>IFERROR(B16/B15-1,0)</x:f>
        <x:v>0.03589805607530128</x:v>
      </x:c>
      <x:c r="E16" s="26" t="n">
        <x:f>'04-月度财务数据'!F28</x:f>
        <x:v>0.32298025210260983</x:v>
      </x:c>
      <x:c r="F16" s="26" t="n">
        <x:f>'04-月度财务数据'!K28</x:f>
        <x:v>-416.5302000000001</x:v>
      </x:c>
      <x:c r="G16" s="26" t="str"/>
    </x:row>
    <x:row r="17" ht="30" customHeight="1">
      <x:c r="A17" s="26" t="str">
        <x:v>2026-11</x:v>
      </x:c>
      <x:c r="B17" s="26" t="n">
        <x:f>'04-月度财务数据'!B29</x:f>
        <x:v>1243.8671</x:v>
      </x:c>
      <x:c r="C17" s="26" t="n">
        <x:f>IFERROR(B17/'04-月度财务数据'!B17-1,0)</x:f>
        <x:v>0.18041506841255184</x:v>
      </x:c>
      <x:c r="D17" s="26" t="n">
        <x:f>IFERROR(B17/B16-1,0)</x:f>
        <x:v>0.04771848401511103</x:v>
      </x:c>
      <x:c r="E17" s="26" t="n">
        <x:f>'04-月度财务数据'!F29</x:f>
        <x:v>0.3230246221642167</x:v>
      </x:c>
      <x:c r="F17" s="26" t="n">
        <x:f>'04-月度财务数据'!K29</x:f>
        <x:v>-407.7096680000001</x:v>
      </x:c>
      <x:c r="G17" s="26" t="str"/>
    </x:row>
    <x:row r="18" ht="30" customHeight="1">
      <x:c r="A18" s="27" t="str">
        <x:v>2026-12</x:v>
      </x:c>
      <x:c r="B18" s="27" t="n">
        <x:f>'04-月度财务数据'!B30</x:f>
        <x:v>1372.1534</x:v>
      </x:c>
      <x:c r="C18" s="27" t="n">
        <x:f>IFERROR(B18/'04-月度财务数据'!B18-1,0)</x:f>
        <x:v>0.19139578466695695</x:v>
      </x:c>
      <x:c r="D18" s="27" t="n">
        <x:f>IFERROR(B18/B17-1,0)</x:f>
        <x:v>0.10313505357606134</x:v>
      </x:c>
      <x:c r="E18" s="27" t="n">
        <x:f>'04-月度财务数据'!F30</x:f>
        <x:v>0.3235493932383945</x:v>
      </x:c>
      <x:c r="F18" s="27" t="n">
        <x:f>'04-月度财务数据'!K30</x:f>
        <x:v>-365.812872</x:v>
      </x:c>
      <x:c r="G18" s="27" t="str"/>
    </x:row>
  </x:sheetData>
  <x:mergeCells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3bec4a35a9154090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2" ht="26" customHeight="1">
      <x:c r="A2" s="1" t="str">
        <x:v>收入PVM分析</x:v>
      </x:c>
      <x:c r="B2" s="43"/>
      <x:c r="C2" s="43"/>
      <x:c r="D2" s="43"/>
      <x:c r="E2" s="43"/>
      <x:c r="F2" s="43"/>
      <x:c r="G2" s="43"/>
      <x:c r="H2" s="43"/>
      <x:c r="I2" s="43"/>
    </x:row>
    <x:row r="3" ht="24" customHeight="1">
      <x:c r="A3" s="3" t="str">
        <x:v>公式或结构化模板可按月刷新；分析结论必须区分事实、业务信息、判断与待验证事项。</x:v>
      </x:c>
      <x:c r="B3" s="43"/>
      <x:c r="C3" s="43"/>
      <x:c r="D3" s="43"/>
      <x:c r="E3" s="43"/>
      <x:c r="F3" s="43"/>
      <x:c r="G3" s="43"/>
      <x:c r="H3" s="43"/>
      <x:c r="I3" s="43"/>
    </x:row>
    <x:row r="4">
      <x:c r="A4" s="43"/>
      <x:c r="B4" s="43"/>
      <x:c r="C4" s="43"/>
      <x:c r="D4" s="43"/>
      <x:c r="E4" s="43"/>
      <x:c r="F4" s="43"/>
      <x:c r="G4" s="43"/>
      <x:c r="H4" s="43"/>
      <x:c r="I4" s="43"/>
    </x:row>
    <x:row r="5">
      <x:c r="A5" s="43"/>
      <x:c r="B5" s="43"/>
      <x:c r="C5" s="43"/>
      <x:c r="D5" s="43"/>
      <x:c r="E5" s="43"/>
      <x:c r="F5" s="43"/>
      <x:c r="G5" s="43"/>
      <x:c r="H5" s="43"/>
      <x:c r="I5" s="43"/>
    </x:row>
    <x:row r="6" ht="32" customHeight="1">
      <x:c r="A6" s="21" t="str">
        <x:v>产品</x:v>
      </x:c>
      <x:c r="B6" s="21" t="str">
        <x:v>基期销量</x:v>
      </x:c>
      <x:c r="C6" s="21" t="str">
        <x:v>基期价格</x:v>
      </x:c>
      <x:c r="D6" s="21" t="str">
        <x:v>本期销量</x:v>
      </x:c>
      <x:c r="E6" s="21" t="str">
        <x:v>本期价格</x:v>
      </x:c>
      <x:c r="F6" s="21" t="str">
        <x:v>销量影响</x:v>
      </x:c>
      <x:c r="G6" s="21" t="str">
        <x:v>结构影响</x:v>
      </x:c>
      <x:c r="H6" s="21" t="str">
        <x:v>价格影响</x:v>
      </x:c>
      <x:c r="I6" s="21" t="str">
        <x:v>合计变化</x:v>
      </x:c>
    </x:row>
    <x:row r="7" ht="30" customHeight="1">
      <x:c r="A7" s="25" t="str">
        <x:v>E1桌面机</x:v>
      </x:c>
      <x:c r="B7" s="25" t="n">
        <x:f>SUMIFS('03-销售明细'!$H$7:$H$102,'03-销售明细'!$D$7:$D$102,$A7,'03-销售明细'!$B$7:$B$102,2025)</x:f>
        <x:v>8726</x:v>
      </x:c>
      <x:c r="C7" s="25" t="n">
        <x:f>SUMPRODUCT(('03-销售明细'!$D$7:$D$102=$A7)*('03-销售明细'!$B$7:$B$102=2025)*'03-销售明细'!$H$7:$H$102*'03-销售明细'!$I$7:$I$102)/B7</x:f>
        <x:v>4200</x:v>
      </x:c>
      <x:c r="D7" s="25" t="n">
        <x:f>SUMIFS('03-销售明细'!$H$7:$H$102,'03-销售明细'!$D$7:$D$102,$A7,'03-销售明细'!$B$7:$B$102,2026)</x:f>
        <x:v>9862</x:v>
      </x:c>
      <x:c r="E7" s="25" t="n">
        <x:f>SUMPRODUCT(('03-销售明细'!$D$7:$D$102=$A7)*('03-销售明细'!$B$7:$B$102=2026)*'03-销售明细'!$H$7:$H$102*'03-销售明细'!$I$7:$I$102)/D7</x:f>
        <x:v>3990</x:v>
      </x:c>
      <x:c r="F7" s="25" t="n">
        <x:f>(SUM($D$7:$D$10)-SUM($B$7:$B$10))*(B7/SUM($B$7:$B$10))*C7/10000</x:f>
        <x:v>1821.161040737694</x:v>
      </x:c>
      <x:c r="G7" s="25" t="n">
        <x:f>SUM($D$7:$D$10)*((D7/SUM($D$7:$D$10))-(B7/SUM($B$7:$B$10)))*C7/10000</x:f>
        <x:v>-1344.0410407376944</x:v>
      </x:c>
      <x:c r="H7" s="25" t="n">
        <x:f>D7*(E7-C7)/10000</x:f>
        <x:v>-207.102</x:v>
      </x:c>
      <x:c r="I7" s="25" t="n">
        <x:f>F7+G7+H7</x:f>
        <x:v>270.0179999999997</x:v>
      </x:c>
    </x:row>
    <x:row r="8" ht="30" customHeight="1">
      <x:c r="A8" s="26" t="str">
        <x:v>P1专业机</x:v>
      </x:c>
      <x:c r="B8" s="26" t="n">
        <x:f>SUMIFS('03-销售明细'!$H$7:$H$102,'03-销售明细'!$D$7:$D$102,$A8,'03-销售明细'!$B$7:$B$102,2025)</x:f>
        <x:v>2994</x:v>
      </x:c>
      <x:c r="C8" s="26" t="n">
        <x:f>SUMPRODUCT(('03-销售明细'!$D$7:$D$102=$A8)*('03-销售明细'!$B$7:$B$102=2025)*'03-销售明细'!$H$7:$H$102*'03-销售明细'!$I$7:$I$102)/B8</x:f>
        <x:v>9800</x:v>
      </x:c>
      <x:c r="D8" s="26" t="n">
        <x:f>SUMIFS('03-销售明细'!$H$7:$H$102,'03-销售明细'!$D$7:$D$102,$A8,'03-销售明细'!$B$7:$B$102,2026)</x:f>
        <x:v>3714</x:v>
      </x:c>
      <x:c r="E8" s="26" t="n">
        <x:f>SUMPRODUCT(('03-销售明细'!$D$7:$D$102=$A8)*('03-销售明细'!$B$7:$B$102=2026)*'03-销售明细'!$H$7:$H$102*'03-销售明细'!$I$7:$I$102)/D8</x:f>
        <x:v>9604</x:v>
      </x:c>
      <x:c r="F8" s="26" t="n">
        <x:f>(SUM($D$7:$D$10)-SUM($B$7:$B$10))*(B8/SUM($B$7:$B$10))*C8/10000</x:f>
        <x:v>1458.0140993116588</x:v>
      </x:c>
      <x:c r="G8" s="26" t="n">
        <x:f>SUM($D$7:$D$10)*((D8/SUM($D$7:$D$10))-(B8/SUM($B$7:$B$10)))*C8/10000</x:f>
        <x:v>-752.4140993116588</x:v>
      </x:c>
      <x:c r="H8" s="26" t="n">
        <x:f>D8*(E8-C8)/10000</x:f>
        <x:v>-72.7944</x:v>
      </x:c>
      <x:c r="I8" s="26" t="n">
        <x:f>F8+G8+H8</x:f>
        <x:v>632.8056</x:v>
      </x:c>
    </x:row>
    <x:row r="9" ht="30" customHeight="1">
      <x:c r="A9" s="26" t="str">
        <x:v>I1工业机</x:v>
      </x:c>
      <x:c r="B9" s="26" t="n">
        <x:f>SUMIFS('03-销售明细'!$H$7:$H$102,'03-销售明细'!$D$7:$D$102,$A9,'03-销售明细'!$B$7:$B$102,2025)</x:f>
        <x:v>435</x:v>
      </x:c>
      <x:c r="C9" s="26" t="n">
        <x:f>SUMPRODUCT(('03-销售明细'!$D$7:$D$102=$A9)*('03-销售明细'!$B$7:$B$102=2025)*'03-销售明细'!$H$7:$H$102*'03-销售明细'!$I$7:$I$102)/B9</x:f>
        <x:v>65000</x:v>
      </x:c>
      <x:c r="D9" s="26" t="n">
        <x:f>SUMIFS('03-销售明细'!$H$7:$H$102,'03-销售明细'!$D$7:$D$102,$A9,'03-销售明细'!$B$7:$B$102,2026)</x:f>
        <x:v>472</x:v>
      </x:c>
      <x:c r="E9" s="26" t="n">
        <x:f>SUMPRODUCT(('03-销售明细'!$D$7:$D$102=$A9)*('03-销售明细'!$B$7:$B$102=2026)*'03-销售明细'!$H$7:$H$102*'03-销售明细'!$I$7:$I$102)/D9</x:f>
        <x:v>65650</x:v>
      </x:c>
      <x:c r="F9" s="26" t="n">
        <x:f>(SUM($D$7:$D$10)-SUM($B$7:$B$10))*(B9/SUM($B$7:$B$10))*C9/10000</x:f>
        <x:v>1405.0328090888286</x:v>
      </x:c>
      <x:c r="G9" s="26" t="n">
        <x:f>SUM($D$7:$D$10)*((D9/SUM($D$7:$D$10))-(B9/SUM($B$7:$B$10)))*C9/10000</x:f>
        <x:v>-1164.5328090888286</x:v>
      </x:c>
      <x:c r="H9" s="26" t="n">
        <x:f>D9*(E9-C9)/10000</x:f>
        <x:v>30.68</x:v>
      </x:c>
      <x:c r="I9" s="26" t="n">
        <x:f>F9+G9+H9</x:f>
        <x:v>271.18</x:v>
      </x:c>
    </x:row>
    <x:row r="10" ht="30" customHeight="1">
      <x:c r="A10" s="27" t="str">
        <x:v>耗材</x:v>
      </x:c>
      <x:c r="B10" s="27" t="n">
        <x:f>SUMIFS('03-销售明细'!$H$7:$H$102,'03-销售明细'!$D$7:$D$102,$A10,'03-销售明细'!$B$7:$B$102,2025)</x:f>
        <x:v>149538</x:v>
      </x:c>
      <x:c r="C10" s="27" t="n">
        <x:f>SUMPRODUCT(('03-销售明细'!$D$7:$D$102=$A10)*('03-销售明细'!$B$7:$B$102=2025)*'03-销售明细'!$H$7:$H$102*'03-销售明细'!$I$7:$I$102)/B10</x:f>
        <x:v>92</x:v>
      </x:c>
      <x:c r="D10" s="27" t="n">
        <x:f>SUMIFS('03-销售明细'!$H$7:$H$102,'03-销售明细'!$D$7:$D$102,$A10,'03-销售明细'!$B$7:$B$102,2026)</x:f>
        <x:v>227993</x:v>
      </x:c>
      <x:c r="E10" s="27" t="n">
        <x:f>SUMPRODUCT(('03-销售明细'!$D$7:$D$102=$A10)*('03-销售明细'!$B$7:$B$102=2026)*'03-销售明细'!$H$7:$H$102*'03-销售明细'!$I$7:$I$102)/D10</x:f>
        <x:v>95</x:v>
      </x:c>
      <x:c r="F10" s="27" t="n">
        <x:f>(SUM($D$7:$D$10)-SUM($B$7:$B$10))*(B10/SUM($B$7:$B$10))*C10/10000</x:f>
        <x:v>683.6333598906571</x:v>
      </x:c>
      <x:c r="G10" s="27" t="n">
        <x:f>SUM($D$7:$D$10)*((D10/SUM($D$7:$D$10))-(B10/SUM($B$7:$B$10)))*C10/10000</x:f>
        <x:v>38.15264010934297</x:v>
      </x:c>
      <x:c r="H10" s="27" t="n">
        <x:f>D10*(E10-C10)/10000</x:f>
        <x:v>68.3979</x:v>
      </x:c>
      <x:c r="I10" s="27" t="n">
        <x:f>F10+G10+H10</x:f>
        <x:v>790.1839000000001</x:v>
      </x:c>
    </x:row>
    <x:row r="11">
      <x:c r="A11" s="43"/>
      <x:c r="B11" s="43"/>
      <x:c r="C11" s="43"/>
      <x:c r="D11" s="43"/>
      <x:c r="E11" s="43"/>
      <x:c r="F11" s="43"/>
      <x:c r="G11" s="43"/>
      <x:c r="H11" s="43"/>
      <x:c r="I11" s="43"/>
    </x:row>
    <x:row r="12">
      <x:c r="A12" s="43" t="str">
        <x:v>校验</x:v>
      </x:c>
      <x:c r="B12" s="43" t="str">
        <x:v>基期收入</x:v>
      </x:c>
      <x:c r="C12" s="43" t="str">
        <x:v>本期收入</x:v>
      </x:c>
      <x:c r="D12" s="43" t="str">
        <x:v>实际变化</x:v>
      </x:c>
      <x:c r="E12" s="43" t="str">
        <x:v>PVM合计</x:v>
      </x:c>
      <x:c r="F12" s="43" t="str">
        <x:v>残差</x:v>
      </x:c>
      <x:c r="G12" s="43" t="str"/>
      <x:c r="H12" s="43" t="str"/>
      <x:c r="I12" s="43" t="str"/>
    </x:row>
    <x:row r="13">
      <x:c r="A13" s="43" t="str">
        <x:v>结果</x:v>
      </x:c>
      <x:c r="B13" s="43" t="n">
        <x:f>SUMPRODUCT(B7:B10,C7:C10)/10000</x:f>
        <x:v>10802.2896</x:v>
      </x:c>
      <x:c r="C13" s="43" t="n">
        <x:f>SUMPRODUCT(D7:D10,E7:E10)/10000</x:f>
        <x:v>12766.4771</x:v>
      </x:c>
      <x:c r="D13" s="43" t="n">
        <x:f>C13-B13</x:f>
        <x:v>1964.1875</x:v>
      </x:c>
      <x:c r="E13" s="43" t="n">
        <x:f>SUM(I7:I10)</x:f>
        <x:v>1964.1875</x:v>
      </x:c>
      <x:c r="F13" s="43" t="n">
        <x:f>D13-E13</x:f>
        <x:v>0</x:v>
      </x:c>
      <x:c r="G13" s="43" t="str"/>
      <x:c r="H13" s="43" t="str"/>
      <x:c r="I13" s="43" t="str"/>
    </x:row>
  </x:sheetData>
  <x:mergeCells>
    <x:mergeCell ref="A2:I2"/>
    <x:mergeCell ref="A3:I3"/>
  </x:mergeCells>
  <x:conditionalFormatting sqref="F13:F13">
    <x:cfRule type="cellIs" dxfId="0" priority="1" operator="not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abe76f0a9f34ad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0" hidden="0" customWidth="1"/>
    <x:col min="2" max="2" width="18" hidden="0" customWidth="1"/>
    <x:col min="3" max="3" width="14" hidden="0" customWidth="1"/>
    <x:col min="4" max="4" width="18" hidden="0" customWidth="1"/>
    <x:col min="5" max="5" width="14" hidden="0" customWidth="1"/>
    <x:col min="6" max="6" width="16" hidden="0" customWidth="1"/>
    <x:col min="7" max="7" width="36" hidden="0" customWidth="1"/>
  </x:cols>
  <x:sheetData>
    <x:row r="2" ht="26" customHeight="1">
      <x:c r="A2" s="1" t="str">
        <x:v>产品收入结构</x:v>
      </x:c>
      <x:c r="B2" s="43"/>
      <x:c r="C2" s="43"/>
      <x:c r="D2" s="43"/>
      <x:c r="E2" s="43"/>
      <x:c r="F2" s="43"/>
      <x:c r="G2" s="43"/>
    </x:row>
    <x:row r="3" ht="24" customHeight="1">
      <x:c r="A3" s="3" t="str">
        <x:v>公式或结构化模板可按月刷新；分析结论必须区分事实、业务信息、判断与待验证事项。</x:v>
      </x:c>
      <x:c r="B3" s="43"/>
      <x:c r="C3" s="43"/>
      <x:c r="D3" s="43"/>
      <x:c r="E3" s="43"/>
      <x:c r="F3" s="43"/>
      <x:c r="G3" s="43"/>
    </x:row>
    <x:row r="4">
      <x:c r="A4" s="43"/>
      <x:c r="B4" s="43"/>
      <x:c r="C4" s="43"/>
      <x:c r="D4" s="43"/>
      <x:c r="E4" s="43"/>
      <x:c r="F4" s="43"/>
      <x:c r="G4" s="43"/>
    </x:row>
    <x:row r="5">
      <x:c r="A5" s="43"/>
      <x:c r="B5" s="43"/>
      <x:c r="C5" s="43"/>
      <x:c r="D5" s="43"/>
      <x:c r="E5" s="43"/>
      <x:c r="F5" s="43"/>
      <x:c r="G5" s="43"/>
    </x:row>
    <x:row r="6" ht="32" customHeight="1">
      <x:c r="A6" s="21" t="str">
        <x:v>产品</x:v>
      </x:c>
      <x:c r="B6" s="21" t="str">
        <x:v>收入</x:v>
      </x:c>
      <x:c r="C6" s="21" t="str">
        <x:v>占比</x:v>
      </x:c>
      <x:c r="D6" s="21" t="str">
        <x:v>毛利</x:v>
      </x:c>
      <x:c r="E6" s="21" t="str">
        <x:v>毛利率</x:v>
      </x:c>
      <x:c r="F6" s="21" t="str">
        <x:v>生命周期</x:v>
      </x:c>
      <x:c r="G6" s="21" t="str">
        <x:v>管理问题</x:v>
      </x:c>
    </x:row>
    <x:row r="7" ht="30" customHeight="1">
      <x:c r="A7" s="25" t="str">
        <x:v>E1桌面机</x:v>
      </x:c>
      <x:c r="B7" s="25" t="n">
        <x:f>SUMIFS('03-销售明细'!$N$7:$N$102,'03-销售明细'!$D$7:$D$102,A7,'03-销售明细'!$B$7:$B$102,2026)</x:f>
        <x:v>3934.9379999999996</x:v>
      </x:c>
      <x:c r="C7" s="25" t="n">
        <x:f>B7/SUM($B$7:$B$10)</x:f>
        <x:v>0.30822426337176445</x:v>
      </x:c>
      <x:c r="D7" s="25" t="n">
        <x:f>B7-SUMIFS('03-销售明细'!$O$7:$O$102,'03-销售明细'!$D$7:$D$102,A7,'03-销售明细'!$B$7:$B$102,2026)</x:f>
        <x:v>1038.9358999999995</x:v>
      </x:c>
      <x:c r="E7" s="25" t="n">
        <x:f>D7/B7</x:f>
        <x:v>0.264028531072154</x:v>
      </x:c>
      <x:c r="F7" s="25" t="str">
        <x:v>成熟</x:v>
      </x:c>
      <x:c r="G7" s="25" t="str">
        <x:v>降价与替代</x:v>
      </x:c>
    </x:row>
    <x:row r="8" ht="30" customHeight="1">
      <x:c r="A8" s="26" t="str">
        <x:v>P1专业机</x:v>
      </x:c>
      <x:c r="B8" s="26" t="n">
        <x:f>SUMIFS('03-销售明细'!$N$7:$N$102,'03-销售明细'!$D$7:$D$102,A8,'03-销售明细'!$B$7:$B$102,2026)</x:f>
        <x:v>3566.9256000000005</x:v>
      </x:c>
      <x:c r="C8" s="26" t="n">
        <x:f>B8/SUM($B$7:$B$10)</x:f>
        <x:v>0.27939779878663634</x:v>
      </x:c>
      <x:c r="D8" s="26" t="n">
        <x:f>B8-SUMIFS('03-销售明细'!$O$7:$O$102,'03-销售明细'!$D$7:$D$102,A8,'03-销售明细'!$B$7:$B$102,2026)</x:f>
        <x:v>1165.9296000000004</x:v>
      </x:c>
      <x:c r="E8" s="26" t="n">
        <x:f>D8/B8</x:f>
        <x:v>0.3268724192060525</x:v>
      </x:c>
      <x:c r="F8" s="26" t="str">
        <x:v>成长</x:v>
      </x:c>
      <x:c r="G8" s="26" t="str">
        <x:v>渠道扩张</x:v>
      </x:c>
    </x:row>
    <x:row r="9" ht="30" customHeight="1">
      <x:c r="A9" s="26" t="str">
        <x:v>I1工业机</x:v>
      </x:c>
      <x:c r="B9" s="26" t="n">
        <x:f>SUMIFS('03-销售明细'!$N$7:$N$102,'03-销售明细'!$D$7:$D$102,A9,'03-销售明细'!$B$7:$B$102,2026)</x:f>
        <x:v>3098.6800000000007</x:v>
      </x:c>
      <x:c r="C9" s="26" t="n">
        <x:f>B9/SUM($B$7:$B$10)</x:f>
        <x:v>0.24272005313039732</x:v>
      </x:c>
      <x:c r="D9" s="26" t="n">
        <x:f>B9-SUMIFS('03-销售明细'!$O$7:$O$102,'03-销售明细'!$D$7:$D$102,A9,'03-销售明细'!$B$7:$B$102,2026)</x:f>
        <x:v>932.2692000000011</x:v>
      </x:c>
      <x:c r="E9" s="26" t="n">
        <x:f>D9/B9</x:f>
        <x:v>0.3008601081750942</x:v>
      </x:c>
      <x:c r="F9" s="26" t="str">
        <x:v>导入</x:v>
      </x:c>
      <x:c r="G9" s="26" t="str">
        <x:v>装机与售后</x:v>
      </x:c>
    </x:row>
    <x:row r="10" ht="30" customHeight="1">
      <x:c r="A10" s="27" t="str">
        <x:v>耗材</x:v>
      </x:c>
      <x:c r="B10" s="27" t="n">
        <x:f>SUMIFS('03-销售明细'!$N$7:$N$102,'03-销售明细'!$D$7:$D$102,A10,'03-销售明细'!$B$7:$B$102,2026)</x:f>
        <x:v>2165.9335</x:v>
      </x:c>
      <x:c r="C10" s="27" t="n">
        <x:f>B10/SUM($B$7:$B$10)</x:f>
        <x:v>0.16965788471120197</x:v>
      </x:c>
      <x:c r="D10" s="27" t="n">
        <x:f>B10-SUMIFS('03-销售明细'!$O$7:$O$102,'03-销售明细'!$D$7:$D$102,A10,'03-销售明细'!$B$7:$B$102,2026)</x:f>
        <x:v>928.3908000000001</x:v>
      </x:c>
      <x:c r="E10" s="27" t="n">
        <x:f>D10/B10</x:f>
        <x:v>0.42863310438663055</x:v>
      </x:c>
      <x:c r="F10" s="27" t="str">
        <x:v>成长</x:v>
      </x:c>
      <x:c r="G10" s="27" t="str">
        <x:v>复购与良率</x:v>
      </x:c>
    </x:row>
  </x:sheetData>
  <x:mergeCells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8c09334f2f6e4734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4" hidden="0" customWidth="1"/>
    <x:col min="5" max="5" width="16" hidden="0" customWidth="1"/>
    <x:col min="6" max="6" width="34" hidden="0" customWidth="1"/>
    <x:col min="7" max="7" width="34" hidden="0" customWidth="1"/>
  </x:cols>
  <x:sheetData>
    <x:row r="2" ht="26" customHeight="1">
      <x:c r="A2" s="1" t="str">
        <x:v>客户结构分析</x:v>
      </x:c>
      <x:c r="B2" s="43"/>
      <x:c r="C2" s="43"/>
      <x:c r="D2" s="43"/>
      <x:c r="E2" s="43"/>
      <x:c r="F2" s="43"/>
      <x:c r="G2" s="43"/>
    </x:row>
    <x:row r="3" ht="24" customHeight="1">
      <x:c r="A3" s="3" t="str">
        <x:v>公式或结构化模板可按月刷新；分析结论必须区分事实、业务信息、判断与待验证事项。</x:v>
      </x:c>
      <x:c r="B3" s="43"/>
      <x:c r="C3" s="43"/>
      <x:c r="D3" s="43"/>
      <x:c r="E3" s="43"/>
      <x:c r="F3" s="43"/>
      <x:c r="G3" s="43"/>
    </x:row>
    <x:row r="4">
      <x:c r="A4" s="43"/>
      <x:c r="B4" s="43"/>
      <x:c r="C4" s="43"/>
      <x:c r="D4" s="43"/>
      <x:c r="E4" s="43"/>
      <x:c r="F4" s="43"/>
      <x:c r="G4" s="43"/>
    </x:row>
    <x:row r="5">
      <x:c r="A5" s="43"/>
      <x:c r="B5" s="43"/>
      <x:c r="C5" s="43"/>
      <x:c r="D5" s="43"/>
      <x:c r="E5" s="43"/>
      <x:c r="F5" s="43"/>
      <x:c r="G5" s="43"/>
    </x:row>
    <x:row r="6" ht="32" customHeight="1">
      <x:c r="A6" s="21" t="str">
        <x:v>客户组</x:v>
      </x:c>
      <x:c r="B6" s="21" t="str">
        <x:v>收入占比</x:v>
      </x:c>
      <x:c r="C6" s="21" t="str">
        <x:v>信用期</x:v>
      </x:c>
      <x:c r="D6" s="21" t="str">
        <x:v>DSO</x:v>
      </x:c>
      <x:c r="E6" s="21" t="str">
        <x:v>逾期率</x:v>
      </x:c>
      <x:c r="F6" s="21" t="str">
        <x:v>风险</x:v>
      </x:c>
      <x:c r="G6" s="21" t="str">
        <x:v>行动</x:v>
      </x:c>
    </x:row>
    <x:row r="7" ht="30" customHeight="1">
      <x:c r="A7" s="25" t="str">
        <x:v>TOP5大客户</x:v>
      </x:c>
      <x:c r="B7" s="25" t="n">
        <x:v>0.42</x:v>
      </x:c>
      <x:c r="C7" s="25" t="n">
        <x:v>75</x:v>
      </x:c>
      <x:c r="D7" s="25" t="n">
        <x:v>88</x:v>
      </x:c>
      <x:c r="E7" s="25" t="n">
        <x:v>0.18</x:v>
      </x:c>
      <x:c r="F7" s="25" t="str">
        <x:v>集中度和账期上升</x:v>
      </x:c>
      <x:c r="G7" s="25" t="str">
        <x:v>逐户回款承诺</x:v>
      </x:c>
    </x:row>
    <x:row r="8" ht="30" customHeight="1">
      <x:c r="A8" s="26" t="str">
        <x:v>其他经销商</x:v>
      </x:c>
      <x:c r="B8" s="26" t="n">
        <x:v>0.28</x:v>
      </x:c>
      <x:c r="C8" s="26" t="n">
        <x:v>45</x:v>
      </x:c>
      <x:c r="D8" s="26" t="n">
        <x:v>57</x:v>
      </x:c>
      <x:c r="E8" s="26" t="n">
        <x:v>0.09</x:v>
      </x:c>
      <x:c r="F8" s="26" t="str">
        <x:v>渠道库存不透明</x:v>
      </x:c>
      <x:c r="G8" s="26" t="str">
        <x:v>取得Sell-out</x:v>
      </x:c>
    </x:row>
    <x:row r="9" ht="30" customHeight="1">
      <x:c r="A9" s="26" t="str">
        <x:v>直营客户</x:v>
      </x:c>
      <x:c r="B9" s="26" t="n">
        <x:v>0.2</x:v>
      </x:c>
      <x:c r="C9" s="26" t="n">
        <x:v>30</x:v>
      </x:c>
      <x:c r="D9" s="26" t="n">
        <x:v>32</x:v>
      </x:c>
      <x:c r="E9" s="26" t="n">
        <x:v>0.03</x:v>
      </x:c>
      <x:c r="F9" s="26" t="str">
        <x:v>风险较低</x:v>
      </x:c>
      <x:c r="G9" s="26" t="str">
        <x:v>保持</x:v>
      </x:c>
    </x:row>
    <x:row r="10" ht="30" customHeight="1">
      <x:c r="A10" s="27" t="str">
        <x:v>电商零售</x:v>
      </x:c>
      <x:c r="B10" s="27" t="n">
        <x:v>0.1</x:v>
      </x:c>
      <x:c r="C10" s="27" t="n">
        <x:v>7</x:v>
      </x:c>
      <x:c r="D10" s="27" t="n">
        <x:v>9</x:v>
      </x:c>
      <x:c r="E10" s="27" t="n">
        <x:v>0.01</x:v>
      </x:c>
      <x:c r="F10" s="27" t="str">
        <x:v>平台扣款</x:v>
      </x:c>
      <x:c r="G10" s="27" t="str">
        <x:v>核对结算</x:v>
      </x:c>
    </x:row>
  </x:sheetData>
  <x:mergeCells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00402f40e6e24458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6" hidden="0" customWidth="1"/>
    <x:col min="4" max="4" width="16" hidden="0" customWidth="1"/>
    <x:col min="5" max="5" width="18" hidden="0" customWidth="1"/>
    <x:col min="6" max="6" width="16" hidden="0" customWidth="1"/>
    <x:col min="7" max="7" width="45" hidden="0" customWidth="1"/>
  </x:cols>
  <x:sheetData>
    <x:row r="2" ht="26" customHeight="1">
      <x:c r="A2" s="1" t="str">
        <x:v>渠道和地区分析</x:v>
      </x:c>
      <x:c r="B2" s="43"/>
      <x:c r="C2" s="43"/>
      <x:c r="D2" s="43"/>
      <x:c r="E2" s="43"/>
      <x:c r="F2" s="43"/>
      <x:c r="G2" s="43"/>
    </x:row>
    <x:row r="3" ht="24" customHeight="1">
      <x:c r="A3" s="3" t="str">
        <x:v>公式或结构化模板可按月刷新；分析结论必须区分事实、业务信息、判断与待验证事项。</x:v>
      </x:c>
      <x:c r="B3" s="43"/>
      <x:c r="C3" s="43"/>
      <x:c r="D3" s="43"/>
      <x:c r="E3" s="43"/>
      <x:c r="F3" s="43"/>
      <x:c r="G3" s="43"/>
    </x:row>
    <x:row r="4">
      <x:c r="A4" s="43"/>
      <x:c r="B4" s="43"/>
      <x:c r="C4" s="43"/>
      <x:c r="D4" s="43"/>
      <x:c r="E4" s="43"/>
      <x:c r="F4" s="43"/>
      <x:c r="G4" s="43"/>
    </x:row>
    <x:row r="5">
      <x:c r="A5" s="43"/>
      <x:c r="B5" s="43"/>
      <x:c r="C5" s="43"/>
      <x:c r="D5" s="43"/>
      <x:c r="E5" s="43"/>
      <x:c r="F5" s="43"/>
      <x:c r="G5" s="43"/>
    </x:row>
    <x:row r="6" ht="32" customHeight="1">
      <x:c r="A6" s="21" t="str">
        <x:v>渠道/地区</x:v>
      </x:c>
      <x:c r="B6" s="21" t="str">
        <x:v>收入</x:v>
      </x:c>
      <x:c r="C6" s="21" t="str">
        <x:v>增长率</x:v>
      </x:c>
      <x:c r="D6" s="21" t="str">
        <x:v>毛利率</x:v>
      </x:c>
      <x:c r="E6" s="21" t="str">
        <x:v>回款周期</x:v>
      </x:c>
      <x:c r="F6" s="21" t="str">
        <x:v>退货率</x:v>
      </x:c>
      <x:c r="G6" s="21" t="str">
        <x:v>判断</x:v>
      </x:c>
    </x:row>
    <x:row r="7" ht="30" customHeight="1">
      <x:c r="A7" s="25" t="str">
        <x:v>国内经销</x:v>
      </x:c>
      <x:c r="B7" s="25" t="n">
        <x:v>20500</x:v>
      </x:c>
      <x:c r="C7" s="25" t="n">
        <x:v>0.31</x:v>
      </x:c>
      <x:c r="D7" s="25" t="n">
        <x:v>0.31</x:v>
      </x:c>
      <x:c r="E7" s="25" t="n">
        <x:v>65</x:v>
      </x:c>
      <x:c r="F7" s="25" t="n">
        <x:v>0.055</x:v>
      </x:c>
      <x:c r="G7" s="25" t="str">
        <x:v>增长快但现金与退货风险上升</x:v>
      </x:c>
    </x:row>
    <x:row r="8" ht="30" customHeight="1">
      <x:c r="A8" s="26" t="str">
        <x:v>国内直营</x:v>
      </x:c>
      <x:c r="B8" s="26" t="n">
        <x:v>9000</x:v>
      </x:c>
      <x:c r="C8" s="26" t="n">
        <x:v>0.1</x:v>
      </x:c>
      <x:c r="D8" s="26" t="n">
        <x:v>0.39</x:v>
      </x:c>
      <x:c r="E8" s="26" t="n">
        <x:v>31</x:v>
      </x:c>
      <x:c r="F8" s="26" t="n">
        <x:v>0.018</x:v>
      </x:c>
      <x:c r="G8" s="26" t="str">
        <x:v>毛利和回款稳定</x:v>
      </x:c>
    </x:row>
    <x:row r="9" ht="30" customHeight="1">
      <x:c r="A9" s="26" t="str">
        <x:v>跨境电商</x:v>
      </x:c>
      <x:c r="B9" s="26" t="n">
        <x:v>8200</x:v>
      </x:c>
      <x:c r="C9" s="26" t="n">
        <x:v>0.38</x:v>
      </x:c>
      <x:c r="D9" s="26" t="n">
        <x:v>0.43</x:v>
      </x:c>
      <x:c r="E9" s="26" t="n">
        <x:v>18</x:v>
      </x:c>
      <x:c r="F9" s="26" t="n">
        <x:v>0.032</x:v>
      </x:c>
      <x:c r="G9" s="26" t="str">
        <x:v>汇率及平台费需拆解</x:v>
      </x:c>
    </x:row>
    <x:row r="10" ht="30" customHeight="1">
      <x:c r="A10" s="27" t="str">
        <x:v>海外代理</x:v>
      </x:c>
      <x:c r="B10" s="27" t="n">
        <x:v>7300</x:v>
      </x:c>
      <x:c r="C10" s="27" t="n">
        <x:v>0.22</x:v>
      </x:c>
      <x:c r="D10" s="27" t="n">
        <x:v>0.36</x:v>
      </x:c>
      <x:c r="E10" s="27" t="n">
        <x:v>72</x:v>
      </x:c>
      <x:c r="F10" s="27" t="n">
        <x:v>0.026</x:v>
      </x:c>
      <x:c r="G10" s="27" t="str">
        <x:v>需监控库存和信用</x:v>
      </x:c>
    </x:row>
  </x:sheetData>
  <x:mergeCells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60e9c8b3fea543d8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34" hidden="0" customWidth="1"/>
    <x:col min="4" max="4" width="20" hidden="0" customWidth="1"/>
    <x:col min="5" max="5" width="34" hidden="0" customWidth="1"/>
    <x:col min="6" max="6" width="34" hidden="0" customWidth="1"/>
  </x:cols>
  <x:sheetData>
    <x:row r="2" ht="26" customHeight="1">
      <x:c r="A2" s="1" t="str">
        <x:v>毛利率Bridge</x:v>
      </x:c>
      <x:c r="B2" s="43"/>
      <x:c r="C2" s="43"/>
      <x:c r="D2" s="43"/>
      <x:c r="E2" s="43"/>
      <x:c r="F2" s="43"/>
    </x:row>
    <x:row r="3" ht="24" customHeight="1">
      <x:c r="A3" s="3" t="str">
        <x:v>公式或结构化模板可按月刷新；分析结论必须区分事实、业务信息、判断与待验证事项。</x:v>
      </x:c>
      <x:c r="B3" s="43"/>
      <x:c r="C3" s="43"/>
      <x:c r="D3" s="43"/>
      <x:c r="E3" s="43"/>
      <x:c r="F3" s="43"/>
    </x:row>
    <x:row r="4">
      <x:c r="A4" s="43"/>
      <x:c r="B4" s="43"/>
      <x:c r="C4" s="43"/>
      <x:c r="D4" s="43"/>
      <x:c r="E4" s="43"/>
      <x:c r="F4" s="43"/>
    </x:row>
    <x:row r="5">
      <x:c r="A5" s="43"/>
      <x:c r="B5" s="43"/>
      <x:c r="C5" s="43"/>
      <x:c r="D5" s="43"/>
      <x:c r="E5" s="43"/>
      <x:c r="F5" s="43"/>
    </x:row>
    <x:row r="6" ht="32" customHeight="1">
      <x:c r="A6" s="21" t="str">
        <x:v>驱动因素</x:v>
      </x:c>
      <x:c r="B6" s="21" t="str">
        <x:v>毛利率影响</x:v>
      </x:c>
      <x:c r="C6" s="21" t="str">
        <x:v>计算依据</x:v>
      </x:c>
      <x:c r="D6" s="21" t="str">
        <x:v>责任部门</x:v>
      </x:c>
      <x:c r="E6" s="21" t="str">
        <x:v>业务证据</x:v>
      </x:c>
      <x:c r="F6" s="21" t="str">
        <x:v>行动</x:v>
      </x:c>
    </x:row>
    <x:row r="7" ht="30" customHeight="1">
      <x:c r="A7" s="25" t="str">
        <x:v>2025基准毛利率</x:v>
      </x:c>
      <x:c r="B7" s="25" t="n">
        <x:v>0.38</x:v>
      </x:c>
      <x:c r="C7" s="25" t="str">
        <x:v>历史实际</x:v>
      </x:c>
      <x:c r="D7" s="25" t="str">
        <x:v>财务</x:v>
      </x:c>
      <x:c r="E7" s="25" t="str">
        <x:v>产品毛利表</x:v>
      </x:c>
      <x:c r="F7" s="25" t="str">
        <x:v>—</x:v>
      </x:c>
    </x:row>
    <x:row r="8" ht="30" customHeight="1">
      <x:c r="A8" s="26" t="str">
        <x:v>销售价格</x:v>
      </x:c>
      <x:c r="B8" s="26" t="n">
        <x:v>-0.008</x:v>
      </x:c>
      <x:c r="C8" s="26" t="str">
        <x:v>PVM价格与边际成本</x:v>
      </x:c>
      <x:c r="D8" s="26" t="str">
        <x:v>销售</x:v>
      </x:c>
      <x:c r="E8" s="26" t="str">
        <x:v>价目表、折扣</x:v>
      </x:c>
      <x:c r="F8" s="26" t="str">
        <x:v>控制无效折扣</x:v>
      </x:c>
    </x:row>
    <x:row r="9" ht="30" customHeight="1">
      <x:c r="A9" s="26" t="str">
        <x:v>产品/渠道结构</x:v>
      </x:c>
      <x:c r="B9" s="26" t="n">
        <x:v>-0.012</x:v>
      </x:c>
      <x:c r="C9" s="26" t="str">
        <x:v>按基期产品毛利重算</x:v>
      </x:c>
      <x:c r="D9" s="26" t="str">
        <x:v>销售</x:v>
      </x:c>
      <x:c r="E9" s="26" t="str">
        <x:v>产品与渠道明细</x:v>
      </x:c>
      <x:c r="F9" s="26" t="str">
        <x:v>提升耗材直营复购</x:v>
      </x:c>
    </x:row>
    <x:row r="10" ht="30" customHeight="1">
      <x:c r="A10" s="26" t="str">
        <x:v>材料采购价格</x:v>
      </x:c>
      <x:c r="B10" s="26" t="n">
        <x:v>-0.01</x:v>
      </x:c>
      <x:c r="C10" s="26" t="str">
        <x:v>实际采购价vs基准价</x:v>
      </x:c>
      <x:c r="D10" s="26" t="str">
        <x:v>采购</x:v>
      </x:c>
      <x:c r="E10" s="26" t="str">
        <x:v>采购订单</x:v>
      </x:c>
      <x:c r="F10" s="26" t="str">
        <x:v>集中谈判</x:v>
      </x:c>
    </x:row>
    <x:row r="11" ht="30" customHeight="1">
      <x:c r="A11" s="26" t="str">
        <x:v>良率与报废</x:v>
      </x:c>
      <x:c r="B11" s="26" t="n">
        <x:v>-0.004</x:v>
      </x:c>
      <x:c r="C11" s="26" t="str">
        <x:v>实际单耗vs标准单耗</x:v>
      </x:c>
      <x:c r="D11" s="26" t="str">
        <x:v>生产</x:v>
      </x:c>
      <x:c r="E11" s="26" t="str">
        <x:v>良率、报废单</x:v>
      </x:c>
      <x:c r="F11" s="26" t="str">
        <x:v>改善树脂线</x:v>
      </x:c>
    </x:row>
    <x:row r="12" ht="30" customHeight="1">
      <x:c r="A12" s="26" t="str">
        <x:v>产能利用率</x:v>
      </x:c>
      <x:c r="B12" s="26" t="n">
        <x:v>-0.006</x:v>
      </x:c>
      <x:c r="C12" s="26" t="str">
        <x:v>固定制造费用吸收差异</x:v>
      </x:c>
      <x:c r="D12" s="26" t="str">
        <x:v>生产</x:v>
      </x:c>
      <x:c r="E12" s="26" t="str">
        <x:v>工时和产量</x:v>
      </x:c>
      <x:c r="F12" s="26" t="str">
        <x:v>调整排产</x:v>
      </x:c>
    </x:row>
    <x:row r="13" ht="30" customHeight="1">
      <x:c r="A13" s="26" t="str">
        <x:v>新品爬坡/其他</x:v>
      </x:c>
      <x:c r="B13" s="26" t="n">
        <x:v>-0.005</x:v>
      </x:c>
      <x:c r="C13" s="26" t="str">
        <x:v>专项归集</x:v>
      </x:c>
      <x:c r="D13" s="26" t="str">
        <x:v>研发/生产</x:v>
      </x:c>
      <x:c r="E13" s="26" t="str">
        <x:v>试产工单</x:v>
      </x:c>
      <x:c r="F13" s="26" t="str">
        <x:v>里程碑复盘</x:v>
      </x:c>
    </x:row>
    <x:row r="14" ht="30" customHeight="1">
      <x:c r="A14" s="26" t="str">
        <x:v>2026预测毛利率</x:v>
      </x:c>
      <x:c r="B14" s="26" t="n">
        <x:f>SUM(B7:B13)</x:f>
        <x:v>0.33499999999999996</x:v>
      </x:c>
      <x:c r="C14" s="26" t="str">
        <x:v>应等于34.5%</x:v>
      </x:c>
      <x:c r="D14" s="26" t="str">
        <x:v>财务</x:v>
      </x:c>
      <x:c r="E14" s="26" t="str">
        <x:v>勾稽检查</x:v>
      </x:c>
      <x:c r="F14" s="26" t="str">
        <x:v>—</x:v>
      </x:c>
    </x:row>
    <x:row r="15" ht="30" customHeight="1">
      <x:c r="A15" s="27" t="str">
        <x:v>残差</x:v>
      </x:c>
      <x:c r="B15" s="27" t="n">
        <x:f>B14-0.345</x:f>
        <x:v>-0.010000000000000009</x:v>
      </x:c>
      <x:c r="C15" s="27" t="str">
        <x:v>必须为0</x:v>
      </x:c>
      <x:c r="D15" s="27" t="str">
        <x:v>财务</x:v>
      </x:c>
      <x:c r="E15" s="27" t="str">
        <x:v>模型校验</x:v>
      </x:c>
      <x:c r="F15" s="27" t="str">
        <x:v>查明</x:v>
      </x:c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60e14d0e0dcd4cab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24" hidden="0" customWidth="1"/>
  </x:cols>
  <x:sheetData>
    <x:row r="2" ht="26" customHeight="1">
      <x:c r="A2" s="1" t="str">
        <x:v>材料成本分析</x:v>
      </x:c>
      <x:c r="B2" s="43"/>
      <x:c r="C2" s="43"/>
      <x:c r="D2" s="43"/>
      <x:c r="E2" s="43"/>
      <x:c r="F2" s="43"/>
      <x:c r="G2" s="43"/>
      <x:c r="H2" s="43"/>
    </x:row>
    <x:row r="3" ht="24" customHeight="1">
      <x:c r="A3" s="3" t="str">
        <x:v>公式或结构化模板可按月刷新；分析结论必须区分事实、业务信息、判断与待验证事项。</x:v>
      </x:c>
      <x:c r="B3" s="43"/>
      <x:c r="C3" s="43"/>
      <x:c r="D3" s="43"/>
      <x:c r="E3" s="43"/>
      <x:c r="F3" s="43"/>
      <x:c r="G3" s="43"/>
      <x:c r="H3" s="43"/>
    </x:row>
    <x:row r="4">
      <x:c r="A4" s="43"/>
      <x:c r="B4" s="43"/>
      <x:c r="C4" s="43"/>
      <x:c r="D4" s="43"/>
      <x:c r="E4" s="43"/>
      <x:c r="F4" s="43"/>
      <x:c r="G4" s="43"/>
      <x:c r="H4" s="43"/>
    </x:row>
    <x:row r="5">
      <x:c r="A5" s="43"/>
      <x:c r="B5" s="43"/>
      <x:c r="C5" s="43"/>
      <x:c r="D5" s="43"/>
      <x:c r="E5" s="43"/>
      <x:c r="F5" s="43"/>
      <x:c r="G5" s="43"/>
      <x:c r="H5" s="43"/>
    </x:row>
    <x:row r="6" ht="32" customHeight="1">
      <x:c r="A6" s="21" t="str">
        <x:v>材料</x:v>
      </x:c>
      <x:c r="B6" s="21" t="str">
        <x:v>标准用量</x:v>
      </x:c>
      <x:c r="C6" s="21" t="str">
        <x:v>实际用量</x:v>
      </x:c>
      <x:c r="D6" s="21" t="str">
        <x:v>标准价格</x:v>
      </x:c>
      <x:c r="E6" s="21" t="str">
        <x:v>实际价格</x:v>
      </x:c>
      <x:c r="F6" s="21" t="str">
        <x:v>用量差异</x:v>
      </x:c>
      <x:c r="G6" s="21" t="str">
        <x:v>价格差异</x:v>
      </x:c>
      <x:c r="H6" s="21" t="str">
        <x:v>责任</x:v>
      </x:c>
    </x:row>
    <x:row r="7" ht="30" customHeight="1">
      <x:c r="A7" s="25" t="str">
        <x:v>控制板</x:v>
      </x:c>
      <x:c r="B7" s="25" t="n">
        <x:v>1</x:v>
      </x:c>
      <x:c r="C7" s="25" t="n">
        <x:v>1.03</x:v>
      </x:c>
      <x:c r="D7" s="25" t="n">
        <x:v>420</x:v>
      </x:c>
      <x:c r="E7" s="25" t="n">
        <x:v>455</x:v>
      </x:c>
      <x:c r="F7" s="25" t="n">
        <x:f>(C7-B7)*D7</x:f>
        <x:v>12.600000000000012</x:v>
      </x:c>
      <x:c r="G7" s="25" t="n">
        <x:f>C7*(E7-D7)</x:f>
        <x:v>36.050000000000004</x:v>
      </x:c>
      <x:c r="H7" s="25" t="str">
        <x:v>研发/采购</x:v>
      </x:c>
    </x:row>
    <x:row r="8" ht="30" customHeight="1">
      <x:c r="A8" s="26" t="str">
        <x:v>电机</x:v>
      </x:c>
      <x:c r="B8" s="26" t="n">
        <x:v>4</x:v>
      </x:c>
      <x:c r="C8" s="26" t="n">
        <x:v>4.08</x:v>
      </x:c>
      <x:c r="D8" s="26" t="n">
        <x:v>105</x:v>
      </x:c>
      <x:c r="E8" s="26" t="n">
        <x:v>112</x:v>
      </x:c>
      <x:c r="F8" s="26" t="n">
        <x:f>(C8-B8)*D8</x:f>
        <x:v>8.400000000000007</x:v>
      </x:c>
      <x:c r="G8" s="26" t="n">
        <x:f>C8*(E8-D8)</x:f>
        <x:v>28.560000000000002</x:v>
      </x:c>
      <x:c r="H8" s="26" t="str">
        <x:v>生产/采购</x:v>
      </x:c>
    </x:row>
    <x:row r="9" ht="30" customHeight="1">
      <x:c r="A9" s="27" t="str">
        <x:v>树脂原料kg</x:v>
      </x:c>
      <x:c r="B9" s="27" t="n">
        <x:v>1</x:v>
      </x:c>
      <x:c r="C9" s="27" t="n">
        <x:v>1.12</x:v>
      </x:c>
      <x:c r="D9" s="27" t="n">
        <x:v>28</x:v>
      </x:c>
      <x:c r="E9" s="27" t="n">
        <x:v>31</x:v>
      </x:c>
      <x:c r="F9" s="27" t="n">
        <x:f>(C9-B9)*D9</x:f>
        <x:v>3.360000000000003</x:v>
      </x:c>
      <x:c r="G9" s="27" t="n">
        <x:f>C9*(E9-D9)</x:f>
        <x:v>3.3600000000000003</x:v>
      </x:c>
      <x:c r="H9" s="27" t="str">
        <x:v>生产/采购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2e7b8904e44f4dd4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8" hidden="0" customWidth="1"/>
  </x:cols>
  <x:sheetData>
    <x:row r="2" ht="26" customHeight="1">
      <x:c r="A2" s="1" t="str">
        <x:v>制造费用与产能分析</x:v>
      </x:c>
      <x:c r="B2" s="43"/>
      <x:c r="C2" s="43"/>
      <x:c r="D2" s="43"/>
      <x:c r="E2" s="43"/>
      <x:c r="F2" s="43"/>
    </x:row>
    <x:row r="3" ht="24" customHeight="1">
      <x:c r="A3" s="3" t="str">
        <x:v>公式或结构化模板可按月刷新；分析结论必须区分事实、业务信息、判断与待验证事项。</x:v>
      </x:c>
      <x:c r="B3" s="43"/>
      <x:c r="C3" s="43"/>
      <x:c r="D3" s="43"/>
      <x:c r="E3" s="43"/>
      <x:c r="F3" s="43"/>
    </x:row>
    <x:row r="4">
      <x:c r="A4" s="43"/>
      <x:c r="B4" s="43"/>
      <x:c r="C4" s="43"/>
      <x:c r="D4" s="43"/>
      <x:c r="E4" s="43"/>
      <x:c r="F4" s="43"/>
    </x:row>
    <x:row r="5">
      <x:c r="A5" s="43"/>
      <x:c r="B5" s="43"/>
      <x:c r="C5" s="43"/>
      <x:c r="D5" s="43"/>
      <x:c r="E5" s="43"/>
      <x:c r="F5" s="43"/>
    </x:row>
    <x:row r="6" ht="32" customHeight="1">
      <x:c r="A6" s="21" t="str">
        <x:v>指标</x:v>
      </x:c>
      <x:c r="B6" s="21" t="str">
        <x:v>2025</x:v>
      </x:c>
      <x:c r="C6" s="21" t="str">
        <x:v>2026预算</x:v>
      </x:c>
      <x:c r="D6" s="21" t="str">
        <x:v>2026预测</x:v>
      </x:c>
      <x:c r="E6" s="21" t="str">
        <x:v>差异</x:v>
      </x:c>
      <x:c r="F6" s="21" t="str">
        <x:v>判断</x:v>
      </x:c>
    </x:row>
    <x:row r="7" ht="30" customHeight="1">
      <x:c r="A7" s="25" t="str">
        <x:v>理论产能台/月</x:v>
      </x:c>
      <x:c r="B7" s="25" t="n">
        <x:v>1800</x:v>
      </x:c>
      <x:c r="C7" s="25" t="n">
        <x:v>2400</x:v>
      </x:c>
      <x:c r="D7" s="25" t="n">
        <x:v>2400</x:v>
      </x:c>
      <x:c r="E7" s="25" t="n">
        <x:v>0</x:v>
      </x:c>
      <x:c r="F7" s="25" t="str">
        <x:v>设备能力</x:v>
      </x:c>
    </x:row>
    <x:row r="8" ht="30" customHeight="1">
      <x:c r="A8" s="26" t="str">
        <x:v>有效产能台/月</x:v>
      </x:c>
      <x:c r="B8" s="26" t="n">
        <x:v>1550</x:v>
      </x:c>
      <x:c r="C8" s="26" t="n">
        <x:v>2100</x:v>
      </x:c>
      <x:c r="D8" s="26" t="n">
        <x:v>1950</x:v>
      </x:c>
      <x:c r="E8" s="26" t="n">
        <x:v>-150</x:v>
      </x:c>
      <x:c r="F8" s="26" t="str">
        <x:v>换线和维护影响</x:v>
      </x:c>
    </x:row>
    <x:row r="9" ht="30" customHeight="1">
      <x:c r="A9" s="26" t="str">
        <x:v>实际产量台/月</x:v>
      </x:c>
      <x:c r="B9" s="26" t="n">
        <x:v>1280</x:v>
      </x:c>
      <x:c r="C9" s="26" t="n">
        <x:v>1850</x:v>
      </x:c>
      <x:c r="D9" s="26" t="n">
        <x:v>1420</x:v>
      </x:c>
      <x:c r="E9" s="26" t="n">
        <x:v>-430</x:v>
      </x:c>
      <x:c r="F9" s="26" t="str">
        <x:v>需求和爬坡</x:v>
      </x:c>
    </x:row>
    <x:row r="10" ht="30" customHeight="1">
      <x:c r="A10" s="26" t="str">
        <x:v>产能利用率</x:v>
      </x:c>
      <x:c r="B10" s="26" t="n">
        <x:v>0.826</x:v>
      </x:c>
      <x:c r="C10" s="26" t="n">
        <x:v>0.881</x:v>
      </x:c>
      <x:c r="D10" s="26" t="n">
        <x:v>0.728</x:v>
      </x:c>
      <x:c r="E10" s="26" t="n">
        <x:v>-0.153</x:v>
      </x:c>
      <x:c r="F10" s="26" t="str">
        <x:v>固定费用吸收不足</x:v>
      </x:c>
    </x:row>
    <x:row r="11" ht="30" customHeight="1">
      <x:c r="A11" s="26" t="str">
        <x:v>固定制造费用/年</x:v>
      </x:c>
      <x:c r="B11" s="26" t="n">
        <x:v>4200</x:v>
      </x:c>
      <x:c r="C11" s="26" t="n">
        <x:v>5100</x:v>
      </x:c>
      <x:c r="D11" s="26" t="n">
        <x:v>5350</x:v>
      </x:c>
      <x:c r="E11" s="26" t="n">
        <x:v>250</x:v>
      </x:c>
      <x:c r="F11" s="26" t="str">
        <x:v>扩产提前</x:v>
      </x:c>
    </x:row>
    <x:row r="12" ht="30" customHeight="1">
      <x:c r="A12" s="27" t="str">
        <x:v>单位固定制造费用</x:v>
      </x:c>
      <x:c r="B12" s="27" t="n">
        <x:v>2730</x:v>
      </x:c>
      <x:c r="C12" s="27" t="n">
        <x:v>2297</x:v>
      </x:c>
      <x:c r="D12" s="27" t="n">
        <x:v>3768</x:v>
      </x:c>
      <x:c r="E12" s="27" t="n">
        <x:v>1471</x:v>
      </x:c>
      <x:c r="F12" s="27" t="str">
        <x:v>单位成本上升</x:v>
      </x:c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166afcf540044a57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42" hidden="0" customWidth="1"/>
  </x:cols>
  <x:sheetData>
    <x:row r="2" ht="26" customHeight="1">
      <x:c r="A2" s="1" t="str">
        <x:v>期间费用分析</x:v>
      </x:c>
      <x:c r="B2" s="43"/>
      <x:c r="C2" s="43"/>
      <x:c r="D2" s="43"/>
      <x:c r="E2" s="43"/>
      <x:c r="F2" s="43"/>
      <x:c r="G2" s="43"/>
    </x:row>
    <x:row r="3" ht="24" customHeight="1">
      <x:c r="A3" s="3" t="str">
        <x:v>公式或结构化模板可按月刷新；分析结论必须区分事实、业务信息、判断与待验证事项。</x:v>
      </x:c>
      <x:c r="B3" s="43"/>
      <x:c r="C3" s="43"/>
      <x:c r="D3" s="43"/>
      <x:c r="E3" s="43"/>
      <x:c r="F3" s="43"/>
      <x:c r="G3" s="43"/>
    </x:row>
    <x:row r="4">
      <x:c r="A4" s="43"/>
      <x:c r="B4" s="43"/>
      <x:c r="C4" s="43"/>
      <x:c r="D4" s="43"/>
      <x:c r="E4" s="43"/>
      <x:c r="F4" s="43"/>
      <x:c r="G4" s="43"/>
    </x:row>
    <x:row r="5">
      <x:c r="A5" s="43"/>
      <x:c r="B5" s="43"/>
      <x:c r="C5" s="43"/>
      <x:c r="D5" s="43"/>
      <x:c r="E5" s="43"/>
      <x:c r="F5" s="43"/>
      <x:c r="G5" s="43"/>
    </x:row>
    <x:row r="6" ht="32" customHeight="1">
      <x:c r="A6" s="21" t="str">
        <x:v>费用</x:v>
      </x:c>
      <x:c r="B6" s="21" t="str">
        <x:v>2025</x:v>
      </x:c>
      <x:c r="C6" s="21" t="str">
        <x:v>2026预算</x:v>
      </x:c>
      <x:c r="D6" s="21" t="str">
        <x:v>2026预测</x:v>
      </x:c>
      <x:c r="E6" s="21" t="str">
        <x:v>差异</x:v>
      </x:c>
      <x:c r="F6" s="21" t="str">
        <x:v>费用率</x:v>
      </x:c>
      <x:c r="G6" s="21" t="str">
        <x:v>业务驱动</x:v>
      </x:c>
    </x:row>
    <x:row r="7" ht="30" customHeight="1">
      <x:c r="A7" s="25" t="str">
        <x:v>销售费用</x:v>
      </x:c>
      <x:c r="B7" s="25" t="n">
        <x:v>3600</x:v>
      </x:c>
      <x:c r="C7" s="25" t="n">
        <x:v>4320</x:v>
      </x:c>
      <x:c r="D7" s="25" t="n">
        <x:v>4680</x:v>
      </x:c>
      <x:c r="E7" s="25" t="n">
        <x:f>D7-C7</x:f>
        <x:v>360</x:v>
      </x:c>
      <x:c r="F7" s="25" t="n">
        <x:f>D7/45000</x:f>
        <x:v>0.104</x:v>
      </x:c>
      <x:c r="G7" s="25" t="str">
        <x:v>渠道人员和推广</x:v>
      </x:c>
    </x:row>
    <x:row r="8" ht="30" customHeight="1">
      <x:c r="A8" s="26" t="str">
        <x:v>管理费用</x:v>
      </x:c>
      <x:c r="B8" s="26" t="n">
        <x:v>2500</x:v>
      </x:c>
      <x:c r="C8" s="26" t="n">
        <x:v>2850</x:v>
      </x:c>
      <x:c r="D8" s="26" t="n">
        <x:v>3000</x:v>
      </x:c>
      <x:c r="E8" s="26" t="n">
        <x:f>D8-C8</x:f>
        <x:v>150</x:v>
      </x:c>
      <x:c r="F8" s="26" t="n">
        <x:f>D8/45000</x:f>
        <x:v>0.06666666666666667</x:v>
      </x:c>
      <x:c r="G8" s="26" t="str">
        <x:v>IT和管理人员</x:v>
      </x:c>
    </x:row>
    <x:row r="9" ht="30" customHeight="1">
      <x:c r="A9" s="26" t="str">
        <x:v>研发费用</x:v>
      </x:c>
      <x:c r="B9" s="26" t="n">
        <x:v>3600</x:v>
      </x:c>
      <x:c r="C9" s="26" t="n">
        <x:v>4800</x:v>
      </x:c>
      <x:c r="D9" s="26" t="n">
        <x:v>5100</x:v>
      </x:c>
      <x:c r="E9" s="26" t="n">
        <x:f>D9-C9</x:f>
        <x:v>300</x:v>
      </x:c>
      <x:c r="F9" s="26" t="n">
        <x:f>D9/45000</x:f>
        <x:v>0.11333333333333333</x:v>
      </x:c>
      <x:c r="G9" s="26" t="str">
        <x:v>项目和外包</x:v>
      </x:c>
    </x:row>
    <x:row r="10" ht="30" customHeight="1">
      <x:c r="A10" s="27" t="str">
        <x:v>财务费用</x:v>
      </x:c>
      <x:c r="B10" s="27" t="n">
        <x:v>420</x:v>
      </x:c>
      <x:c r="C10" s="27" t="n">
        <x:v>380</x:v>
      </x:c>
      <x:c r="D10" s="27" t="n">
        <x:v>650</x:v>
      </x:c>
      <x:c r="E10" s="27" t="n">
        <x:f>D10-C10</x:f>
        <x:v>270</x:v>
      </x:c>
      <x:c r="F10" s="27" t="n">
        <x:f>D10/45000</x:f>
        <x:v>0.014444444444444444</x:v>
      </x:c>
      <x:c r="G10" s="27" t="str">
        <x:v>资金占用和利率</x:v>
      </x:c>
    </x:row>
  </x:sheetData>
  <x:mergeCells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693a1a286123430b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2" hidden="0" customWidth="1"/>
    <x:col min="2" max="2" width="18" hidden="0" customWidth="1"/>
    <x:col min="3" max="3" width="16" hidden="0" customWidth="1"/>
    <x:col min="4" max="4" width="18" hidden="0" customWidth="1"/>
    <x:col min="5" max="5" width="18" hidden="0" customWidth="1"/>
    <x:col min="6" max="6" width="22" hidden="0" customWidth="1"/>
    <x:col min="7" max="7" width="34" hidden="0" customWidth="1"/>
  </x:cols>
  <x:sheetData>
    <x:row r="2" ht="26" customHeight="1">
      <x:c r="A2" s="1" t="str">
        <x:v>应收账款与账龄</x:v>
      </x:c>
      <x:c r="B2" s="43"/>
      <x:c r="C2" s="43"/>
      <x:c r="D2" s="43"/>
      <x:c r="E2" s="43"/>
      <x:c r="F2" s="43"/>
      <x:c r="G2" s="43"/>
    </x:row>
    <x:row r="3" ht="24" customHeight="1">
      <x:c r="A3" s="3" t="str">
        <x:v>公式或结构化模板可按月刷新；分析结论必须区分事实、业务信息、判断与待验证事项。</x:v>
      </x:c>
      <x:c r="B3" s="43"/>
      <x:c r="C3" s="43"/>
      <x:c r="D3" s="43"/>
      <x:c r="E3" s="43"/>
      <x:c r="F3" s="43"/>
      <x:c r="G3" s="43"/>
    </x:row>
    <x:row r="4">
      <x:c r="A4" s="43"/>
      <x:c r="B4" s="43"/>
      <x:c r="C4" s="43"/>
      <x:c r="D4" s="43"/>
      <x:c r="E4" s="43"/>
      <x:c r="F4" s="43"/>
      <x:c r="G4" s="43"/>
    </x:row>
    <x:row r="5">
      <x:c r="A5" s="43"/>
      <x:c r="B5" s="43"/>
      <x:c r="C5" s="43"/>
      <x:c r="D5" s="43"/>
      <x:c r="E5" s="43"/>
      <x:c r="F5" s="43"/>
      <x:c r="G5" s="43"/>
    </x:row>
    <x:row r="6" ht="32" customHeight="1">
      <x:c r="A6" s="21" t="str">
        <x:v>账龄</x:v>
      </x:c>
      <x:c r="B6" s="21" t="str">
        <x:v>金额</x:v>
      </x:c>
      <x:c r="C6" s="21" t="str">
        <x:v>占比</x:v>
      </x:c>
      <x:c r="D6" s="21" t="str">
        <x:v>上年金额</x:v>
      </x:c>
      <x:c r="E6" s="21" t="str">
        <x:v>变化</x:v>
      </x:c>
      <x:c r="F6" s="21" t="str">
        <x:v>风险</x:v>
      </x:c>
      <x:c r="G6" s="21" t="str">
        <x:v>动作</x:v>
      </x:c>
    </x:row>
    <x:row r="7" ht="30" customHeight="1">
      <x:c r="A7" s="25" t="str">
        <x:v>未逾期</x:v>
      </x:c>
      <x:c r="B7" s="25" t="n">
        <x:v>6500</x:v>
      </x:c>
      <x:c r="C7" s="25" t="n">
        <x:f>B7/SUM($B$7:$B$11)</x:f>
        <x:v>0.6372549019607843</x:v>
      </x:c>
      <x:c r="D7" s="25" t="n">
        <x:v>4800</x:v>
      </x:c>
      <x:c r="E7" s="25" t="n">
        <x:f>B7-D7</x:f>
        <x:v>1700</x:v>
      </x:c>
      <x:c r="F7" s="25" t="str">
        <x:v>正常</x:v>
      </x:c>
      <x:c r="G7" s="25" t="str">
        <x:v>按合同催收</x:v>
      </x:c>
    </x:row>
    <x:row r="8" ht="30" customHeight="1">
      <x:c r="A8" s="26" t="str">
        <x:v>逾期1-30天</x:v>
      </x:c>
      <x:c r="B8" s="26" t="n">
        <x:v>1800</x:v>
      </x:c>
      <x:c r="C8" s="26" t="n">
        <x:f>B8/SUM($B$7:$B$11)</x:f>
        <x:v>0.17647058823529413</x:v>
      </x:c>
      <x:c r="D8" s="26" t="n">
        <x:v>900</x:v>
      </x:c>
      <x:c r="E8" s="26" t="n">
        <x:f>B8-D8</x:f>
        <x:v>900</x:v>
      </x:c>
      <x:c r="F8" s="26" t="str">
        <x:v>关注</x:v>
      </x:c>
      <x:c r="G8" s="26" t="str">
        <x:v>销售确认付款日</x:v>
      </x:c>
    </x:row>
    <x:row r="9" ht="30" customHeight="1">
      <x:c r="A9" s="26" t="str">
        <x:v>逾期31-90天</x:v>
      </x:c>
      <x:c r="B9" s="26" t="n">
        <x:v>1000</x:v>
      </x:c>
      <x:c r="C9" s="26" t="n">
        <x:f>B9/SUM($B$7:$B$11)</x:f>
        <x:v>0.09803921568627451</x:v>
      </x:c>
      <x:c r="D9" s="26" t="n">
        <x:v>500</x:v>
      </x:c>
      <x:c r="E9" s="26" t="n">
        <x:f>B9-D9</x:f>
        <x:v>500</x:v>
      </x:c>
      <x:c r="F9" s="26" t="str">
        <x:v>较高</x:v>
      </x:c>
      <x:c r="G9" s="26" t="str">
        <x:v>暂停新增信用</x:v>
      </x:c>
    </x:row>
    <x:row r="10" ht="30" customHeight="1">
      <x:c r="A10" s="26" t="str">
        <x:v>逾期91-180天</x:v>
      </x:c>
      <x:c r="B10" s="26" t="n">
        <x:v>600</x:v>
      </x:c>
      <x:c r="C10" s="26" t="n">
        <x:f>B10/SUM($B$7:$B$11)</x:f>
        <x:v>0.058823529411764705</x:v>
      </x:c>
      <x:c r="D10" s="26" t="n">
        <x:v>200</x:v>
      </x:c>
      <x:c r="E10" s="26" t="n">
        <x:f>B10-D10</x:f>
        <x:v>400</x:v>
      </x:c>
      <x:c r="F10" s="26" t="str">
        <x:v>高</x:v>
      </x:c>
      <x:c r="G10" s="26" t="str">
        <x:v>法务催收</x:v>
      </x:c>
    </x:row>
    <x:row r="11" ht="30" customHeight="1">
      <x:c r="A11" s="27" t="str">
        <x:v>逾期180天以上</x:v>
      </x:c>
      <x:c r="B11" s="27" t="n">
        <x:v>300</x:v>
      </x:c>
      <x:c r="C11" s="27" t="n">
        <x:f>B11/SUM($B$7:$B$11)</x:f>
        <x:v>0.029411764705882353</x:v>
      </x:c>
      <x:c r="D11" s="27" t="n">
        <x:v>100</x:v>
      </x:c>
      <x:c r="E11" s="27" t="n">
        <x:f>B11-D11</x:f>
        <x:v>200</x:v>
      </x:c>
      <x:c r="F11" s="27" t="str">
        <x:v>高</x:v>
      </x:c>
      <x:c r="G11" s="27" t="str">
        <x:v>单项减值评估</x:v>
      </x:c>
    </x:row>
  </x:sheetData>
  <x:mergeCells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a50d7408038345c7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0" hidden="0" customWidth="1"/>
    <x:col min="8" max="8" width="36" hidden="0" customWidth="1"/>
  </x:cols>
  <x:sheetData>
    <x:row r="2" ht="26" customHeight="1">
      <x:c r="A2" s="1" t="str">
        <x:v>存货与库龄</x:v>
      </x:c>
      <x:c r="B2" s="43"/>
      <x:c r="C2" s="43"/>
      <x:c r="D2" s="43"/>
      <x:c r="E2" s="43"/>
      <x:c r="F2" s="43"/>
      <x:c r="G2" s="43"/>
      <x:c r="H2" s="43"/>
    </x:row>
    <x:row r="3" ht="24" customHeight="1">
      <x:c r="A3" s="3" t="str">
        <x:v>公式或结构化模板可按月刷新；分析结论必须区分事实、业务信息、判断与待验证事项。</x:v>
      </x:c>
      <x:c r="B3" s="43"/>
      <x:c r="C3" s="43"/>
      <x:c r="D3" s="43"/>
      <x:c r="E3" s="43"/>
      <x:c r="F3" s="43"/>
      <x:c r="G3" s="43"/>
      <x:c r="H3" s="43"/>
    </x:row>
    <x:row r="4">
      <x:c r="A4" s="43"/>
      <x:c r="B4" s="43"/>
      <x:c r="C4" s="43"/>
      <x:c r="D4" s="43"/>
      <x:c r="E4" s="43"/>
      <x:c r="F4" s="43"/>
      <x:c r="G4" s="43"/>
      <x:c r="H4" s="43"/>
    </x:row>
    <x:row r="5">
      <x:c r="A5" s="43"/>
      <x:c r="B5" s="43"/>
      <x:c r="C5" s="43"/>
      <x:c r="D5" s="43"/>
      <x:c r="E5" s="43"/>
      <x:c r="F5" s="43"/>
      <x:c r="G5" s="43"/>
      <x:c r="H5" s="43"/>
    </x:row>
    <x:row r="6" ht="32" customHeight="1">
      <x:c r="A6" s="21" t="str">
        <x:v>类别</x:v>
      </x:c>
      <x:c r="B6" s="21" t="str">
        <x:v>金额</x:v>
      </x:c>
      <x:c r="C6" s="21" t="str">
        <x:v>0-90天</x:v>
      </x:c>
      <x:c r="D6" s="21" t="str">
        <x:v>91-180天</x:v>
      </x:c>
      <x:c r="E6" s="21" t="str">
        <x:v>181-365天</x:v>
      </x:c>
      <x:c r="F6" s="21" t="str">
        <x:v>1年以上</x:v>
      </x:c>
      <x:c r="G6" s="21" t="str">
        <x:v>风险</x:v>
      </x:c>
      <x:c r="H6" s="21" t="str">
        <x:v>动作</x:v>
      </x:c>
    </x:row>
    <x:row r="7" ht="30" customHeight="1">
      <x:c r="A7" s="25" t="str">
        <x:v>原材料</x:v>
      </x:c>
      <x:c r="B7" s="25" t="n">
        <x:v>4200</x:v>
      </x:c>
      <x:c r="C7" s="25" t="n">
        <x:v>2500</x:v>
      </x:c>
      <x:c r="D7" s="25" t="n">
        <x:v>900</x:v>
      </x:c>
      <x:c r="E7" s="25" t="n">
        <x:v>500</x:v>
      </x:c>
      <x:c r="F7" s="25" t="n">
        <x:v>300</x:v>
      </x:c>
      <x:c r="G7" s="25" t="str">
        <x:v>供应链备货与呆滞并存</x:v>
      </x:c>
      <x:c r="H7" s="25" t="str">
        <x:v>按BOM需求清理</x:v>
      </x:c>
    </x:row>
    <x:row r="8" ht="30" customHeight="1">
      <x:c r="A8" s="26" t="str">
        <x:v>在产品</x:v>
      </x:c>
      <x:c r="B8" s="26" t="n">
        <x:v>1500</x:v>
      </x:c>
      <x:c r="C8" s="26" t="n">
        <x:v>1000</x:v>
      </x:c>
      <x:c r="D8" s="26" t="n">
        <x:v>350</x:v>
      </x:c>
      <x:c r="E8" s="26" t="n">
        <x:v>120</x:v>
      </x:c>
      <x:c r="F8" s="26" t="n">
        <x:v>30</x:v>
      </x:c>
      <x:c r="G8" s="26" t="str">
        <x:v>工单停滞</x:v>
      </x:c>
      <x:c r="H8" s="26" t="str">
        <x:v>关闭异常工单</x:v>
      </x:c>
    </x:row>
    <x:row r="9" ht="30" customHeight="1">
      <x:c r="A9" s="26" t="str">
        <x:v>产成品</x:v>
      </x:c>
      <x:c r="B9" s="26" t="n">
        <x:v>4300</x:v>
      </x:c>
      <x:c r="C9" s="26" t="n">
        <x:v>2100</x:v>
      </x:c>
      <x:c r="D9" s="26" t="n">
        <x:v>1100</x:v>
      </x:c>
      <x:c r="E9" s="26" t="n">
        <x:v>700</x:v>
      </x:c>
      <x:c r="F9" s="26" t="n">
        <x:v>400</x:v>
      </x:c>
      <x:c r="G9" s="26" t="str">
        <x:v>渠道去库存</x:v>
      </x:c>
      <x:c r="H9" s="26" t="str">
        <x:v>削减排产</x:v>
      </x:c>
    </x:row>
    <x:row r="10" ht="30" customHeight="1">
      <x:c r="A10" s="26" t="str">
        <x:v>耗材</x:v>
      </x:c>
      <x:c r="B10" s="26" t="n">
        <x:v>1200</x:v>
      </x:c>
      <x:c r="C10" s="26" t="n">
        <x:v>750</x:v>
      </x:c>
      <x:c r="D10" s="26" t="n">
        <x:v>250</x:v>
      </x:c>
      <x:c r="E10" s="26" t="n">
        <x:v>150</x:v>
      </x:c>
      <x:c r="F10" s="26" t="n">
        <x:v>50</x:v>
      </x:c>
      <x:c r="G10" s="26" t="str">
        <x:v>树脂保质期</x:v>
      </x:c>
      <x:c r="H10" s="26" t="str">
        <x:v>促销与减值测试</x:v>
      </x:c>
    </x:row>
    <x:row r="11" ht="30" customHeight="1">
      <x:c r="A11" s="27" t="str">
        <x:v>发出商品</x:v>
      </x:c>
      <x:c r="B11" s="27" t="n">
        <x:v>600</x:v>
      </x:c>
      <x:c r="C11" s="27" t="n">
        <x:v>480</x:v>
      </x:c>
      <x:c r="D11" s="27" t="n">
        <x:v>100</x:v>
      </x:c>
      <x:c r="E11" s="27" t="n">
        <x:v>20</x:v>
      </x:c>
      <x:c r="F11" s="27" t="n">
        <x:v>0</x:v>
      </x:c>
      <x:c r="G11" s="27" t="str">
        <x:v>签收与收入截止</x:v>
      </x:c>
      <x:c r="H11" s="27" t="str">
        <x:v>逐单核实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b84a74a62f48488d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6" hidden="0" customWidth="1"/>
    <x:col min="4" max="4" width="20" hidden="0" customWidth="1"/>
    <x:col min="5" max="5" width="18" hidden="0" customWidth="1"/>
    <x:col min="6" max="6" width="16" hidden="0" customWidth="1"/>
    <x:col min="7" max="7" width="40" hidden="0" customWidth="1"/>
  </x:cols>
  <x:sheetData>
    <x:row r="2" ht="26" customHeight="1">
      <x:c r="A2" s="1" t="str">
        <x:v>应付账款与供应商</x:v>
      </x:c>
      <x:c r="B2" s="43"/>
      <x:c r="C2" s="43"/>
      <x:c r="D2" s="43"/>
      <x:c r="E2" s="43"/>
      <x:c r="F2" s="43"/>
      <x:c r="G2" s="43"/>
    </x:row>
    <x:row r="3" ht="24" customHeight="1">
      <x:c r="A3" s="3" t="str">
        <x:v>公式或结构化模板可按月刷新；分析结论必须区分事实、业务信息、判断与待验证事项。</x:v>
      </x:c>
      <x:c r="B3" s="43"/>
      <x:c r="C3" s="43"/>
      <x:c r="D3" s="43"/>
      <x:c r="E3" s="43"/>
      <x:c r="F3" s="43"/>
      <x:c r="G3" s="43"/>
    </x:row>
    <x:row r="4">
      <x:c r="A4" s="43"/>
      <x:c r="B4" s="43"/>
      <x:c r="C4" s="43"/>
      <x:c r="D4" s="43"/>
      <x:c r="E4" s="43"/>
      <x:c r="F4" s="43"/>
      <x:c r="G4" s="43"/>
    </x:row>
    <x:row r="5">
      <x:c r="A5" s="43"/>
      <x:c r="B5" s="43"/>
      <x:c r="C5" s="43"/>
      <x:c r="D5" s="43"/>
      <x:c r="E5" s="43"/>
      <x:c r="F5" s="43"/>
      <x:c r="G5" s="43"/>
    </x:row>
    <x:row r="6" ht="32" customHeight="1">
      <x:c r="A6" s="21" t="str">
        <x:v>供应商组</x:v>
      </x:c>
      <x:c r="B6" s="21" t="str">
        <x:v>金额</x:v>
      </x:c>
      <x:c r="C6" s="21" t="str">
        <x:v>账期</x:v>
      </x:c>
      <x:c r="D6" s="21" t="str">
        <x:v>实际付款天数</x:v>
      </x:c>
      <x:c r="E6" s="21" t="str">
        <x:v>提前/延后</x:v>
      </x:c>
      <x:c r="F6" s="21" t="str">
        <x:v>集中度</x:v>
      </x:c>
      <x:c r="G6" s="21" t="str">
        <x:v>行动</x:v>
      </x:c>
    </x:row>
    <x:row r="7" ht="30" customHeight="1">
      <x:c r="A7" s="25" t="str">
        <x:v>关键电子料</x:v>
      </x:c>
      <x:c r="B7" s="25" t="n">
        <x:v>2500</x:v>
      </x:c>
      <x:c r="C7" s="25" t="n">
        <x:v>45</x:v>
      </x:c>
      <x:c r="D7" s="25" t="n">
        <x:v>38</x:v>
      </x:c>
      <x:c r="E7" s="25" t="n">
        <x:v>-7</x:v>
      </x:c>
      <x:c r="F7" s="25" t="n">
        <x:v>0.4</x:v>
      </x:c>
      <x:c r="G7" s="25" t="str">
        <x:v>争取恢复账期</x:v>
      </x:c>
    </x:row>
    <x:row r="8" ht="30" customHeight="1">
      <x:c r="A8" s="26" t="str">
        <x:v>结构件</x:v>
      </x:c>
      <x:c r="B8" s="26" t="n">
        <x:v>1400</x:v>
      </x:c>
      <x:c r="C8" s="26" t="n">
        <x:v>60</x:v>
      </x:c>
      <x:c r="D8" s="26" t="n">
        <x:v>58</x:v>
      </x:c>
      <x:c r="E8" s="26" t="n">
        <x:v>-2</x:v>
      </x:c>
      <x:c r="F8" s="26" t="n">
        <x:v>0.23</x:v>
      </x:c>
      <x:c r="G8" s="26" t="str">
        <x:v>保持</x:v>
      </x:c>
    </x:row>
    <x:row r="9" ht="30" customHeight="1">
      <x:c r="A9" s="26" t="str">
        <x:v>树脂原料</x:v>
      </x:c>
      <x:c r="B9" s="26" t="n">
        <x:v>1100</x:v>
      </x:c>
      <x:c r="C9" s="26" t="n">
        <x:v>30</x:v>
      </x:c>
      <x:c r="D9" s="26" t="n">
        <x:v>25</x:v>
      </x:c>
      <x:c r="E9" s="26" t="n">
        <x:v>-5</x:v>
      </x:c>
      <x:c r="F9" s="26" t="n">
        <x:v>0.18</x:v>
      </x:c>
      <x:c r="G9" s="26" t="str">
        <x:v>集中采购谈判</x:v>
      </x:c>
    </x:row>
    <x:row r="10" ht="30" customHeight="1">
      <x:c r="A10" s="26" t="str">
        <x:v>外协加工</x:v>
      </x:c>
      <x:c r="B10" s="26" t="n">
        <x:v>800</x:v>
      </x:c>
      <x:c r="C10" s="26" t="n">
        <x:v>45</x:v>
      </x:c>
      <x:c r="D10" s="26" t="n">
        <x:v>49</x:v>
      </x:c>
      <x:c r="E10" s="26" t="n">
        <x:v>4</x:v>
      </x:c>
      <x:c r="F10" s="26" t="n">
        <x:v>0.13</x:v>
      </x:c>
      <x:c r="G10" s="26" t="str">
        <x:v>核对质量扣款</x:v>
      </x:c>
    </x:row>
    <x:row r="11" ht="30" customHeight="1">
      <x:c r="A11" s="27" t="str">
        <x:v>其他</x:v>
      </x:c>
      <x:c r="B11" s="27" t="n">
        <x:v>400</x:v>
      </x:c>
      <x:c r="C11" s="27" t="n">
        <x:v>30</x:v>
      </x:c>
      <x:c r="D11" s="27" t="n">
        <x:v>30</x:v>
      </x:c>
      <x:c r="E11" s="27" t="n">
        <x:v>0</x:v>
      </x:c>
      <x:c r="F11" s="27" t="n">
        <x:v>0.06</x:v>
      </x:c>
      <x:c r="G11" s="27" t="str">
        <x:v>保持</x:v>
      </x:c>
    </x:row>
  </x:sheetData>
  <x:mergeCells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f5ba3dbae419428a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2" hidden="0" customWidth="1"/>
    <x:col min="7" max="7" width="42" hidden="0" customWidth="1"/>
  </x:cols>
  <x:sheetData>
    <x:row r="2" ht="26" customHeight="1">
      <x:c r="A2" s="1" t="str">
        <x:v>营运资金与现金转换周期</x:v>
      </x:c>
      <x:c r="B2" s="43"/>
      <x:c r="C2" s="43"/>
      <x:c r="D2" s="43"/>
      <x:c r="E2" s="43"/>
      <x:c r="F2" s="43"/>
      <x:c r="G2" s="43"/>
    </x:row>
    <x:row r="3" ht="24" customHeight="1">
      <x:c r="A3" s="3" t="str">
        <x:v>公式或结构化模板可按月刷新；分析结论必须区分事实、业务信息、判断与待验证事项。</x:v>
      </x:c>
      <x:c r="B3" s="43"/>
      <x:c r="C3" s="43"/>
      <x:c r="D3" s="43"/>
      <x:c r="E3" s="43"/>
      <x:c r="F3" s="43"/>
      <x:c r="G3" s="43"/>
    </x:row>
    <x:row r="4">
      <x:c r="A4" s="43"/>
      <x:c r="B4" s="43"/>
      <x:c r="C4" s="43"/>
      <x:c r="D4" s="43"/>
      <x:c r="E4" s="43"/>
      <x:c r="F4" s="43"/>
      <x:c r="G4" s="43"/>
    </x:row>
    <x:row r="5">
      <x:c r="A5" s="43"/>
      <x:c r="B5" s="43"/>
      <x:c r="C5" s="43"/>
      <x:c r="D5" s="43"/>
      <x:c r="E5" s="43"/>
      <x:c r="F5" s="43"/>
      <x:c r="G5" s="43"/>
    </x:row>
    <x:row r="6" ht="32" customHeight="1">
      <x:c r="A6" s="21" t="str">
        <x:v>指标</x:v>
      </x:c>
      <x:c r="B6" s="21" t="str">
        <x:v>2025</x:v>
      </x:c>
      <x:c r="C6" s="21" t="str">
        <x:v>2026预算</x:v>
      </x:c>
      <x:c r="D6" s="21" t="str">
        <x:v>2026预测</x:v>
      </x:c>
      <x:c r="E6" s="21" t="str">
        <x:v>变化</x:v>
      </x:c>
      <x:c r="F6" s="21" t="str">
        <x:v>业务原因</x:v>
      </x:c>
      <x:c r="G6" s="21" t="str">
        <x:v>改善措施</x:v>
      </x:c>
    </x:row>
    <x:row r="7" ht="30" customHeight="1">
      <x:c r="A7" s="25" t="str">
        <x:v>DSO</x:v>
      </x:c>
      <x:c r="B7" s="25" t="n">
        <x:v>65</x:v>
      </x:c>
      <x:c r="C7" s="25" t="n">
        <x:v>57</x:v>
      </x:c>
      <x:c r="D7" s="25" t="n">
        <x:v>83</x:v>
      </x:c>
      <x:c r="E7" s="25" t="n">
        <x:v>18</x:v>
      </x:c>
      <x:c r="F7" s="25" t="str">
        <x:v>经销商账期和逾期</x:v>
      </x:c>
      <x:c r="G7" s="25" t="str">
        <x:v>客户分级与回款承诺</x:v>
      </x:c>
    </x:row>
    <x:row r="8" ht="30" customHeight="1">
      <x:c r="A8" s="26" t="str">
        <x:v>DIO</x:v>
      </x:c>
      <x:c r="B8" s="26" t="n">
        <x:v>82</x:v>
      </x:c>
      <x:c r="C8" s="26" t="n">
        <x:v>74</x:v>
      </x:c>
      <x:c r="D8" s="26" t="n">
        <x:v>121</x:v>
      </x:c>
      <x:c r="E8" s="26" t="n">
        <x:v>39</x:v>
      </x:c>
      <x:c r="F8" s="26" t="str">
        <x:v>战略备货、销量不及预期</x:v>
      </x:c>
      <x:c r="G8" s="26" t="str">
        <x:v>S&amp;OP与慢动库存</x:v>
      </x:c>
    </x:row>
    <x:row r="9" ht="30" customHeight="1">
      <x:c r="A9" s="26" t="str">
        <x:v>DPO</x:v>
      </x:c>
      <x:c r="B9" s="26" t="n">
        <x:v>55</x:v>
      </x:c>
      <x:c r="C9" s="26" t="n">
        <x:v>58</x:v>
      </x:c>
      <x:c r="D9" s="26" t="n">
        <x:v>63</x:v>
      </x:c>
      <x:c r="E9" s="26" t="n">
        <x:v>8</x:v>
      </x:c>
      <x:c r="F9" s="26" t="str">
        <x:v>采购规模和部分延付</x:v>
      </x:c>
      <x:c r="G9" s="26" t="str">
        <x:v>不以伤害供应链换现金</x:v>
      </x:c>
    </x:row>
    <x:row r="10" ht="30" customHeight="1">
      <x:c r="A10" s="27" t="str">
        <x:v>CCC</x:v>
      </x:c>
      <x:c r="B10" s="27" t="n">
        <x:f>B7+B8-B9</x:f>
        <x:v>92</x:v>
      </x:c>
      <x:c r="C10" s="27" t="n">
        <x:f>C7+C8-C9</x:f>
        <x:v>73</x:v>
      </x:c>
      <x:c r="D10" s="27" t="n">
        <x:f>D7+D8-D9</x:f>
        <x:v>141</x:v>
      </x:c>
      <x:c r="E10" s="27" t="n">
        <x:f>D10-B10</x:f>
        <x:v>49</x:v>
      </x:c>
      <x:c r="F10" s="27" t="str">
        <x:v>应收和库存共同恶化</x:v>
      </x:c>
      <x:c r="G10" s="27" t="str">
        <x:v>按客户/SKU拆解</x:v>
      </x:c>
    </x:row>
  </x:sheetData>
  <x:mergeCells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071d93dfe7444983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20" hidden="0" customWidth="1"/>
    <x:col min="4" max="4" width="42" hidden="0" customWidth="1"/>
    <x:col min="5" max="5" width="20" hidden="0" customWidth="1"/>
    <x:col min="6" max="6" width="36" hidden="0" customWidth="1"/>
  </x:cols>
  <x:sheetData>
    <x:row r="2" ht="26" customHeight="1">
      <x:c r="A2" s="1" t="str">
        <x:v>净利润到经营现金流</x:v>
      </x:c>
      <x:c r="B2" s="43"/>
      <x:c r="C2" s="43"/>
      <x:c r="D2" s="43"/>
      <x:c r="E2" s="43"/>
      <x:c r="F2" s="43"/>
    </x:row>
    <x:row r="3" ht="24" customHeight="1">
      <x:c r="A3" s="3" t="str">
        <x:v>公式或结构化模板可按月刷新；分析结论必须区分事实、业务信息、判断与待验证事项。</x:v>
      </x:c>
      <x:c r="B3" s="43"/>
      <x:c r="C3" s="43"/>
      <x:c r="D3" s="43"/>
      <x:c r="E3" s="43"/>
      <x:c r="F3" s="43"/>
    </x:row>
    <x:row r="4">
      <x:c r="A4" s="43"/>
      <x:c r="B4" s="43"/>
      <x:c r="C4" s="43"/>
      <x:c r="D4" s="43"/>
      <x:c r="E4" s="43"/>
      <x:c r="F4" s="43"/>
    </x:row>
    <x:row r="5">
      <x:c r="A5" s="43"/>
      <x:c r="B5" s="43"/>
      <x:c r="C5" s="43"/>
      <x:c r="D5" s="43"/>
      <x:c r="E5" s="43"/>
      <x:c r="F5" s="43"/>
    </x:row>
    <x:row r="6" ht="32" customHeight="1">
      <x:c r="A6" s="21" t="str">
        <x:v>项目</x:v>
      </x:c>
      <x:c r="B6" s="21" t="str">
        <x:v>金额</x:v>
      </x:c>
      <x:c r="C6" s="21" t="str">
        <x:v>性质</x:v>
      </x:c>
      <x:c r="D6" s="21" t="str">
        <x:v>业务解释</x:v>
      </x:c>
      <x:c r="E6" s="21" t="str">
        <x:v>是否持续</x:v>
      </x:c>
      <x:c r="F6" s="21" t="str">
        <x:v>行动</x:v>
      </x:c>
    </x:row>
    <x:row r="7" ht="30" customHeight="1">
      <x:c r="A7" s="25" t="str">
        <x:v>净利润</x:v>
      </x:c>
      <x:c r="B7" s="25" t="n">
        <x:v>1500</x:v>
      </x:c>
      <x:c r="C7" s="25" t="str">
        <x:v>起点</x:v>
      </x:c>
      <x:c r="D7" s="25" t="str">
        <x:v>会计利润</x:v>
      </x:c>
      <x:c r="E7" s="25" t="str">
        <x:v>—</x:v>
      </x:c>
      <x:c r="F7" s="25" t="str">
        <x:v>—</x:v>
      </x:c>
    </x:row>
    <x:row r="8" ht="30" customHeight="1">
      <x:c r="A8" s="26" t="str">
        <x:v>折旧摊销</x:v>
      </x:c>
      <x:c r="B8" s="26" t="n">
        <x:v>1300</x:v>
      </x:c>
      <x:c r="C8" s="26" t="str">
        <x:v>非现金加回</x:v>
      </x:c>
      <x:c r="D8" s="26" t="str">
        <x:v>扩产后折旧增加</x:v>
      </x:c>
      <x:c r="E8" s="26" t="str">
        <x:v>持续</x:v>
      </x:c>
      <x:c r="F8" s="26" t="str">
        <x:v>评估产能</x:v>
      </x:c>
    </x:row>
    <x:row r="9" ht="30" customHeight="1">
      <x:c r="A9" s="26" t="str">
        <x:v>应收增加</x:v>
      </x:c>
      <x:c r="B9" s="26" t="n">
        <x:v>-3700</x:v>
      </x:c>
      <x:c r="C9" s="26" t="str">
        <x:v>营运资金</x:v>
      </x:c>
      <x:c r="D9" s="26" t="str">
        <x:v>账期延长及逾期</x:v>
      </x:c>
      <x:c r="E9" s="26" t="str">
        <x:v>可能持续</x:v>
      </x:c>
      <x:c r="F9" s="26" t="str">
        <x:v>催收</x:v>
      </x:c>
    </x:row>
    <x:row r="10" ht="30" customHeight="1">
      <x:c r="A10" s="26" t="str">
        <x:v>存货增加</x:v>
      </x:c>
      <x:c r="B10" s="26" t="n">
        <x:v>-4600</x:v>
      </x:c>
      <x:c r="C10" s="26" t="str">
        <x:v>营运资金</x:v>
      </x:c>
      <x:c r="D10" s="26" t="str">
        <x:v>备货和滞销</x:v>
      </x:c>
      <x:c r="E10" s="26" t="str">
        <x:v>部分持续</x:v>
      </x:c>
      <x:c r="F10" s="26" t="str">
        <x:v>削减采购</x:v>
      </x:c>
    </x:row>
    <x:row r="11" ht="30" customHeight="1">
      <x:c r="A11" s="26" t="str">
        <x:v>应付增加</x:v>
      </x:c>
      <x:c r="B11" s="26" t="n">
        <x:v>1300</x:v>
      </x:c>
      <x:c r="C11" s="26" t="str">
        <x:v>营运资金</x:v>
      </x:c>
      <x:c r="D11" s="26" t="str">
        <x:v>采购增长</x:v>
      </x:c>
      <x:c r="E11" s="26" t="str">
        <x:v>短期</x:v>
      </x:c>
      <x:c r="F11" s="26" t="str">
        <x:v>管理付款</x:v>
      </x:c>
    </x:row>
    <x:row r="12" ht="30" customHeight="1">
      <x:c r="A12" s="26" t="str">
        <x:v>其他经营项目</x:v>
      </x:c>
      <x:c r="B12" s="26" t="n">
        <x:v>4700</x:v>
      </x:c>
      <x:c r="C12" s="26" t="str">
        <x:v>税费及其他</x:v>
      </x:c>
      <x:c r="D12" s="26" t="str">
        <x:v>含一次性回款</x:v>
      </x:c>
      <x:c r="E12" s="26" t="str">
        <x:v>一次性</x:v>
      </x:c>
      <x:c r="F12" s="26" t="str">
        <x:v>拆明细</x:v>
      </x:c>
    </x:row>
    <x:row r="13" ht="30" customHeight="1">
      <x:c r="A13" s="27" t="str">
        <x:v>经营现金流</x:v>
      </x:c>
      <x:c r="B13" s="27" t="n">
        <x:f>SUM(B7:B12)</x:f>
        <x:v>500</x:v>
      </x:c>
      <x:c r="C13" s="27" t="str">
        <x:v>结果</x:v>
      </x:c>
      <x:c r="D13" s="27" t="str">
        <x:v>应为500万元</x:v>
      </x:c>
      <x:c r="E13" s="27" t="str">
        <x:v>—</x:v>
      </x:c>
      <x:c r="F13" s="27" t="str">
        <x:v>勾稽</x:v>
      </x:c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d8ff6aa49d7141cf"/>
  </x:tableParts>
</x:worksheet>
</file>

<file path=xl/worksheets/sheet21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36" hidden="0" customWidth="1"/>
    <x:col min="6" max="6" width="22" hidden="0" customWidth="1"/>
    <x:col min="7" max="7" width="18" hidden="0" customWidth="1"/>
  </x:cols>
  <x:sheetData>
    <x:row r="2" ht="26" customHeight="1">
      <x:c r="A2" s="1" t="str">
        <x:v>经营KPI与财务结果映射</x:v>
      </x:c>
      <x:c r="B2" s="43"/>
      <x:c r="C2" s="43"/>
      <x:c r="D2" s="43"/>
      <x:c r="E2" s="43"/>
      <x:c r="F2" s="43"/>
      <x:c r="G2" s="43"/>
    </x:row>
    <x:row r="3" ht="24" customHeight="1">
      <x:c r="A3" s="3" t="str">
        <x:v>公式或结构化模板可按月刷新；分析结论必须区分事实、业务信息、判断与待验证事项。</x:v>
      </x:c>
      <x:c r="B3" s="43"/>
      <x:c r="C3" s="43"/>
      <x:c r="D3" s="43"/>
      <x:c r="E3" s="43"/>
      <x:c r="F3" s="43"/>
      <x:c r="G3" s="43"/>
    </x:row>
    <x:row r="4">
      <x:c r="A4" s="43"/>
      <x:c r="B4" s="43"/>
      <x:c r="C4" s="43"/>
      <x:c r="D4" s="43"/>
      <x:c r="E4" s="43"/>
      <x:c r="F4" s="43"/>
      <x:c r="G4" s="43"/>
    </x:row>
    <x:row r="5">
      <x:c r="A5" s="43"/>
      <x:c r="B5" s="43"/>
      <x:c r="C5" s="43"/>
      <x:c r="D5" s="43"/>
      <x:c r="E5" s="43"/>
      <x:c r="F5" s="43"/>
      <x:c r="G5" s="43"/>
    </x:row>
    <x:row r="6" ht="32" customHeight="1">
      <x:c r="A6" s="21" t="str">
        <x:v>KPI</x:v>
      </x:c>
      <x:c r="B6" s="21" t="str">
        <x:v>2025</x:v>
      </x:c>
      <x:c r="C6" s="21" t="str">
        <x:v>2026预算</x:v>
      </x:c>
      <x:c r="D6" s="21" t="str">
        <x:v>2026预测</x:v>
      </x:c>
      <x:c r="E6" s="21" t="str">
        <x:v>财务结果</x:v>
      </x:c>
      <x:c r="F6" s="21" t="str">
        <x:v>责任部门</x:v>
      </x:c>
      <x:c r="G6" s="21" t="str">
        <x:v>预警</x:v>
      </x:c>
    </x:row>
    <x:row r="7" ht="30" customHeight="1">
      <x:c r="A7" s="25" t="str">
        <x:v>订单额</x:v>
      </x:c>
      <x:c r="B7" s="25" t="n">
        <x:v>39000</x:v>
      </x:c>
      <x:c r="C7" s="25" t="n">
        <x:v>51000</x:v>
      </x:c>
      <x:c r="D7" s="25" t="n">
        <x:v>47000</x:v>
      </x:c>
      <x:c r="E7" s="25" t="str">
        <x:v>未来收入</x:v>
      </x:c>
      <x:c r="F7" s="25" t="str">
        <x:v>销售</x:v>
      </x:c>
      <x:c r="G7" s="25" t="str">
        <x:v>低于预算</x:v>
      </x:c>
    </x:row>
    <x:row r="8" ht="30" customHeight="1">
      <x:c r="A8" s="26" t="str">
        <x:v>ASP指数</x:v>
      </x:c>
      <x:c r="B8" s="26" t="n">
        <x:v>100</x:v>
      </x:c>
      <x:c r="C8" s="26" t="n">
        <x:v>101</x:v>
      </x:c>
      <x:c r="D8" s="26" t="n">
        <x:v>96</x:v>
      </x:c>
      <x:c r="E8" s="26" t="str">
        <x:v>价格影响</x:v>
      </x:c>
      <x:c r="F8" s="26" t="str">
        <x:v>销售</x:v>
      </x:c>
      <x:c r="G8" s="26" t="str">
        <x:v>降价</x:v>
      </x:c>
    </x:row>
    <x:row r="9" ht="30" customHeight="1">
      <x:c r="A9" s="26" t="str">
        <x:v>产能利用率</x:v>
      </x:c>
      <x:c r="B9" s="26" t="n">
        <x:v>0.826</x:v>
      </x:c>
      <x:c r="C9" s="26" t="n">
        <x:v>0.881</x:v>
      </x:c>
      <x:c r="D9" s="26" t="n">
        <x:v>0.728</x:v>
      </x:c>
      <x:c r="E9" s="26" t="str">
        <x:v>单位固定成本</x:v>
      </x:c>
      <x:c r="F9" s="26" t="str">
        <x:v>生产</x:v>
      </x:c>
      <x:c r="G9" s="26" t="str">
        <x:v>红色</x:v>
      </x:c>
    </x:row>
    <x:row r="10" ht="30" customHeight="1">
      <x:c r="A10" s="26" t="str">
        <x:v>综合良率</x:v>
      </x:c>
      <x:c r="B10" s="26" t="n">
        <x:v>0.947</x:v>
      </x:c>
      <x:c r="C10" s="26" t="n">
        <x:v>0.955</x:v>
      </x:c>
      <x:c r="D10" s="26" t="n">
        <x:v>0.918</x:v>
      </x:c>
      <x:c r="E10" s="26" t="str">
        <x:v>材料和报废</x:v>
      </x:c>
      <x:c r="F10" s="26" t="str">
        <x:v>质量/生产</x:v>
      </x:c>
      <x:c r="G10" s="26" t="str">
        <x:v>红色</x:v>
      </x:c>
    </x:row>
    <x:row r="11" ht="30" customHeight="1">
      <x:c r="A11" s="26" t="str">
        <x:v>耗材复购率</x:v>
      </x:c>
      <x:c r="B11" s="26" t="n">
        <x:v>0.58</x:v>
      </x:c>
      <x:c r="C11" s="26" t="n">
        <x:v>0.64</x:v>
      </x:c>
      <x:c r="D11" s="26" t="n">
        <x:v>0.68</x:v>
      </x:c>
      <x:c r="E11" s="26" t="str">
        <x:v>耗材收入</x:v>
      </x:c>
      <x:c r="F11" s="26" t="str">
        <x:v>客户成功</x:v>
      </x:c>
      <x:c r="G11" s="26" t="str">
        <x:v>良好</x:v>
      </x:c>
    </x:row>
    <x:row r="12" ht="30" customHeight="1">
      <x:c r="A12" s="26" t="str">
        <x:v>退货率</x:v>
      </x:c>
      <x:c r="B12" s="26" t="n">
        <x:v>0.021</x:v>
      </x:c>
      <x:c r="C12" s="26" t="n">
        <x:v>0.018</x:v>
      </x:c>
      <x:c r="D12" s="26" t="n">
        <x:v>0.036</x:v>
      </x:c>
      <x:c r="E12" s="26" t="str">
        <x:v>收入和质保</x:v>
      </x:c>
      <x:c r="F12" s="26" t="str">
        <x:v>质量/销售</x:v>
      </x:c>
      <x:c r="G12" s="26" t="str">
        <x:v>关注</x:v>
      </x:c>
    </x:row>
    <x:row r="13" ht="30" customHeight="1">
      <x:c r="A13" s="27" t="str">
        <x:v>准时交付率</x:v>
      </x:c>
      <x:c r="B13" s="27" t="n">
        <x:v>0.91</x:v>
      </x:c>
      <x:c r="C13" s="27" t="n">
        <x:v>0.95</x:v>
      </x:c>
      <x:c r="D13" s="27" t="n">
        <x:v>0.87</x:v>
      </x:c>
      <x:c r="E13" s="27" t="str">
        <x:v>收入与客户</x:v>
      </x:c>
      <x:c r="F13" s="27" t="str">
        <x:v>供应链</x:v>
      </x:c>
      <x:c r="G13" s="27" t="str">
        <x:v>关注</x:v>
      </x:c>
    </x:row>
  </x:sheetData>
  <x:mergeCells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55c876e80f13435d"/>
  </x:tableParts>
</x:worksheet>
</file>

<file path=xl/worksheets/sheet2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4" hidden="0" customWidth="1"/>
    <x:col min="2" max="2" width="34" hidden="0" customWidth="1"/>
    <x:col min="3" max="3" width="42" hidden="0" customWidth="1"/>
    <x:col min="4" max="4" width="30" hidden="0" customWidth="1"/>
    <x:col min="5" max="5" width="38" hidden="0" customWidth="1"/>
  </x:cols>
  <x:sheetData>
    <x:row r="2" ht="26" customHeight="1">
      <x:c r="A2" s="1" t="str">
        <x:v>财务异常问题诊断树</x:v>
      </x:c>
      <x:c r="B2" s="43"/>
      <x:c r="C2" s="43"/>
      <x:c r="D2" s="43"/>
      <x:c r="E2" s="43"/>
    </x:row>
    <x:row r="3" ht="24" customHeight="1">
      <x:c r="A3" s="3" t="str">
        <x:v>公式或结构化模板可按月刷新；分析结论必须区分事实、业务信息、判断与待验证事项。</x:v>
      </x:c>
      <x:c r="B3" s="43"/>
      <x:c r="C3" s="43"/>
      <x:c r="D3" s="43"/>
      <x:c r="E3" s="43"/>
    </x:row>
    <x:row r="4">
      <x:c r="A4" s="43"/>
      <x:c r="B4" s="43"/>
      <x:c r="C4" s="43"/>
      <x:c r="D4" s="43"/>
      <x:c r="E4" s="43"/>
    </x:row>
    <x:row r="5">
      <x:c r="A5" s="43"/>
      <x:c r="B5" s="43"/>
      <x:c r="C5" s="43"/>
      <x:c r="D5" s="43"/>
      <x:c r="E5" s="43"/>
    </x:row>
    <x:row r="6" ht="32" customHeight="1">
      <x:c r="A6" s="21" t="str">
        <x:v>异常</x:v>
      </x:c>
      <x:c r="B6" s="21" t="str">
        <x:v>一级拆解</x:v>
      </x:c>
      <x:c r="C6" s="21" t="str">
        <x:v>二级验证</x:v>
      </x:c>
      <x:c r="D6" s="21" t="str">
        <x:v>数据来源</x:v>
      </x:c>
      <x:c r="E6" s="21" t="str">
        <x:v>常见错误</x:v>
      </x:c>
    </x:row>
    <x:row r="7" ht="30" customHeight="1">
      <x:c r="A7" s="25" t="str">
        <x:v>收入下降</x:v>
      </x:c>
      <x:c r="B7" s="25" t="str">
        <x:v>销量/价格/Mix/汇率</x:v>
      </x:c>
      <x:c r="C7" s="25" t="str">
        <x:v>产品、客户、渠道、地区</x:v>
      </x:c>
      <x:c r="D7" s="25" t="str">
        <x:v>销售订单与出货</x:v>
      </x:c>
      <x:c r="E7" s="25" t="str">
        <x:v>只写市场不好</x:v>
      </x:c>
    </x:row>
    <x:row r="8" ht="30" customHeight="1">
      <x:c r="A8" s="26" t="str">
        <x:v>毛利率下降</x:v>
      </x:c>
      <x:c r="B8" s="26" t="str">
        <x:v>价格/Mix/材料/人工/制造费用</x:v>
      </x:c>
      <x:c r="C8" s="26" t="str">
        <x:v>BOM、良率、利用率、采购价</x:v>
      </x:c>
      <x:c r="D8" s="26" t="str">
        <x:v>ERP成本与MES</x:v>
      </x:c>
      <x:c r="E8" s="26" t="str">
        <x:v>只写成本上涨</x:v>
      </x:c>
    </x:row>
    <x:row r="9" ht="30" customHeight="1">
      <x:c r="A9" s="26" t="str">
        <x:v>存货增加</x:v>
      </x:c>
      <x:c r="B9" s="26" t="str">
        <x:v>材料/在品/成品/发出</x:v>
      </x:c>
      <x:c r="C9" s="26" t="str">
        <x:v>订单、备货、滞销、工单</x:v>
      </x:c>
      <x:c r="D9" s="26" t="str">
        <x:v>供应链/WMS</x:v>
      </x:c>
      <x:c r="E9" s="26" t="str">
        <x:v>直接说库存管理差</x:v>
      </x:c>
    </x:row>
    <x:row r="10" ht="30" customHeight="1">
      <x:c r="A10" s="26" t="str">
        <x:v>应收增加</x:v>
      </x:c>
      <x:c r="B10" s="26" t="str">
        <x:v>增长/账期/逾期/客户结构</x:v>
      </x:c>
      <x:c r="C10" s="26" t="str">
        <x:v>逐客户回款和信用</x:v>
      </x:c>
      <x:c r="D10" s="26" t="str">
        <x:v>AR/CRM</x:v>
      </x:c>
      <x:c r="E10" s="26" t="str">
        <x:v>只看总额</x:v>
      </x:c>
    </x:row>
    <x:row r="11" ht="30" customHeight="1">
      <x:c r="A11" s="27" t="str">
        <x:v>经营现金流下降</x:v>
      </x:c>
      <x:c r="B11" s="27" t="str">
        <x:v>应收/库存/预付/应付/税</x:v>
      </x:c>
      <x:c r="C11" s="27" t="str">
        <x:v>净利润到现金Bridge</x:v>
      </x:c>
      <x:c r="D11" s="27" t="str">
        <x:v>GL/银行/业务台账</x:v>
      </x:c>
      <x:c r="E11" s="27" t="str">
        <x:v>只说回款慢</x:v>
      </x:c>
    </x:row>
  </x:sheetData>
  <x:mergeCells>
    <x:mergeCell ref="A2:E2"/>
    <x:mergeCell ref="A3:E3"/>
  </x:mergeCells>
  <x:pageMargins left="0.7" right="0.7" top="0.75" bottom="0.75" header="0.3" footer="0.3"/>
  <x:tableParts count="1">
    <x:tablePart xmlns:r="http://schemas.openxmlformats.org/officeDocument/2006/relationships" r:id="Rc2db7e9b72e24ced"/>
  </x:tableParts>
</x:worksheet>
</file>

<file path=xl/worksheets/sheet2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8" hidden="0" customWidth="1"/>
    <x:col min="2" max="2" width="44" hidden="0" customWidth="1"/>
    <x:col min="3" max="3" width="20" hidden="0" customWidth="1"/>
    <x:col min="4" max="4" width="18" hidden="0" customWidth="1"/>
    <x:col min="5" max="5" width="22" hidden="0" customWidth="1"/>
    <x:col min="6" max="6" width="18" hidden="0" customWidth="1"/>
    <x:col min="7" max="7" width="34" hidden="0" customWidth="1"/>
  </x:cols>
  <x:sheetData>
    <x:row r="2" ht="26" customHeight="1">
      <x:c r="A2" s="1" t="str">
        <x:v>经营分析行动计划</x:v>
      </x:c>
      <x:c r="B2" s="43"/>
      <x:c r="C2" s="43"/>
      <x:c r="D2" s="43"/>
      <x:c r="E2" s="43"/>
      <x:c r="F2" s="43"/>
      <x:c r="G2" s="43"/>
    </x:row>
    <x:row r="3" ht="24" customHeight="1">
      <x:c r="A3" s="3" t="str">
        <x:v>公式或结构化模板可按月刷新；分析结论必须区分事实、业务信息、判断与待验证事项。</x:v>
      </x:c>
      <x:c r="B3" s="43"/>
      <x:c r="C3" s="43"/>
      <x:c r="D3" s="43"/>
      <x:c r="E3" s="43"/>
      <x:c r="F3" s="43"/>
      <x:c r="G3" s="43"/>
    </x:row>
    <x:row r="4">
      <x:c r="A4" s="43"/>
      <x:c r="B4" s="43"/>
      <x:c r="C4" s="43"/>
      <x:c r="D4" s="43"/>
      <x:c r="E4" s="43"/>
      <x:c r="F4" s="43"/>
      <x:c r="G4" s="43"/>
    </x:row>
    <x:row r="5">
      <x:c r="A5" s="43"/>
      <x:c r="B5" s="43"/>
      <x:c r="C5" s="43"/>
      <x:c r="D5" s="43"/>
      <x:c r="E5" s="43"/>
      <x:c r="F5" s="43"/>
      <x:c r="G5" s="43"/>
    </x:row>
    <x:row r="6" ht="32" customHeight="1">
      <x:c r="A6" s="21" t="str">
        <x:v>问题</x:v>
      </x:c>
      <x:c r="B6" s="21" t="str">
        <x:v>行动</x:v>
      </x:c>
      <x:c r="C6" s="21" t="str">
        <x:v>责任人</x:v>
      </x:c>
      <x:c r="D6" s="21" t="str">
        <x:v>截止日期</x:v>
      </x:c>
      <x:c r="E6" s="21" t="str">
        <x:v>目标值</x:v>
      </x:c>
      <x:c r="F6" s="21" t="str">
        <x:v>状态</x:v>
      </x:c>
      <x:c r="G6" s="21" t="str">
        <x:v>复盘证据</x:v>
      </x:c>
    </x:row>
    <x:row r="7" ht="30" customHeight="1">
      <x:c r="A7" s="25" t="str">
        <x:v>桌面机降价</x:v>
      </x:c>
      <x:c r="B7" s="25" t="str">
        <x:v>按客户测算促销增量毛利</x:v>
      </x:c>
      <x:c r="C7" s="25" t="str">
        <x:v>销售总监</x:v>
      </x:c>
      <x:c r="D7" s="25" t="str">
        <x:v>2026-09-20</x:v>
      </x:c>
      <x:c r="E7" s="25" t="str">
        <x:v>促销毛利为正</x:v>
      </x:c>
      <x:c r="F7" s="25" t="str">
        <x:v>进行中</x:v>
      </x:c>
      <x:c r="G7" s="25" t="str">
        <x:v>价格与销量</x:v>
      </x:c>
    </x:row>
    <x:row r="8" ht="30" customHeight="1">
      <x:c r="A8" s="26" t="str">
        <x:v>树脂线良率</x:v>
      </x:c>
      <x:c r="B8" s="26" t="str">
        <x:v>完成前三大缺陷Pareto</x:v>
      </x:c>
      <x:c r="C8" s="26" t="str">
        <x:v>质量总监</x:v>
      </x:c>
      <x:c r="D8" s="26" t="str">
        <x:v>2026-10-10</x:v>
      </x:c>
      <x:c r="E8" s="26" t="str">
        <x:v>良率≥95%</x:v>
      </x:c>
      <x:c r="F8" s="26" t="str">
        <x:v>未开始</x:v>
      </x:c>
      <x:c r="G8" s="26" t="str">
        <x:v>MES良率</x:v>
      </x:c>
    </x:row>
    <x:row r="9" ht="30" customHeight="1">
      <x:c r="A9" s="26" t="str">
        <x:v>逾期应收</x:v>
      </x:c>
      <x:c r="B9" s="26" t="str">
        <x:v>TOP10逐户回款计划</x:v>
      </x:c>
      <x:c r="C9" s="26" t="str">
        <x:v>销售/财务</x:v>
      </x:c>
      <x:c r="D9" s="26" t="str">
        <x:v>2026-09-30</x:v>
      </x:c>
      <x:c r="E9" s="26" t="str">
        <x:v>逾期下降20%</x:v>
      </x:c>
      <x:c r="F9" s="26" t="str">
        <x:v>进行中</x:v>
      </x:c>
      <x:c r="G9" s="26" t="str">
        <x:v>银行回款</x:v>
      </x:c>
    </x:row>
    <x:row r="10" ht="30" customHeight="1">
      <x:c r="A10" s="27" t="str">
        <x:v>慢动库存</x:v>
      </x:c>
      <x:c r="B10" s="27" t="str">
        <x:v>冻结无订单SKU采购</x:v>
      </x:c>
      <x:c r="C10" s="27" t="str">
        <x:v>供应链</x:v>
      </x:c>
      <x:c r="D10" s="27" t="str">
        <x:v>2026-09-18</x:v>
      </x:c>
      <x:c r="E10" s="27" t="str">
        <x:v>180天以上下降15%</x:v>
      </x:c>
      <x:c r="F10" s="27" t="str">
        <x:v>未开始</x:v>
      </x:c>
      <x:c r="G10" s="27" t="str">
        <x:v>库龄表</x:v>
      </x:c>
    </x:row>
  </x:sheetData>
  <x:mergeCells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dc4e4df9f3f94471"/>
  </x:tableParts>
</x:worksheet>
</file>

<file path=xl/worksheets/sheet24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0" hidden="0" customWidth="1"/>
    <x:col min="2" max="2" width="24" hidden="0" customWidth="1"/>
    <x:col min="3" max="3" width="42" hidden="0" customWidth="1"/>
    <x:col min="4" max="4" width="32" hidden="0" customWidth="1"/>
  </x:cols>
  <x:sheetData>
    <x:row r="2" ht="26" customHeight="1">
      <x:c r="A2" s="1" t="str">
        <x:v>管理问题与图表选择</x:v>
      </x:c>
      <x:c r="B2" s="43"/>
      <x:c r="C2" s="43"/>
      <x:c r="D2" s="43"/>
    </x:row>
    <x:row r="3" ht="24" customHeight="1">
      <x:c r="A3" s="3" t="str">
        <x:v>公式或结构化模板可按月刷新；分析结论必须区分事实、业务信息、判断与待验证事项。</x:v>
      </x:c>
      <x:c r="B3" s="43"/>
      <x:c r="C3" s="43"/>
      <x:c r="D3" s="43"/>
    </x:row>
    <x:row r="4">
      <x:c r="A4" s="43"/>
      <x:c r="B4" s="43"/>
      <x:c r="C4" s="43"/>
      <x:c r="D4" s="43"/>
    </x:row>
    <x:row r="5">
      <x:c r="A5" s="43"/>
      <x:c r="B5" s="43"/>
      <x:c r="C5" s="43"/>
      <x:c r="D5" s="43"/>
    </x:row>
    <x:row r="6" ht="32" customHeight="1">
      <x:c r="A6" s="21" t="str">
        <x:v>管理问题</x:v>
      </x:c>
      <x:c r="B6" s="21" t="str">
        <x:v>推荐图</x:v>
      </x:c>
      <x:c r="C6" s="21" t="str">
        <x:v>原因</x:v>
      </x:c>
      <x:c r="D6" s="21" t="str">
        <x:v>不建议</x:v>
      </x:c>
    </x:row>
    <x:row r="7" ht="30" customHeight="1">
      <x:c r="A7" s="25" t="str">
        <x:v>趋势是否持续</x:v>
      </x:c>
      <x:c r="B7" s="25" t="str">
        <x:v>折线图</x:v>
      </x:c>
      <x:c r="C7" s="25" t="str">
        <x:v>突出时间变化</x:v>
      </x:c>
      <x:c r="D7" s="25" t="str">
        <x:v>饼图</x:v>
      </x:c>
    </x:row>
    <x:row r="8" ht="30" customHeight="1">
      <x:c r="A8" s="26" t="str">
        <x:v>预算差异</x:v>
      </x:c>
      <x:c r="B8" s="26" t="str">
        <x:v>簇状柱形图</x:v>
      </x:c>
      <x:c r="C8" s="26" t="str">
        <x:v>直接比较实际和预算</x:v>
      </x:c>
      <x:c r="D8" s="26" t="str">
        <x:v>双轴复杂图</x:v>
      </x:c>
    </x:row>
    <x:row r="9" ht="30" customHeight="1">
      <x:c r="A9" s="26" t="str">
        <x:v>毛利变化原因</x:v>
      </x:c>
      <x:c r="B9" s="26" t="str">
        <x:v>瀑布图</x:v>
      </x:c>
      <x:c r="C9" s="26" t="str">
        <x:v>展示各因素贡献</x:v>
      </x:c>
      <x:c r="D9" s="26" t="str">
        <x:v>普通饼图</x:v>
      </x:c>
    </x:row>
    <x:row r="10" ht="30" customHeight="1">
      <x:c r="A10" s="26" t="str">
        <x:v>收入结构</x:v>
      </x:c>
      <x:c r="B10" s="26" t="str">
        <x:v>堆积柱形图</x:v>
      </x:c>
      <x:c r="C10" s="26" t="str">
        <x:v>同时看规模和结构</x:v>
      </x:c>
      <x:c r="D10" s="26" t="str">
        <x:v>过多类别饼图</x:v>
      </x:c>
    </x:row>
    <x:row r="11" ht="30" customHeight="1">
      <x:c r="A11" s="26" t="str">
        <x:v>产品组合</x:v>
      </x:c>
      <x:c r="B11" s="26" t="str">
        <x:v>散点图</x:v>
      </x:c>
      <x:c r="C11" s="26" t="str">
        <x:v>同时比较增长和毛利</x:v>
      </x:c>
      <x:c r="D11" s="26" t="str">
        <x:v>仅排名</x:v>
      </x:c>
    </x:row>
    <x:row r="12" ht="30" customHeight="1">
      <x:c r="A12" s="27" t="str">
        <x:v>库存库龄</x:v>
      </x:c>
      <x:c r="B12" s="27" t="str">
        <x:v>堆积柱形图</x:v>
      </x:c>
      <x:c r="C12" s="27" t="str">
        <x:v>展示类别和老化层次</x:v>
      </x:c>
      <x:c r="D12" s="27" t="str">
        <x:v>总额折线图</x:v>
      </x:c>
    </x:row>
  </x:sheetData>
  <x:mergeCells>
    <x:mergeCell ref="A2:D2"/>
    <x:mergeCell ref="A3:D3"/>
  </x:mergeCells>
  <x:pageMargins left="0.7" right="0.7" top="0.75" bottom="0.75" header="0.3" footer="0.3"/>
  <x:tableParts count="1">
    <x:tablePart xmlns:r="http://schemas.openxmlformats.org/officeDocument/2006/relationships" r:id="Rf8b8e46ca9fb4c50"/>
  </x:tableParts>
</x:worksheet>
</file>

<file path=xl/worksheets/sheet25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0" hidden="0" customWidth="1"/>
    <x:col min="2" max="2" width="48" hidden="0" customWidth="1"/>
    <x:col min="3" max="3" width="18" hidden="0" customWidth="1"/>
    <x:col min="4" max="4" width="46" hidden="0" customWidth="1"/>
  </x:cols>
  <x:sheetData>
    <x:row r="2" ht="26" customHeight="1">
      <x:c r="A2" s="1" t="str">
        <x:v>模型检查与勾稽</x:v>
      </x:c>
      <x:c r="B2" s="43"/>
      <x:c r="C2" s="43"/>
      <x:c r="D2" s="43"/>
    </x:row>
    <x:row r="3" ht="24" customHeight="1">
      <x:c r="A3" s="3" t="str">
        <x:v>公式或结构化模板可按月刷新；分析结论必须区分事实、业务信息、判断与待验证事项。</x:v>
      </x:c>
      <x:c r="B3" s="43"/>
      <x:c r="C3" s="43"/>
      <x:c r="D3" s="43"/>
    </x:row>
    <x:row r="4">
      <x:c r="A4" s="43"/>
      <x:c r="B4" s="43"/>
      <x:c r="C4" s="43"/>
      <x:c r="D4" s="43"/>
    </x:row>
    <x:row r="5">
      <x:c r="A5" s="43"/>
      <x:c r="B5" s="43"/>
      <x:c r="C5" s="43"/>
      <x:c r="D5" s="43"/>
    </x:row>
    <x:row r="6" ht="32" customHeight="1">
      <x:c r="A6" s="21" t="str">
        <x:v>检查</x:v>
      </x:c>
      <x:c r="B6" s="21" t="str">
        <x:v>公式/标准</x:v>
      </x:c>
      <x:c r="C6" s="21" t="str">
        <x:v>结果</x:v>
      </x:c>
      <x:c r="D6" s="21" t="str">
        <x:v>处理</x:v>
      </x:c>
    </x:row>
    <x:row r="7" ht="30" customHeight="1">
      <x:c r="A7" s="25" t="str">
        <x:v>PVM勾稽</x:v>
      </x:c>
      <x:c r="B7" s="25" t="str">
        <x:v>本期收入-基期收入-三因素</x:v>
      </x:c>
      <x:c r="C7" s="25" t="str">
        <x:f>IF(ABS('07-收入PVM'!F13)&lt;0.01,"通过","异常")</x:f>
        <x:v>通过</x:v>
      </x:c>
      <x:c r="D7" s="25" t="str">
        <x:v>异常时检查产品和新老口径</x:v>
      </x:c>
    </x:row>
    <x:row r="8" ht="30" customHeight="1">
      <x:c r="A8" s="26" t="str">
        <x:v>毛利Bridge</x:v>
      </x:c>
      <x:c r="B8" s="26" t="str">
        <x:v>期初+因素=期末</x:v>
      </x:c>
      <x:c r="C8" s="26" t="str">
        <x:f>IF(ABS('11-毛利Bridge'!B15)&lt;0.0001,"通过","异常")</x:f>
        <x:v>异常</x:v>
      </x:c>
      <x:c r="D8" s="26" t="str">
        <x:v>不得用未解释残差强行调平</x:v>
      </x:c>
    </x:row>
    <x:row r="9" ht="30" customHeight="1">
      <x:c r="A9" s="26" t="str">
        <x:v>CCC</x:v>
      </x:c>
      <x:c r="B9" s="26" t="str">
        <x:v>DSO+DIO-DPO</x:v>
      </x:c>
      <x:c r="C9" s="26" t="str">
        <x:f>IF('18-营运资金CCC'!D10='18-营运资金CCC'!D7+'18-营运资金CCC'!D8-'18-营运资金CCC'!D9,"通过","异常")</x:f>
        <x:v>通过</x:v>
      </x:c>
      <x:c r="D9" s="26" t="str">
        <x:v>统一天数口径</x:v>
      </x:c>
    </x:row>
    <x:row r="10" ht="30" customHeight="1">
      <x:c r="A10" s="27" t="str">
        <x:v>现金流Bridge</x:v>
      </x:c>
      <x:c r="B10" s="27" t="str">
        <x:v>各项之和=经营现金流</x:v>
      </x:c>
      <x:c r="C10" s="27" t="str">
        <x:f>IF('19-现金流Bridge'!B13=500,"通过","异常")</x:f>
        <x:v>通过</x:v>
      </x:c>
      <x:c r="D10" s="27" t="str">
        <x:v>追查其他经营项目</x:v>
      </x:c>
    </x:row>
  </x:sheetData>
  <x:mergeCells>
    <x:mergeCell ref="A2:D2"/>
    <x:mergeCell ref="A3:D3"/>
  </x:mergeCells>
  <x:pageMargins left="0.7" right="0.7" top="0.75" bottom="0.75" header="0.3" footer="0.3"/>
  <x:tableParts count="1">
    <x:tablePart xmlns:r="http://schemas.openxmlformats.org/officeDocument/2006/relationships" r:id="R1c135db56e0d4774"/>
  </x:tableParts>
</x:worksheet>
</file>

<file path=xl/worksheets/sheet26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28" hidden="0" customWidth="1"/>
    <x:col min="5" max="5" width="22" hidden="0" customWidth="1"/>
    <x:col min="6" max="6" width="16" hidden="0" customWidth="1"/>
  </x:cols>
  <x:sheetData>
    <x:row r="2" ht="26" customHeight="1">
      <x:c r="A2" s="1" t="str">
        <x:v>指标数据字典</x:v>
      </x:c>
      <x:c r="B2" s="43"/>
      <x:c r="C2" s="43"/>
      <x:c r="D2" s="43"/>
      <x:c r="E2" s="43"/>
      <x:c r="F2" s="43"/>
    </x:row>
    <x:row r="3" ht="24" customHeight="1">
      <x:c r="A3" s="3" t="str">
        <x:v>公式或结构化模板可按月刷新；分析结论必须区分事实、业务信息、判断与待验证事项。</x:v>
      </x:c>
      <x:c r="B3" s="43"/>
      <x:c r="C3" s="43"/>
      <x:c r="D3" s="43"/>
      <x:c r="E3" s="43"/>
      <x:c r="F3" s="43"/>
    </x:row>
    <x:row r="4">
      <x:c r="A4" s="43"/>
      <x:c r="B4" s="43"/>
      <x:c r="C4" s="43"/>
      <x:c r="D4" s="43"/>
      <x:c r="E4" s="43"/>
      <x:c r="F4" s="43"/>
    </x:row>
    <x:row r="5">
      <x:c r="A5" s="43"/>
      <x:c r="B5" s="43"/>
      <x:c r="C5" s="43"/>
      <x:c r="D5" s="43"/>
      <x:c r="E5" s="43"/>
      <x:c r="F5" s="43"/>
    </x:row>
    <x:row r="6" ht="32" customHeight="1">
      <x:c r="A6" s="21" t="str">
        <x:v>指标</x:v>
      </x:c>
      <x:c r="B6" s="21" t="str">
        <x:v>定义</x:v>
      </x:c>
      <x:c r="C6" s="21" t="str">
        <x:v>公式</x:v>
      </x:c>
      <x:c r="D6" s="21" t="str">
        <x:v>系统来源</x:v>
      </x:c>
      <x:c r="E6" s="21" t="str">
        <x:v>责任部门</x:v>
      </x:c>
      <x:c r="F6" s="21" t="str">
        <x:v>刷新频率</x:v>
      </x:c>
    </x:row>
    <x:row r="7" ht="30" customHeight="1">
      <x:c r="A7" s="25" t="str">
        <x:v>收入</x:v>
      </x:c>
      <x:c r="B7" s="25" t="str">
        <x:v>控制权转移对应的不含税收入</x:v>
      </x:c>
      <x:c r="C7" s="25" t="str">
        <x:v>数量×价格及会计调整</x:v>
      </x:c>
      <x:c r="D7" s="25" t="str">
        <x:v>ERP/GL</x:v>
      </x:c>
      <x:c r="E7" s="25" t="str">
        <x:v>财务</x:v>
      </x:c>
      <x:c r="F7" s="25" t="str">
        <x:v>月</x:v>
      </x:c>
    </x:row>
    <x:row r="8" ht="30" customHeight="1">
      <x:c r="A8" s="26" t="str">
        <x:v>ASP</x:v>
      </x:c>
      <x:c r="B8" s="26" t="str">
        <x:v>产品收入/销量</x:v>
      </x:c>
      <x:c r="C8" s="26" t="str">
        <x:v>同口径不含税收入÷销量</x:v>
      </x:c>
      <x:c r="D8" s="26" t="str">
        <x:v>ERP销售</x:v>
      </x:c>
      <x:c r="E8" s="26" t="str">
        <x:v>销售运营</x:v>
      </x:c>
      <x:c r="F8" s="26" t="str">
        <x:v>周/月</x:v>
      </x:c>
    </x:row>
    <x:row r="9" ht="30" customHeight="1">
      <x:c r="A9" s="26" t="str">
        <x:v>良率</x:v>
      </x:c>
      <x:c r="B9" s="26" t="str">
        <x:v>合格产出/总投入</x:v>
      </x:c>
      <x:c r="C9" s="26" t="str">
        <x:v>合格数量÷投产数量</x:v>
      </x:c>
      <x:c r="D9" s="26" t="str">
        <x:v>MES</x:v>
      </x:c>
      <x:c r="E9" s="26" t="str">
        <x:v>质量</x:v>
      </x:c>
      <x:c r="F9" s="26" t="str">
        <x:v>日/月</x:v>
      </x:c>
    </x:row>
    <x:row r="10" ht="30" customHeight="1">
      <x:c r="A10" s="26" t="str">
        <x:v>产能利用率</x:v>
      </x:c>
      <x:c r="B10" s="26" t="str">
        <x:v>实际产出/有效产能</x:v>
      </x:c>
      <x:c r="C10" s="26" t="str">
        <x:v>统一标准工时口径</x:v>
      </x:c>
      <x:c r="D10" s="26" t="str">
        <x:v>MES/生产计划</x:v>
      </x:c>
      <x:c r="E10" s="26" t="str">
        <x:v>生产</x:v>
      </x:c>
      <x:c r="F10" s="26" t="str">
        <x:v>周/月</x:v>
      </x:c>
    </x:row>
    <x:row r="11" ht="30" customHeight="1">
      <x:c r="A11" s="26" t="str">
        <x:v>DSO</x:v>
      </x:c>
      <x:c r="B11" s="26" t="str">
        <x:v>平均应收/赊销收入×天数</x:v>
      </x:c>
      <x:c r="C11" s="26" t="str">
        <x:v>优先使用赊销收入</x:v>
      </x:c>
      <x:c r="D11" s="26" t="str">
        <x:v>AR</x:v>
      </x:c>
      <x:c r="E11" s="26" t="str">
        <x:v>财务</x:v>
      </x:c>
      <x:c r="F11" s="26" t="str">
        <x:v>月</x:v>
      </x:c>
    </x:row>
    <x:row r="12" ht="30" customHeight="1">
      <x:c r="A12" s="26" t="str">
        <x:v>DIO</x:v>
      </x:c>
      <x:c r="B12" s="26" t="str">
        <x:v>平均存货/销售成本×天数</x:v>
      </x:c>
      <x:c r="C12" s="26" t="str">
        <x:v>区分原料/在品/成品</x:v>
      </x:c>
      <x:c r="D12" s="26" t="str">
        <x:v>ERP存货</x:v>
      </x:c>
      <x:c r="E12" s="26" t="str">
        <x:v>供应链</x:v>
      </x:c>
      <x:c r="F12" s="26" t="str">
        <x:v>月</x:v>
      </x:c>
    </x:row>
    <x:row r="13" ht="30" customHeight="1">
      <x:c r="A13" s="27" t="str">
        <x:v>DPO</x:v>
      </x:c>
      <x:c r="B13" s="27" t="str">
        <x:v>平均应付/采购额×天数</x:v>
      </x:c>
      <x:c r="C13" s="27" t="str">
        <x:v>优先使用赊购额</x:v>
      </x:c>
      <x:c r="D13" s="27" t="str">
        <x:v>AP/采购</x:v>
      </x:c>
      <x:c r="E13" s="27" t="str">
        <x:v>采购/财务</x:v>
      </x:c>
      <x:c r="F13" s="27" t="str">
        <x:v>月</x:v>
      </x:c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287c582217fe47ec"/>
  </x:tableParts>
</x:worksheet>
</file>

<file path=xl/worksheets/sheet27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0" hidden="0" customWidth="1"/>
    <x:col min="2" max="2" width="34" hidden="0" customWidth="1"/>
    <x:col min="3" max="3" width="42" hidden="0" customWidth="1"/>
    <x:col min="4" max="4" width="80" hidden="0" customWidth="1"/>
  </x:cols>
  <x:sheetData>
    <x:row r="2" ht="26" customHeight="1">
      <x:c r="A2" s="1" t="str">
        <x:v>来源与使用说明</x:v>
      </x:c>
      <x:c r="B2" s="43"/>
      <x:c r="C2" s="43"/>
      <x:c r="D2" s="43"/>
    </x:row>
    <x:row r="3" ht="24" customHeight="1">
      <x:c r="A3" s="3" t="str">
        <x:v>公式或结构化模板可按月刷新；分析结论必须区分事实、业务信息、判断与待验证事项。</x:v>
      </x:c>
      <x:c r="B3" s="43"/>
      <x:c r="C3" s="43"/>
      <x:c r="D3" s="43"/>
    </x:row>
    <x:row r="4">
      <x:c r="A4" s="43"/>
      <x:c r="B4" s="43"/>
      <x:c r="C4" s="43"/>
      <x:c r="D4" s="43"/>
    </x:row>
    <x:row r="5">
      <x:c r="A5" s="43"/>
      <x:c r="B5" s="43"/>
      <x:c r="C5" s="43"/>
      <x:c r="D5" s="43"/>
    </x:row>
    <x:row r="6" ht="32" customHeight="1">
      <x:c r="A6" s="21" t="str">
        <x:v>类型</x:v>
      </x:c>
      <x:c r="B6" s="21" t="str">
        <x:v>来源</x:v>
      </x:c>
      <x:c r="C6" s="21" t="str">
        <x:v>用途</x:v>
      </x:c>
      <x:c r="D6" s="21" t="str">
        <x:v>链接/说明</x:v>
      </x:c>
    </x:row>
    <x:row r="7" ht="30" customHeight="1">
      <x:c r="A7" s="25" t="str">
        <x:v>模拟数据</x:v>
      </x:c>
      <x:c r="B7" s="25" t="str">
        <x:v>深圳拓维三维科技有限公司</x:v>
      </x:c>
      <x:c r="C7" s="25" t="str">
        <x:v>贯穿案例</x:v>
      </x:c>
      <x:c r="D7" s="25" t="str">
        <x:v>纯模拟，不能当作行业事实</x:v>
      </x:c>
    </x:row>
    <x:row r="8" ht="30" customHeight="1">
      <x:c r="A8" s="26" t="str">
        <x:v>官方统计</x:v>
      </x:c>
      <x:c r="B8" s="26" t="str">
        <x:v>国家统计局2025年规模以上工业企业数据</x:v>
      </x:c>
      <x:c r="C8" s="26" t="str">
        <x:v>宏观行业毛利参考</x:v>
      </x:c>
      <x:c r="D8" s="26" t="str">
        <x:v>https://www.stats.gov.cn/zwfwck/sjfb/202601/t20260127_1962382.html</x:v>
      </x:c>
    </x:row>
    <x:row r="9" ht="30" customHeight="1">
      <x:c r="A9" s="26" t="str">
        <x:v>上市公司</x:v>
      </x:c>
      <x:c r="B9" s="26" t="str">
        <x:v>交易所定期报告</x:v>
      </x:c>
      <x:c r="C9" s="26" t="str">
        <x:v>Peer Group数据</x:v>
      </x:c>
      <x:c r="D9" s="26" t="str">
        <x:v>https://www.sse.com.cn/disclosure/listedinfo/periodic/</x:v>
      </x:c>
    </x:row>
    <x:row r="10" ht="30" customHeight="1">
      <x:c r="A10" s="27" t="str">
        <x:v>分析规则</x:v>
      </x:c>
      <x:c r="B10" s="27" t="str">
        <x:v>本模型</x:v>
      </x:c>
      <x:c r="C10" s="27" t="str">
        <x:v>事实/计算/业务信息/判断分层</x:v>
      </x:c>
      <x:c r="D10" s="27" t="str">
        <x:v>原因不足时标记待验证</x:v>
      </x:c>
    </x:row>
  </x:sheetData>
  <x:mergeCells>
    <x:mergeCell ref="A2:D2"/>
    <x:mergeCell ref="A3:D3"/>
  </x:mergeCells>
  <x:pageMargins left="0.7" right="0.7" top="0.75" bottom="0.75" header="0.3" footer="0.3"/>
  <x:tableParts count="1">
    <x:tablePart xmlns:r="http://schemas.openxmlformats.org/officeDocument/2006/relationships" r:id="R9479ebbc051a4363"/>
  </x:tableParts>
</x:worksheet>
</file>