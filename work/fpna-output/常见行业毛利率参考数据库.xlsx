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56de5ab85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-官方行业数据" sheetId="1" r:id="R10039fc03a3f419a"/>
    <x:sheet xmlns:r="http://schemas.openxmlformats.org/officeDocument/2006/relationships" name="02-Peer样本模板" sheetId="2" r:id="R711ff55dc4364134"/>
    <x:sheet xmlns:r="http://schemas.openxmlformats.org/officeDocument/2006/relationships" name="03-行业逻辑" sheetId="3" r:id="Rcf250c861af84866"/>
    <x:sheet xmlns:r="http://schemas.openxmlformats.org/officeDocument/2006/relationships" name="04-使用方法" sheetId="4" r:id="Rf9bcc01cdc634a09"/>
    <x:sheet xmlns:r="http://schemas.openxmlformats.org/officeDocument/2006/relationships" name="05-来源" sheetId="5" r:id="Rab2bca37fe6f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hair">
        <x:color rgb="FFD9E2F3"/>
      </x:bottom>
    </x:border>
    <x:border>
      <x:top style="hair">
        <x:color rgb="FFD9E2F3"/>
      </x:top>
      <x:bottom style="hair">
        <x:color rgb="FFD9E2F3"/>
      </x:bottom>
    </x:border>
    <x:border>
      <x:top style="hair">
        <x:color rgb="FFD9E2F3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5407e8fa7460d" /><Relationship Type="http://schemas.openxmlformats.org/officeDocument/2006/relationships/theme" Target="/xl/theme/theme1.xml" Id="R47bfb969cf5a4a39" /><Relationship Type="http://schemas.openxmlformats.org/officeDocument/2006/relationships/sharedStrings" Target="/xl/sharedStrings.xml" Id="R8bcc604a0e474701" /><Relationship Type="http://schemas.openxmlformats.org/officeDocument/2006/relationships/worksheet" Target="/xl/worksheets/sheet1.xml" Id="R10039fc03a3f419a" /><Relationship Type="http://schemas.openxmlformats.org/officeDocument/2006/relationships/worksheet" Target="/xl/worksheets/sheet2.xml" Id="R711ff55dc4364134" /><Relationship Type="http://schemas.openxmlformats.org/officeDocument/2006/relationships/worksheet" Target="/xl/worksheets/sheet3.xml" Id="Rcf250c861af84866" /><Relationship Type="http://schemas.openxmlformats.org/officeDocument/2006/relationships/worksheet" Target="/xl/worksheets/sheet4.xml" Id="Rf9bcc01cdc634a09" /><Relationship Type="http://schemas.openxmlformats.org/officeDocument/2006/relationships/worksheet" Target="/xl/worksheets/sheet5.xml" Id="Rab2bca37fe6f4e35" /></Relationships>
</file>

<file path=xl/tables/table1.xml><?xml version="1.0" encoding="utf-8"?>
<x:table xmlns:x="http://schemas.openxmlformats.org/spreadsheetml/2006/main" id="1" name="DataTable27" displayName="DataTable27" ref="A6:J45" headerRowCount="1" totalsRowCount="0" totalsRowShown="0">
  <x:tableColumns count="10">
    <x:tableColumn id="1" name="一级行业"/>
    <x:tableColumn id="2" name="二级行业"/>
    <x:tableColumn id="3" name="三级行业"/>
    <x:tableColumn id="4" name="营业收入亿元"/>
    <x:tableColumn id="5" name="营业成本亿元"/>
    <x:tableColumn id="6" name="期间"/>
    <x:tableColumn id="7" name="样本口径"/>
    <x:tableColumn id="8" name="计算毛利率"/>
    <x:tableColumn id="9" name="备注"/>
    <x:tableColumn id="10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28" displayName="DataTable28" ref="A6:J13" headerRowCount="1" totalsRowCount="0" totalsRowShown="0">
  <x:tableColumns count="10">
    <x:tableColumn id="1" name="一级行业"/>
    <x:tableColumn id="2" name="二级行业"/>
    <x:tableColumn id="3" name="三级行业"/>
    <x:tableColumn id="4" name="样本状态"/>
    <x:tableColumn id="5" name="数据期间"/>
    <x:tableColumn id="6" name="样本数"/>
    <x:tableColumn id="7" name="低位"/>
    <x:tableColumn id="8" name="中位数"/>
    <x:tableColumn id="9" name="高位"/>
    <x:tableColumn id="10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29" displayName="DataTable29" ref="A6:D16" headerRowCount="1" totalsRowCount="0" totalsRowShown="0">
  <x:tableColumns count="4">
    <x:tableColumn id="1" name="行业"/>
    <x:tableColumn id="2" name="通常驱动"/>
    <x:tableColumn id="3" name="为什么可能高/低"/>
    <x:tableColumn id="4" name="对标时必须控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Table30" displayName="DataTable30" ref="A6:C13" headerRowCount="1" totalsRowCount="0" totalsRowShown="0">
  <x:tableColumns count="3">
    <x:tableColumn id="1" name="步骤"/>
    <x:tableColumn id="2" name="操作"/>
    <x:tableColumn id="3" name="控制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31" displayName="DataTable31" ref="A6:D10" headerRowCount="1" totalsRowCount="0" totalsRowShown="0">
  <x:tableColumns count="4">
    <x:tableColumn id="1" name="来源"/>
    <x:tableColumn id="2" name="期间"/>
    <x:tableColumn id="3" name="用途"/>
    <x:tableColumn id="4" name="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02776f321b4c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79d8a899c5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c3fc59bbca46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f1e505a99e4f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c4163515be4420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2" hidden="0" customWidth="1"/>
    <x:col min="4" max="4" width="18" hidden="0" customWidth="1"/>
    <x:col min="5" max="5" width="18" hidden="0" customWidth="1"/>
    <x:col min="6" max="6" width="12" hidden="0" customWidth="1"/>
    <x:col min="7" max="7" width="30" hidden="0" customWidth="1"/>
    <x:col min="8" max="8" width="16" hidden="0" customWidth="1"/>
    <x:col min="9" max="9" width="58" hidden="0" customWidth="1"/>
    <x:col min="10" max="10" width="80" hidden="0" customWidth="1"/>
  </x:cols>
  <x:sheetData>
    <x:row r="2" ht="26" customHeight="1">
      <x:c r="A2" s="1" t="str">
        <x:v>2025年规模以上工业企业毛利率参考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 ht="24" customHeight="1">
      <x:c r="A3" s="3" t="str">
        <x:v>毛利率由国家统计局营业收入和营业成本计算。统计范围为年主营业务收入2000万元及以上工业法人单位。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 ht="32" customHeight="1">
      <x:c r="A6" s="8" t="str">
        <x:v>一级行业</x:v>
      </x:c>
      <x:c r="B6" s="8" t="str">
        <x:v>二级行业</x:v>
      </x:c>
      <x:c r="C6" s="8" t="str">
        <x:v>三级行业</x:v>
      </x:c>
      <x:c r="D6" s="8" t="str">
        <x:v>营业收入亿元</x:v>
      </x:c>
      <x:c r="E6" s="8" t="str">
        <x:v>营业成本亿元</x:v>
      </x:c>
      <x:c r="F6" s="8" t="str">
        <x:v>期间</x:v>
      </x:c>
      <x:c r="G6" s="8" t="str">
        <x:v>样本口径</x:v>
      </x:c>
      <x:c r="H6" s="8" t="str">
        <x:v>计算毛利率</x:v>
      </x:c>
      <x:c r="I6" s="8" t="str">
        <x:v>备注</x:v>
      </x:c>
      <x:c r="J6" s="8" t="str">
        <x:v>来源</x:v>
      </x:c>
    </x:row>
    <x:row r="7" ht="30" customHeight="1">
      <x:c r="A7" s="12" t="str">
        <x:v>采矿业</x:v>
      </x:c>
      <x:c r="B7" s="12" t="str">
        <x:v>煤炭</x:v>
      </x:c>
      <x:c r="C7" s="12" t="str">
        <x:v>煤炭开采和洗选</x:v>
      </x:c>
      <x:c r="D7" s="12" t="n">
        <x:v>26088.6</x:v>
      </x:c>
      <x:c r="E7" s="12" t="n">
        <x:v>18734</x:v>
      </x:c>
      <x:c r="F7" s="12" t="n">
        <x:v>2025</x:v>
      </x:c>
      <x:c r="G7" s="12" t="str">
        <x:v>国家统计局规模以上工业企业</x:v>
      </x:c>
      <x:c r="H7" s="15" t="n">
        <x:f>IFERROR(1-E7/D7,"")</x:f>
        <x:v>0.28190857309322837</x:v>
      </x:c>
      <x:c r="I7" s="12" t="str">
        <x:v>营业收入与营业成本均为亿元；行业总体，不是上市公司中位数</x:v>
      </x:c>
      <x:c r="J7" s="12" t="str">
        <x:v>https://www.stats.gov.cn/zwfwck/sjfb/202601/t20260127_1962382.html</x:v>
      </x:c>
    </x:row>
    <x:row r="8" ht="30" customHeight="1">
      <x:c r="A8" s="13" t="str">
        <x:v>采矿业</x:v>
      </x:c>
      <x:c r="B8" s="13" t="str">
        <x:v>油气</x:v>
      </x:c>
      <x:c r="C8" s="13" t="str">
        <x:v>石油和天然气开采</x:v>
      </x:c>
      <x:c r="D8" s="13" t="n">
        <x:v>11480.1</x:v>
      </x:c>
      <x:c r="E8" s="13" t="n">
        <x:v>6767</x:v>
      </x:c>
      <x:c r="F8" s="13" t="n">
        <x:v>2025</x:v>
      </x:c>
      <x:c r="G8" s="13" t="str">
        <x:v>国家统计局规模以上工业企业</x:v>
      </x:c>
      <x:c r="H8" s="16" t="n">
        <x:f>IFERROR(1-E8/D8,"")</x:f>
        <x:v>0.410545204310067</x:v>
      </x:c>
      <x:c r="I8" s="13" t="str">
        <x:v>营业收入与营业成本均为亿元；行业总体，不是上市公司中位数</x:v>
      </x:c>
      <x:c r="J8" s="13" t="str">
        <x:v>https://www.stats.gov.cn/zwfwck/sjfb/202601/t20260127_1962382.html</x:v>
      </x:c>
    </x:row>
    <x:row r="9" ht="30" customHeight="1">
      <x:c r="A9" s="13" t="str">
        <x:v>采矿业</x:v>
      </x:c>
      <x:c r="B9" s="13" t="str">
        <x:v>黑色矿</x:v>
      </x:c>
      <x:c r="C9" s="13" t="str">
        <x:v>黑色金属矿采选</x:v>
      </x:c>
      <x:c r="D9" s="13" t="n">
        <x:v>4572.9</x:v>
      </x:c>
      <x:c r="E9" s="13" t="n">
        <x:v>3661.6</x:v>
      </x:c>
      <x:c r="F9" s="13" t="n">
        <x:v>2025</x:v>
      </x:c>
      <x:c r="G9" s="13" t="str">
        <x:v>国家统计局规模以上工业企业</x:v>
      </x:c>
      <x:c r="H9" s="16" t="n">
        <x:f>IFERROR(1-E9/D9,"")</x:f>
        <x:v>0.1992827308710009</x:v>
      </x:c>
      <x:c r="I9" s="13" t="str">
        <x:v>营业收入与营业成本均为亿元；行业总体，不是上市公司中位数</x:v>
      </x:c>
      <x:c r="J9" s="13" t="str">
        <x:v>https://www.stats.gov.cn/zwfwck/sjfb/202601/t20260127_1962382.html</x:v>
      </x:c>
    </x:row>
    <x:row r="10" ht="30" customHeight="1">
      <x:c r="A10" s="13" t="str">
        <x:v>采矿业</x:v>
      </x:c>
      <x:c r="B10" s="13" t="str">
        <x:v>有色矿</x:v>
      </x:c>
      <x:c r="C10" s="13" t="str">
        <x:v>有色金属矿采选</x:v>
      </x:c>
      <x:c r="D10" s="13" t="n">
        <x:v>4247.4</x:v>
      </x:c>
      <x:c r="E10" s="13" t="n">
        <x:v>2397.9</x:v>
      </x:c>
      <x:c r="F10" s="13" t="n">
        <x:v>2025</x:v>
      </x:c>
      <x:c r="G10" s="13" t="str">
        <x:v>国家统计局规模以上工业企业</x:v>
      </x:c>
      <x:c r="H10" s="16" t="n">
        <x:f>IFERROR(1-E10/D10,"")</x:f>
        <x:v>0.4354428591608983</x:v>
      </x:c>
      <x:c r="I10" s="13" t="str">
        <x:v>营业收入与营业成本均为亿元；行业总体，不是上市公司中位数</x:v>
      </x:c>
      <x:c r="J10" s="13" t="str">
        <x:v>https://www.stats.gov.cn/zwfwck/sjfb/202601/t20260127_1962382.html</x:v>
      </x:c>
    </x:row>
    <x:row r="11" ht="30" customHeight="1">
      <x:c r="A11" s="13" t="str">
        <x:v>采矿业</x:v>
      </x:c>
      <x:c r="B11" s="13" t="str">
        <x:v>非金属矿</x:v>
      </x:c>
      <x:c r="C11" s="13" t="str">
        <x:v>非金属矿采选</x:v>
      </x:c>
      <x:c r="D11" s="13" t="n">
        <x:v>3476.8</x:v>
      </x:c>
      <x:c r="E11" s="13" t="n">
        <x:v>2471.6</x:v>
      </x:c>
      <x:c r="F11" s="13" t="n">
        <x:v>2025</x:v>
      </x:c>
      <x:c r="G11" s="13" t="str">
        <x:v>国家统计局规模以上工业企业</x:v>
      </x:c>
      <x:c r="H11" s="16" t="n">
        <x:f>IFERROR(1-E11/D11,"")</x:f>
        <x:v>0.2891164289001381</x:v>
      </x:c>
      <x:c r="I11" s="13" t="str">
        <x:v>营业收入与营业成本均为亿元；行业总体，不是上市公司中位数</x:v>
      </x:c>
      <x:c r="J11" s="13" t="str">
        <x:v>https://www.stats.gov.cn/zwfwck/sjfb/202601/t20260127_1962382.html</x:v>
      </x:c>
    </x:row>
    <x:row r="12" ht="30" customHeight="1">
      <x:c r="A12" s="13" t="str">
        <x:v>制造业</x:v>
      </x:c>
      <x:c r="B12" s="13" t="str">
        <x:v>食品</x:v>
      </x:c>
      <x:c r="C12" s="13" t="str">
        <x:v>农副食品加工</x:v>
      </x:c>
      <x:c r="D12" s="13" t="n">
        <x:v>53175.9</x:v>
      </x:c>
      <x:c r="E12" s="13" t="n">
        <x:v>49101.8</x:v>
      </x:c>
      <x:c r="F12" s="13" t="n">
        <x:v>2025</x:v>
      </x:c>
      <x:c r="G12" s="13" t="str">
        <x:v>国家统计局规模以上工业企业</x:v>
      </x:c>
      <x:c r="H12" s="16" t="n">
        <x:f>IFERROR(1-E12/D12,"")</x:f>
        <x:v>0.07661553448084557</x:v>
      </x:c>
      <x:c r="I12" s="13" t="str">
        <x:v>营业收入与营业成本均为亿元；行业总体，不是上市公司中位数</x:v>
      </x:c>
      <x:c r="J12" s="13" t="str">
        <x:v>https://www.stats.gov.cn/zwfwck/sjfb/202601/t20260127_1962382.html</x:v>
      </x:c>
    </x:row>
    <x:row r="13" ht="30" customHeight="1">
      <x:c r="A13" s="13" t="str">
        <x:v>制造业</x:v>
      </x:c>
      <x:c r="B13" s="13" t="str">
        <x:v>食品</x:v>
      </x:c>
      <x:c r="C13" s="13" t="str">
        <x:v>食品制造</x:v>
      </x:c>
      <x:c r="D13" s="13" t="n">
        <x:v>21915.6</x:v>
      </x:c>
      <x:c r="E13" s="13" t="n">
        <x:v>17220.3</x:v>
      </x:c>
      <x:c r="F13" s="13" t="n">
        <x:v>2025</x:v>
      </x:c>
      <x:c r="G13" s="13" t="str">
        <x:v>国家统计局规模以上工业企业</x:v>
      </x:c>
      <x:c r="H13" s="16" t="n">
        <x:f>IFERROR(1-E13/D13,"")</x:f>
        <x:v>0.21424464764825057</x:v>
      </x:c>
      <x:c r="I13" s="13" t="str">
        <x:v>营业收入与营业成本均为亿元；行业总体，不是上市公司中位数</x:v>
      </x:c>
      <x:c r="J13" s="13" t="str">
        <x:v>https://www.stats.gov.cn/zwfwck/sjfb/202601/t20260127_1962382.html</x:v>
      </x:c>
    </x:row>
    <x:row r="14" ht="30" customHeight="1">
      <x:c r="A14" s="13" t="str">
        <x:v>制造业</x:v>
      </x:c>
      <x:c r="B14" s="13" t="str">
        <x:v>饮料</x:v>
      </x:c>
      <x:c r="C14" s="13" t="str">
        <x:v>酒饮料精制茶</x:v>
      </x:c>
      <x:c r="D14" s="13" t="n">
        <x:v>14689.3</x:v>
      </x:c>
      <x:c r="E14" s="13" t="n">
        <x:v>9540.2</x:v>
      </x:c>
      <x:c r="F14" s="13" t="n">
        <x:v>2025</x:v>
      </x:c>
      <x:c r="G14" s="13" t="str">
        <x:v>国家统计局规模以上工业企业</x:v>
      </x:c>
      <x:c r="H14" s="16" t="n">
        <x:f>IFERROR(1-E14/D14,"")</x:f>
        <x:v>0.3505340622085463</x:v>
      </x:c>
      <x:c r="I14" s="13" t="str">
        <x:v>营业收入与营业成本均为亿元；行业总体，不是上市公司中位数</x:v>
      </x:c>
      <x:c r="J14" s="13" t="str">
        <x:v>https://www.stats.gov.cn/zwfwck/sjfb/202601/t20260127_1962382.html</x:v>
      </x:c>
    </x:row>
    <x:row r="15" ht="30" customHeight="1">
      <x:c r="A15" s="13" t="str">
        <x:v>制造业</x:v>
      </x:c>
      <x:c r="B15" s="13" t="str">
        <x:v>烟草</x:v>
      </x:c>
      <x:c r="C15" s="13" t="str">
        <x:v>烟草制品</x:v>
      </x:c>
      <x:c r="D15" s="13" t="n">
        <x:v>14127.9</x:v>
      </x:c>
      <x:c r="E15" s="13" t="n">
        <x:v>4160.8</x:v>
      </x:c>
      <x:c r="F15" s="13" t="n">
        <x:v>2025</x:v>
      </x:c>
      <x:c r="G15" s="13" t="str">
        <x:v>国家统计局规模以上工业企业</x:v>
      </x:c>
      <x:c r="H15" s="16" t="n">
        <x:f>IFERROR(1-E15/D15,"")</x:f>
        <x:v>0.705490554151714</x:v>
      </x:c>
      <x:c r="I15" s="13" t="str">
        <x:v>营业收入与营业成本均为亿元；行业总体，不是上市公司中位数</x:v>
      </x:c>
      <x:c r="J15" s="13" t="str">
        <x:v>https://www.stats.gov.cn/zwfwck/sjfb/202601/t20260127_1962382.html</x:v>
      </x:c>
    </x:row>
    <x:row r="16" ht="30" customHeight="1">
      <x:c r="A16" s="13" t="str">
        <x:v>制造业</x:v>
      </x:c>
      <x:c r="B16" s="13" t="str">
        <x:v>纺织</x:v>
      </x:c>
      <x:c r="C16" s="13" t="str">
        <x:v>纺织业</x:v>
      </x:c>
      <x:c r="D16" s="13" t="n">
        <x:v>22322.6</x:v>
      </x:c>
      <x:c r="E16" s="13" t="n">
        <x:v>19748.1</x:v>
      </x:c>
      <x:c r="F16" s="13" t="n">
        <x:v>2025</x:v>
      </x:c>
      <x:c r="G16" s="13" t="str">
        <x:v>国家统计局规模以上工业企业</x:v>
      </x:c>
      <x:c r="H16" s="16" t="n">
        <x:f>IFERROR(1-E16/D16,"")</x:f>
        <x:v>0.11533154740039242</x:v>
      </x:c>
      <x:c r="I16" s="13" t="str">
        <x:v>营业收入与营业成本均为亿元；行业总体，不是上市公司中位数</x:v>
      </x:c>
      <x:c r="J16" s="13" t="str">
        <x:v>https://www.stats.gov.cn/zwfwck/sjfb/202601/t20260127_1962382.html</x:v>
      </x:c>
    </x:row>
    <x:row r="17" ht="30" customHeight="1">
      <x:c r="A17" s="13" t="str">
        <x:v>制造业</x:v>
      </x:c>
      <x:c r="B17" s="13" t="str">
        <x:v>服装</x:v>
      </x:c>
      <x:c r="C17" s="13" t="str">
        <x:v>纺织服装服饰</x:v>
      </x:c>
      <x:c r="D17" s="13" t="n">
        <x:v>11119.9</x:v>
      </x:c>
      <x:c r="E17" s="13" t="n">
        <x:v>9398.9</x:v>
      </x:c>
      <x:c r="F17" s="13" t="n">
        <x:v>2025</x:v>
      </x:c>
      <x:c r="G17" s="13" t="str">
        <x:v>国家统计局规模以上工业企业</x:v>
      </x:c>
      <x:c r="H17" s="16" t="n">
        <x:f>IFERROR(1-E17/D17,"")</x:f>
        <x:v>0.15476757884513348</x:v>
      </x:c>
      <x:c r="I17" s="13" t="str">
        <x:v>营业收入与营业成本均为亿元；行业总体，不是上市公司中位数</x:v>
      </x:c>
      <x:c r="J17" s="13" t="str">
        <x:v>https://www.stats.gov.cn/zwfwck/sjfb/202601/t20260127_1962382.html</x:v>
      </x:c>
    </x:row>
    <x:row r="18" ht="30" customHeight="1">
      <x:c r="A18" s="13" t="str">
        <x:v>制造业</x:v>
      </x:c>
      <x:c r="B18" s="13" t="str">
        <x:v>鞋革</x:v>
      </x:c>
      <x:c r="C18" s="13" t="str">
        <x:v>皮革毛皮制鞋</x:v>
      </x:c>
      <x:c r="D18" s="13" t="n">
        <x:v>7310.8</x:v>
      </x:c>
      <x:c r="E18" s="13" t="n">
        <x:v>6287.2</x:v>
      </x:c>
      <x:c r="F18" s="13" t="n">
        <x:v>2025</x:v>
      </x:c>
      <x:c r="G18" s="13" t="str">
        <x:v>国家统计局规模以上工业企业</x:v>
      </x:c>
      <x:c r="H18" s="16" t="n">
        <x:f>IFERROR(1-E18/D18,"")</x:f>
        <x:v>0.14001203698637632</x:v>
      </x:c>
      <x:c r="I18" s="13" t="str">
        <x:v>营业收入与营业成本均为亿元；行业总体，不是上市公司中位数</x:v>
      </x:c>
      <x:c r="J18" s="13" t="str">
        <x:v>https://www.stats.gov.cn/zwfwck/sjfb/202601/t20260127_1962382.html</x:v>
      </x:c>
    </x:row>
    <x:row r="19" ht="30" customHeight="1">
      <x:c r="A19" s="13" t="str">
        <x:v>制造业</x:v>
      </x:c>
      <x:c r="B19" s="13" t="str">
        <x:v>木材</x:v>
      </x:c>
      <x:c r="C19" s="13" t="str">
        <x:v>木材加工</x:v>
      </x:c>
      <x:c r="D19" s="13" t="n">
        <x:v>7683.3</x:v>
      </x:c>
      <x:c r="E19" s="13" t="n">
        <x:v>6946.1</x:v>
      </x:c>
      <x:c r="F19" s="13" t="n">
        <x:v>2025</x:v>
      </x:c>
      <x:c r="G19" s="13" t="str">
        <x:v>国家统计局规模以上工业企业</x:v>
      </x:c>
      <x:c r="H19" s="16" t="n">
        <x:f>IFERROR(1-E19/D19,"")</x:f>
        <x:v>0.0959483555243189</x:v>
      </x:c>
      <x:c r="I19" s="13" t="str">
        <x:v>营业收入与营业成本均为亿元；行业总体，不是上市公司中位数</x:v>
      </x:c>
      <x:c r="J19" s="13" t="str">
        <x:v>https://www.stats.gov.cn/zwfwck/sjfb/202601/t20260127_1962382.html</x:v>
      </x:c>
    </x:row>
    <x:row r="20" ht="30" customHeight="1">
      <x:c r="A20" s="13" t="str">
        <x:v>制造业</x:v>
      </x:c>
      <x:c r="B20" s="13" t="str">
        <x:v>家具</x:v>
      </x:c>
      <x:c r="C20" s="13" t="str">
        <x:v>家具制造</x:v>
      </x:c>
      <x:c r="D20" s="13" t="n">
        <x:v>6125.1</x:v>
      </x:c>
      <x:c r="E20" s="13" t="n">
        <x:v>5042.9</x:v>
      </x:c>
      <x:c r="F20" s="13" t="n">
        <x:v>2025</x:v>
      </x:c>
      <x:c r="G20" s="13" t="str">
        <x:v>国家统计局规模以上工业企业</x:v>
      </x:c>
      <x:c r="H20" s="16" t="n">
        <x:f>IFERROR(1-E20/D20,"")</x:f>
        <x:v>0.17668282966808713</x:v>
      </x:c>
      <x:c r="I20" s="13" t="str">
        <x:v>营业收入与营业成本均为亿元；行业总体，不是上市公司中位数</x:v>
      </x:c>
      <x:c r="J20" s="13" t="str">
        <x:v>https://www.stats.gov.cn/zwfwck/sjfb/202601/t20260127_1962382.html</x:v>
      </x:c>
    </x:row>
    <x:row r="21" ht="30" customHeight="1">
      <x:c r="A21" s="13" t="str">
        <x:v>制造业</x:v>
      </x:c>
      <x:c r="B21" s="13" t="str">
        <x:v>造纸</x:v>
      </x:c>
      <x:c r="C21" s="13" t="str">
        <x:v>造纸和纸制品</x:v>
      </x:c>
      <x:c r="D21" s="13" t="n">
        <x:v>14186.7</x:v>
      </x:c>
      <x:c r="E21" s="13" t="n">
        <x:v>12463.7</x:v>
      </x:c>
      <x:c r="F21" s="13" t="n">
        <x:v>2025</x:v>
      </x:c>
      <x:c r="G21" s="13" t="str">
        <x:v>国家统计局规模以上工业企业</x:v>
      </x:c>
      <x:c r="H21" s="16" t="n">
        <x:f>IFERROR(1-E21/D21,"")</x:f>
        <x:v>0.12145178230314313</x:v>
      </x:c>
      <x:c r="I21" s="13" t="str">
        <x:v>营业收入与营业成本均为亿元；行业总体，不是上市公司中位数</x:v>
      </x:c>
      <x:c r="J21" s="13" t="str">
        <x:v>https://www.stats.gov.cn/zwfwck/sjfb/202601/t20260127_1962382.html</x:v>
      </x:c>
    </x:row>
    <x:row r="22" ht="30" customHeight="1">
      <x:c r="A22" s="13" t="str">
        <x:v>制造业</x:v>
      </x:c>
      <x:c r="B22" s="13" t="str">
        <x:v>印刷</x:v>
      </x:c>
      <x:c r="C22" s="13" t="str">
        <x:v>印刷和记录媒介</x:v>
      </x:c>
      <x:c r="D22" s="13" t="n">
        <x:v>6376.4</x:v>
      </x:c>
      <x:c r="E22" s="13" t="n">
        <x:v>5290.1</x:v>
      </x:c>
      <x:c r="F22" s="13" t="n">
        <x:v>2025</x:v>
      </x:c>
      <x:c r="G22" s="13" t="str">
        <x:v>国家统计局规模以上工业企业</x:v>
      </x:c>
      <x:c r="H22" s="16" t="n">
        <x:f>IFERROR(1-E22/D22,"")</x:f>
        <x:v>0.17036258703970886</x:v>
      </x:c>
      <x:c r="I22" s="13" t="str">
        <x:v>营业收入与营业成本均为亿元；行业总体，不是上市公司中位数</x:v>
      </x:c>
      <x:c r="J22" s="13" t="str">
        <x:v>https://www.stats.gov.cn/zwfwck/sjfb/202601/t20260127_1962382.html</x:v>
      </x:c>
    </x:row>
    <x:row r="23" ht="30" customHeight="1">
      <x:c r="A23" s="13" t="str">
        <x:v>制造业</x:v>
      </x:c>
      <x:c r="B23" s="13" t="str">
        <x:v>文体用品</x:v>
      </x:c>
      <x:c r="C23" s="13" t="str">
        <x:v>文教工美体育娱乐用品</x:v>
      </x:c>
      <x:c r="D23" s="13" t="n">
        <x:v>13813.6</x:v>
      </x:c>
      <x:c r="E23" s="13" t="n">
        <x:v>12165.7</x:v>
      </x:c>
      <x:c r="F23" s="13" t="n">
        <x:v>2025</x:v>
      </x:c>
      <x:c r="G23" s="13" t="str">
        <x:v>国家统计局规模以上工业企业</x:v>
      </x:c>
      <x:c r="H23" s="16" t="n">
        <x:f>IFERROR(1-E23/D23,"")</x:f>
        <x:v>0.11929547692129494</x:v>
      </x:c>
      <x:c r="I23" s="13" t="str">
        <x:v>营业收入与营业成本均为亿元；行业总体，不是上市公司中位数</x:v>
      </x:c>
      <x:c r="J23" s="13" t="str">
        <x:v>https://www.stats.gov.cn/zwfwck/sjfb/202601/t20260127_1962382.html</x:v>
      </x:c>
    </x:row>
    <x:row r="24" ht="30" customHeight="1">
      <x:c r="A24" s="13" t="str">
        <x:v>制造业</x:v>
      </x:c>
      <x:c r="B24" s="13" t="str">
        <x:v>炼化</x:v>
      </x:c>
      <x:c r="C24" s="13" t="str">
        <x:v>石油煤炭及其他燃料加工</x:v>
      </x:c>
      <x:c r="D24" s="13" t="n">
        <x:v>53281.1</x:v>
      </x:c>
      <x:c r="E24" s="13" t="n">
        <x:v>45527</x:v>
      </x:c>
      <x:c r="F24" s="13" t="n">
        <x:v>2025</x:v>
      </x:c>
      <x:c r="G24" s="13" t="str">
        <x:v>国家统计局规模以上工业企业</x:v>
      </x:c>
      <x:c r="H24" s="16" t="n">
        <x:f>IFERROR(1-E24/D24,"")</x:f>
        <x:v>0.14553190530976268</x:v>
      </x:c>
      <x:c r="I24" s="13" t="str">
        <x:v>营业收入与营业成本均为亿元；行业总体，不是上市公司中位数</x:v>
      </x:c>
      <x:c r="J24" s="13" t="str">
        <x:v>https://www.stats.gov.cn/zwfwck/sjfb/202601/t20260127_1962382.html</x:v>
      </x:c>
    </x:row>
    <x:row r="25" ht="30" customHeight="1">
      <x:c r="A25" s="13" t="str">
        <x:v>制造业</x:v>
      </x:c>
      <x:c r="B25" s="13" t="str">
        <x:v>化工</x:v>
      </x:c>
      <x:c r="C25" s="13" t="str">
        <x:v>化学原料和化学制品</x:v>
      </x:c>
      <x:c r="D25" s="13" t="n">
        <x:v>90343.8</x:v>
      </x:c>
      <x:c r="E25" s="13" t="n">
        <x:v>78246.4</x:v>
      </x:c>
      <x:c r="F25" s="13" t="n">
        <x:v>2025</x:v>
      </x:c>
      <x:c r="G25" s="13" t="str">
        <x:v>国家统计局规模以上工业企业</x:v>
      </x:c>
      <x:c r="H25" s="16" t="n">
        <x:f>IFERROR(1-E25/D25,"")</x:f>
        <x:v>0.13390404211467755</x:v>
      </x:c>
      <x:c r="I25" s="13" t="str">
        <x:v>营业收入与营业成本均为亿元；行业总体，不是上市公司中位数</x:v>
      </x:c>
      <x:c r="J25" s="13" t="str">
        <x:v>https://www.stats.gov.cn/zwfwck/sjfb/202601/t20260127_1962382.html</x:v>
      </x:c>
    </x:row>
    <x:row r="26" ht="30" customHeight="1">
      <x:c r="A26" s="13" t="str">
        <x:v>制造业</x:v>
      </x:c>
      <x:c r="B26" s="13" t="str">
        <x:v>医药</x:v>
      </x:c>
      <x:c r="C26" s="13" t="str">
        <x:v>医药制造</x:v>
      </x:c>
      <x:c r="D26" s="13" t="n">
        <x:v>24870</x:v>
      </x:c>
      <x:c r="E26" s="13" t="n">
        <x:v>14362.4</x:v>
      </x:c>
      <x:c r="F26" s="13" t="n">
        <x:v>2025</x:v>
      </x:c>
      <x:c r="G26" s="13" t="str">
        <x:v>国家统计局规模以上工业企业</x:v>
      </x:c>
      <x:c r="H26" s="16" t="n">
        <x:f>IFERROR(1-E26/D26,"")</x:f>
        <x:v>0.42250100522718137</x:v>
      </x:c>
      <x:c r="I26" s="13" t="str">
        <x:v>营业收入与营业成本均为亿元；行业总体，不是上市公司中位数</x:v>
      </x:c>
      <x:c r="J26" s="13" t="str">
        <x:v>https://www.stats.gov.cn/zwfwck/sjfb/202601/t20260127_1962382.html</x:v>
      </x:c>
    </x:row>
    <x:row r="27" ht="30" customHeight="1">
      <x:c r="A27" s="13" t="str">
        <x:v>制造业</x:v>
      </x:c>
      <x:c r="B27" s="13" t="str">
        <x:v>化纤</x:v>
      </x:c>
      <x:c r="C27" s="13" t="str">
        <x:v>化学纤维制造</x:v>
      </x:c>
      <x:c r="D27" s="13" t="n">
        <x:v>10408.9</x:v>
      </x:c>
      <x:c r="E27" s="13" t="n">
        <x:v>9518.9</x:v>
      </x:c>
      <x:c r="F27" s="13" t="n">
        <x:v>2025</x:v>
      </x:c>
      <x:c r="G27" s="13" t="str">
        <x:v>国家统计局规模以上工业企业</x:v>
      </x:c>
      <x:c r="H27" s="16" t="n">
        <x:f>IFERROR(1-E27/D27,"")</x:f>
        <x:v>0.08550375159719081</x:v>
      </x:c>
      <x:c r="I27" s="13" t="str">
        <x:v>营业收入与营业成本均为亿元；行业总体，不是上市公司中位数</x:v>
      </x:c>
      <x:c r="J27" s="13" t="str">
        <x:v>https://www.stats.gov.cn/zwfwck/sjfb/202601/t20260127_1962382.html</x:v>
      </x:c>
    </x:row>
    <x:row r="28" ht="30" customHeight="1">
      <x:c r="A28" s="13" t="str">
        <x:v>制造业</x:v>
      </x:c>
      <x:c r="B28" s="13" t="str">
        <x:v>橡塑</x:v>
      </x:c>
      <x:c r="C28" s="13" t="str">
        <x:v>橡胶和塑料制品</x:v>
      </x:c>
      <x:c r="D28" s="13" t="n">
        <x:v>30200.8</x:v>
      </x:c>
      <x:c r="E28" s="13" t="n">
        <x:v>25419.1</x:v>
      </x:c>
      <x:c r="F28" s="13" t="n">
        <x:v>2025</x:v>
      </x:c>
      <x:c r="G28" s="13" t="str">
        <x:v>国家统计局规模以上工业企业</x:v>
      </x:c>
      <x:c r="H28" s="16" t="n">
        <x:f>IFERROR(1-E28/D28,"")</x:f>
        <x:v>0.15833024290747266</x:v>
      </x:c>
      <x:c r="I28" s="13" t="str">
        <x:v>营业收入与营业成本均为亿元；行业总体，不是上市公司中位数</x:v>
      </x:c>
      <x:c r="J28" s="13" t="str">
        <x:v>https://www.stats.gov.cn/zwfwck/sjfb/202601/t20260127_1962382.html</x:v>
      </x:c>
    </x:row>
    <x:row r="29" ht="30" customHeight="1">
      <x:c r="A29" s="13" t="str">
        <x:v>制造业</x:v>
      </x:c>
      <x:c r="B29" s="13" t="str">
        <x:v>建材</x:v>
      </x:c>
      <x:c r="C29" s="13" t="str">
        <x:v>非金属矿物制品</x:v>
      </x:c>
      <x:c r="D29" s="13" t="n">
        <x:v>46243.4</x:v>
      </x:c>
      <x:c r="E29" s="13" t="n">
        <x:v>39239.6</x:v>
      </x:c>
      <x:c r="F29" s="13" t="n">
        <x:v>2025</x:v>
      </x:c>
      <x:c r="G29" s="13" t="str">
        <x:v>国家统计局规模以上工业企业</x:v>
      </x:c>
      <x:c r="H29" s="16" t="n">
        <x:f>IFERROR(1-E29/D29,"")</x:f>
        <x:v>0.15145512656941318</x:v>
      </x:c>
      <x:c r="I29" s="13" t="str">
        <x:v>营业收入与营业成本均为亿元；行业总体，不是上市公司中位数</x:v>
      </x:c>
      <x:c r="J29" s="13" t="str">
        <x:v>https://www.stats.gov.cn/zwfwck/sjfb/202601/t20260127_1962382.html</x:v>
      </x:c>
    </x:row>
    <x:row r="30" ht="30" customHeight="1">
      <x:c r="A30" s="13" t="str">
        <x:v>制造业</x:v>
      </x:c>
      <x:c r="B30" s="13" t="str">
        <x:v>钢铁</x:v>
      </x:c>
      <x:c r="C30" s="13" t="str">
        <x:v>黑色金属冶炼压延</x:v>
      </x:c>
      <x:c r="D30" s="13" t="n">
        <x:v>77268.3</x:v>
      </x:c>
      <x:c r="E30" s="13" t="n">
        <x:v>72899</x:v>
      </x:c>
      <x:c r="F30" s="13" t="n">
        <x:v>2025</x:v>
      </x:c>
      <x:c r="G30" s="13" t="str">
        <x:v>国家统计局规模以上工业企业</x:v>
      </x:c>
      <x:c r="H30" s="16" t="n">
        <x:f>IFERROR(1-E30/D30,"")</x:f>
        <x:v>0.05654712217041147</x:v>
      </x:c>
      <x:c r="I30" s="13" t="str">
        <x:v>营业收入与营业成本均为亿元；行业总体，不是上市公司中位数</x:v>
      </x:c>
      <x:c r="J30" s="13" t="str">
        <x:v>https://www.stats.gov.cn/zwfwck/sjfb/202601/t20260127_1962382.html</x:v>
      </x:c>
    </x:row>
    <x:row r="31" ht="30" customHeight="1">
      <x:c r="A31" s="13" t="str">
        <x:v>制造业</x:v>
      </x:c>
      <x:c r="B31" s="13" t="str">
        <x:v>有色</x:v>
      </x:c>
      <x:c r="C31" s="13" t="str">
        <x:v>有色金属冶炼压延</x:v>
      </x:c>
      <x:c r="D31" s="13" t="n">
        <x:v>97733.9</x:v>
      </x:c>
      <x:c r="E31" s="13" t="n">
        <x:v>91263.5</x:v>
      </x:c>
      <x:c r="F31" s="13" t="n">
        <x:v>2025</x:v>
      </x:c>
      <x:c r="G31" s="13" t="str">
        <x:v>国家统计局规模以上工业企业</x:v>
      </x:c>
      <x:c r="H31" s="16" t="n">
        <x:f>IFERROR(1-E31/D31,"")</x:f>
        <x:v>0.0662042546138033</x:v>
      </x:c>
      <x:c r="I31" s="13" t="str">
        <x:v>营业收入与营业成本均为亿元；行业总体，不是上市公司中位数</x:v>
      </x:c>
      <x:c r="J31" s="13" t="str">
        <x:v>https://www.stats.gov.cn/zwfwck/sjfb/202601/t20260127_1962382.html</x:v>
      </x:c>
    </x:row>
    <x:row r="32" ht="30" customHeight="1">
      <x:c r="A32" s="13" t="str">
        <x:v>制造业</x:v>
      </x:c>
      <x:c r="B32" s="13" t="str">
        <x:v>金属制品</x:v>
      </x:c>
      <x:c r="C32" s="13" t="str">
        <x:v>金属制品</x:v>
      </x:c>
      <x:c r="D32" s="13" t="n">
        <x:v>46599.7</x:v>
      </x:c>
      <x:c r="E32" s="13" t="n">
        <x:v>40884.4</x:v>
      </x:c>
      <x:c r="F32" s="13" t="n">
        <x:v>2025</x:v>
      </x:c>
      <x:c r="G32" s="13" t="str">
        <x:v>国家统计局规模以上工业企业</x:v>
      </x:c>
      <x:c r="H32" s="16" t="n">
        <x:f>IFERROR(1-E32/D32,"")</x:f>
        <x:v>0.12264671231789037</x:v>
      </x:c>
      <x:c r="I32" s="13" t="str">
        <x:v>营业收入与营业成本均为亿元；行业总体，不是上市公司中位数</x:v>
      </x:c>
      <x:c r="J32" s="13" t="str">
        <x:v>https://www.stats.gov.cn/zwfwck/sjfb/202601/t20260127_1962382.html</x:v>
      </x:c>
    </x:row>
    <x:row r="33" ht="30" customHeight="1">
      <x:c r="A33" s="13" t="str">
        <x:v>制造业</x:v>
      </x:c>
      <x:c r="B33" s="13" t="str">
        <x:v>机械</x:v>
      </x:c>
      <x:c r="C33" s="13" t="str">
        <x:v>通用设备制造</x:v>
      </x:c>
      <x:c r="D33" s="13" t="n">
        <x:v>51487.9</x:v>
      </x:c>
      <x:c r="E33" s="13" t="n">
        <x:v>41614.3</x:v>
      </x:c>
      <x:c r="F33" s="13" t="n">
        <x:v>2025</x:v>
      </x:c>
      <x:c r="G33" s="13" t="str">
        <x:v>国家统计局规模以上工业企业</x:v>
      </x:c>
      <x:c r="H33" s="16" t="n">
        <x:f>IFERROR(1-E33/D33,"")</x:f>
        <x:v>0.19176544391983352</x:v>
      </x:c>
      <x:c r="I33" s="13" t="str">
        <x:v>营业收入与营业成本均为亿元；行业总体，不是上市公司中位数</x:v>
      </x:c>
      <x:c r="J33" s="13" t="str">
        <x:v>https://www.stats.gov.cn/zwfwck/sjfb/202601/t20260127_1962382.html</x:v>
      </x:c>
    </x:row>
    <x:row r="34" ht="30" customHeight="1">
      <x:c r="A34" s="13" t="str">
        <x:v>制造业</x:v>
      </x:c>
      <x:c r="B34" s="13" t="str">
        <x:v>机械</x:v>
      </x:c>
      <x:c r="C34" s="13" t="str">
        <x:v>专用设备制造</x:v>
      </x:c>
      <x:c r="D34" s="13" t="n">
        <x:v>39280.6</x:v>
      </x:c>
      <x:c r="E34" s="13" t="n">
        <x:v>30530.1</x:v>
      </x:c>
      <x:c r="F34" s="13" t="n">
        <x:v>2025</x:v>
      </x:c>
      <x:c r="G34" s="13" t="str">
        <x:v>国家统计局规模以上工业企业</x:v>
      </x:c>
      <x:c r="H34" s="16" t="n">
        <x:f>IFERROR(1-E34/D34,"")</x:f>
        <x:v>0.22276900047351622</x:v>
      </x:c>
      <x:c r="I34" s="13" t="str">
        <x:v>营业收入与营业成本均为亿元；行业总体，不是上市公司中位数</x:v>
      </x:c>
      <x:c r="J34" s="13" t="str">
        <x:v>https://www.stats.gov.cn/zwfwck/sjfb/202601/t20260127_1962382.html</x:v>
      </x:c>
    </x:row>
    <x:row r="35" ht="30" customHeight="1">
      <x:c r="A35" s="13" t="str">
        <x:v>制造业</x:v>
      </x:c>
      <x:c r="B35" s="13" t="str">
        <x:v>汽车</x:v>
      </x:c>
      <x:c r="C35" s="13" t="str">
        <x:v>汽车制造</x:v>
      </x:c>
      <x:c r="D35" s="13" t="n">
        <x:v>111795.6</x:v>
      </x:c>
      <x:c r="E35" s="13" t="n">
        <x:v>98497.9</x:v>
      </x:c>
      <x:c r="F35" s="13" t="n">
        <x:v>2025</x:v>
      </x:c>
      <x:c r="G35" s="13" t="str">
        <x:v>国家统计局规模以上工业企业</x:v>
      </x:c>
      <x:c r="H35" s="16" t="n">
        <x:f>IFERROR(1-E35/D35,"")</x:f>
        <x:v>0.11894654172436137</x:v>
      </x:c>
      <x:c r="I35" s="13" t="str">
        <x:v>营业收入与营业成本均为亿元；行业总体，不是上市公司中位数</x:v>
      </x:c>
      <x:c r="J35" s="13" t="str">
        <x:v>https://www.stats.gov.cn/zwfwck/sjfb/202601/t20260127_1962382.html</x:v>
      </x:c>
    </x:row>
    <x:row r="36" ht="30" customHeight="1">
      <x:c r="A36" s="13" t="str">
        <x:v>制造业</x:v>
      </x:c>
      <x:c r="B36" s="13" t="str">
        <x:v>运输设备</x:v>
      </x:c>
      <x:c r="C36" s="13" t="str">
        <x:v>铁路船舶航空航天运输设备</x:v>
      </x:c>
      <x:c r="D36" s="13" t="n">
        <x:v>17500.1</x:v>
      </x:c>
      <x:c r="E36" s="13" t="n">
        <x:v>14432</x:v>
      </x:c>
      <x:c r="F36" s="13" t="n">
        <x:v>2025</x:v>
      </x:c>
      <x:c r="G36" s="13" t="str">
        <x:v>国家统计局规模以上工业企业</x:v>
      </x:c>
      <x:c r="H36" s="16" t="n">
        <x:f>IFERROR(1-E36/D36,"")</x:f>
        <x:v>0.17531899817715324</x:v>
      </x:c>
      <x:c r="I36" s="13" t="str">
        <x:v>营业收入与营业成本均为亿元；行业总体，不是上市公司中位数</x:v>
      </x:c>
      <x:c r="J36" s="13" t="str">
        <x:v>https://www.stats.gov.cn/zwfwck/sjfb/202601/t20260127_1962382.html</x:v>
      </x:c>
    </x:row>
    <x:row r="37" ht="30" customHeight="1">
      <x:c r="A37" s="13" t="str">
        <x:v>制造业</x:v>
      </x:c>
      <x:c r="B37" s="13" t="str">
        <x:v>电气设备</x:v>
      </x:c>
      <x:c r="C37" s="13" t="str">
        <x:v>电气机械和器材</x:v>
      </x:c>
      <x:c r="D37" s="13" t="n">
        <x:v>117387.4</x:v>
      </x:c>
      <x:c r="E37" s="13" t="n">
        <x:v>100703.8</x:v>
      </x:c>
      <x:c r="F37" s="13" t="n">
        <x:v>2025</x:v>
      </x:c>
      <x:c r="G37" s="13" t="str">
        <x:v>国家统计局规模以上工业企业</x:v>
      </x:c>
      <x:c r="H37" s="16" t="n">
        <x:f>IFERROR(1-E37/D37,"")</x:f>
        <x:v>0.1421242825039143</x:v>
      </x:c>
      <x:c r="I37" s="13" t="str">
        <x:v>营业收入与营业成本均为亿元；行业总体，不是上市公司中位数</x:v>
      </x:c>
      <x:c r="J37" s="13" t="str">
        <x:v>https://www.stats.gov.cn/zwfwck/sjfb/202601/t20260127_1962382.html</x:v>
      </x:c>
    </x:row>
    <x:row r="38" ht="30" customHeight="1">
      <x:c r="A38" s="13" t="str">
        <x:v>制造业</x:v>
      </x:c>
      <x:c r="B38" s="13" t="str">
        <x:v>电子</x:v>
      </x:c>
      <x:c r="C38" s="13" t="str">
        <x:v>计算机通信和其他电子设备</x:v>
      </x:c>
      <x:c r="D38" s="13" t="n">
        <x:v>174051.6</x:v>
      </x:c>
      <x:c r="E38" s="13" t="n">
        <x:v>150973.8</x:v>
      </x:c>
      <x:c r="F38" s="13" t="n">
        <x:v>2025</x:v>
      </x:c>
      <x:c r="G38" s="13" t="str">
        <x:v>国家统计局规模以上工业企业</x:v>
      </x:c>
      <x:c r="H38" s="16" t="n">
        <x:f>IFERROR(1-E38/D38,"")</x:f>
        <x:v>0.13259171418131188</x:v>
      </x:c>
      <x:c r="I38" s="13" t="str">
        <x:v>营业收入与营业成本均为亿元；行业总体，不是上市公司中位数</x:v>
      </x:c>
      <x:c r="J38" s="13" t="str">
        <x:v>https://www.stats.gov.cn/zwfwck/sjfb/202601/t20260127_1962382.html</x:v>
      </x:c>
    </x:row>
    <x:row r="39" ht="30" customHeight="1">
      <x:c r="A39" s="13" t="str">
        <x:v>制造业</x:v>
      </x:c>
      <x:c r="B39" s="13" t="str">
        <x:v>仪器</x:v>
      </x:c>
      <x:c r="C39" s="13" t="str">
        <x:v>仪器仪表制造</x:v>
      </x:c>
      <x:c r="D39" s="13" t="n">
        <x:v>11329.4</x:v>
      </x:c>
      <x:c r="E39" s="13" t="n">
        <x:v>8362.5</x:v>
      </x:c>
      <x:c r="F39" s="13" t="n">
        <x:v>2025</x:v>
      </x:c>
      <x:c r="G39" s="13" t="str">
        <x:v>国家统计局规模以上工业企业</x:v>
      </x:c>
      <x:c r="H39" s="16" t="n">
        <x:f>IFERROR(1-E39/D39,"")</x:f>
        <x:v>0.2618761805567814</x:v>
      </x:c>
      <x:c r="I39" s="13" t="str">
        <x:v>营业收入与营业成本均为亿元；行业总体，不是上市公司中位数</x:v>
      </x:c>
      <x:c r="J39" s="13" t="str">
        <x:v>https://www.stats.gov.cn/zwfwck/sjfb/202601/t20260127_1962382.html</x:v>
      </x:c>
    </x:row>
    <x:row r="40" ht="30" customHeight="1">
      <x:c r="A40" s="13" t="str">
        <x:v>制造业</x:v>
      </x:c>
      <x:c r="B40" s="13" t="str">
        <x:v>其他</x:v>
      </x:c>
      <x:c r="C40" s="13" t="str">
        <x:v>其他制造</x:v>
      </x:c>
      <x:c r="D40" s="13" t="n">
        <x:v>2159.1</x:v>
      </x:c>
      <x:c r="E40" s="13" t="n">
        <x:v>1774.2</x:v>
      </x:c>
      <x:c r="F40" s="13" t="n">
        <x:v>2025</x:v>
      </x:c>
      <x:c r="G40" s="13" t="str">
        <x:v>国家统计局规模以上工业企业</x:v>
      </x:c>
      <x:c r="H40" s="16" t="n">
        <x:f>IFERROR(1-E40/D40,"")</x:f>
        <x:v>0.1782687230790606</x:v>
      </x:c>
      <x:c r="I40" s="13" t="str">
        <x:v>营业收入与营业成本均为亿元；行业总体，不是上市公司中位数</x:v>
      </x:c>
      <x:c r="J40" s="13" t="str">
        <x:v>https://www.stats.gov.cn/zwfwck/sjfb/202601/t20260127_1962382.html</x:v>
      </x:c>
    </x:row>
    <x:row r="41" ht="30" customHeight="1">
      <x:c r="A41" s="13" t="str">
        <x:v>环保</x:v>
      </x:c>
      <x:c r="B41" s="13" t="str">
        <x:v>资源利用</x:v>
      </x:c>
      <x:c r="C41" s="13" t="str">
        <x:v>废弃资源综合利用</x:v>
      </x:c>
      <x:c r="D41" s="13" t="n">
        <x:v>13085.4</x:v>
      </x:c>
      <x:c r="E41" s="13" t="n">
        <x:v>12409.8</x:v>
      </x:c>
      <x:c r="F41" s="13" t="n">
        <x:v>2025</x:v>
      </x:c>
      <x:c r="G41" s="13" t="str">
        <x:v>国家统计局规模以上工业企业</x:v>
      </x:c>
      <x:c r="H41" s="16" t="n">
        <x:f>IFERROR(1-E41/D41,"")</x:f>
        <x:v>0.05163006098399747</x:v>
      </x:c>
      <x:c r="I41" s="13" t="str">
        <x:v>营业收入与营业成本均为亿元；行业总体，不是上市公司中位数</x:v>
      </x:c>
      <x:c r="J41" s="13" t="str">
        <x:v>https://www.stats.gov.cn/zwfwck/sjfb/202601/t20260127_1962382.html</x:v>
      </x:c>
    </x:row>
    <x:row r="42" ht="30" customHeight="1">
      <x:c r="A42" s="13" t="str">
        <x:v>服务制造</x:v>
      </x:c>
      <x:c r="B42" s="13" t="str">
        <x:v>维修</x:v>
      </x:c>
      <x:c r="C42" s="13" t="str">
        <x:v>金属制品机械设备修理</x:v>
      </x:c>
      <x:c r="D42" s="13" t="n">
        <x:v>2821.7</x:v>
      </x:c>
      <x:c r="E42" s="13" t="n">
        <x:v>2386.5</x:v>
      </x:c>
      <x:c r="F42" s="13" t="n">
        <x:v>2025</x:v>
      </x:c>
      <x:c r="G42" s="13" t="str">
        <x:v>国家统计局规模以上工业企业</x:v>
      </x:c>
      <x:c r="H42" s="16" t="n">
        <x:f>IFERROR(1-E42/D42,"")</x:f>
        <x:v>0.15423326363539702</x:v>
      </x:c>
      <x:c r="I42" s="13" t="str">
        <x:v>营业收入与营业成本均为亿元；行业总体，不是上市公司中位数</x:v>
      </x:c>
      <x:c r="J42" s="13" t="str">
        <x:v>https://www.stats.gov.cn/zwfwck/sjfb/202601/t20260127_1962382.html</x:v>
      </x:c>
    </x:row>
    <x:row r="43" ht="30" customHeight="1">
      <x:c r="A43" s="13" t="str">
        <x:v>公用事业</x:v>
      </x:c>
      <x:c r="B43" s="13" t="str">
        <x:v>电力热力</x:v>
      </x:c>
      <x:c r="C43" s="13" t="str">
        <x:v>电力热力生产供应</x:v>
      </x:c>
      <x:c r="D43" s="13" t="n">
        <x:v>101564.3</x:v>
      </x:c>
      <x:c r="E43" s="13" t="n">
        <x:v>90267.9</x:v>
      </x:c>
      <x:c r="F43" s="13" t="n">
        <x:v>2025</x:v>
      </x:c>
      <x:c r="G43" s="13" t="str">
        <x:v>国家统计局规模以上工业企业</x:v>
      </x:c>
      <x:c r="H43" s="16" t="n">
        <x:f>IFERROR(1-E43/D43,"")</x:f>
        <x:v>0.1112241210740389</x:v>
      </x:c>
      <x:c r="I43" s="13" t="str">
        <x:v>营业收入与营业成本均为亿元；行业总体，不是上市公司中位数</x:v>
      </x:c>
      <x:c r="J43" s="13" t="str">
        <x:v>https://www.stats.gov.cn/zwfwck/sjfb/202601/t20260127_1962382.html</x:v>
      </x:c>
    </x:row>
    <x:row r="44" ht="30" customHeight="1">
      <x:c r="A44" s="13" t="str">
        <x:v>公用事业</x:v>
      </x:c>
      <x:c r="B44" s="13" t="str">
        <x:v>燃气</x:v>
      </x:c>
      <x:c r="C44" s="13" t="str">
        <x:v>燃气生产供应</x:v>
      </x:c>
      <x:c r="D44" s="13" t="n">
        <x:v>22316.3</x:v>
      </x:c>
      <x:c r="E44" s="13" t="n">
        <x:v>20786.8</x:v>
      </x:c>
      <x:c r="F44" s="13" t="n">
        <x:v>2025</x:v>
      </x:c>
      <x:c r="G44" s="13" t="str">
        <x:v>国家统计局规模以上工业企业</x:v>
      </x:c>
      <x:c r="H44" s="16" t="n">
        <x:f>IFERROR(1-E44/D44,"")</x:f>
        <x:v>0.06853734714087911</x:v>
      </x:c>
      <x:c r="I44" s="13" t="str">
        <x:v>营业收入与营业成本均为亿元；行业总体，不是上市公司中位数</x:v>
      </x:c>
      <x:c r="J44" s="13" t="str">
        <x:v>https://www.stats.gov.cn/zwfwck/sjfb/202601/t20260127_1962382.html</x:v>
      </x:c>
    </x:row>
    <x:row r="45" ht="30" customHeight="1">
      <x:c r="A45" s="14" t="str">
        <x:v>公用事业</x:v>
      </x:c>
      <x:c r="B45" s="14" t="str">
        <x:v>水务</x:v>
      </x:c>
      <x:c r="C45" s="14" t="str">
        <x:v>水生产供应</x:v>
      </x:c>
      <x:c r="D45" s="14" t="n">
        <x:v>4943.7</x:v>
      </x:c>
      <x:c r="E45" s="14" t="n">
        <x:v>3618.2</x:v>
      </x:c>
      <x:c r="F45" s="14" t="n">
        <x:v>2025</x:v>
      </x:c>
      <x:c r="G45" s="14" t="str">
        <x:v>国家统计局规模以上工业企业</x:v>
      </x:c>
      <x:c r="H45" s="17" t="n">
        <x:f>IFERROR(1-E45/D45,"")</x:f>
        <x:v>0.26811902016708133</x:v>
      </x:c>
      <x:c r="I45" s="14" t="str">
        <x:v>营业收入与营业成本均为亿元；行业总体，不是上市公司中位数</x:v>
      </x:c>
      <x:c r="J45" s="14" t="str">
        <x:v>https://www.stats.gov.cn/zwfwck/sjfb/202601/t20260127_1962382.html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4e02776f321b4c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8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56" hidden="0" customWidth="1"/>
  </x:cols>
  <x:sheetData>
    <x:row r="2" ht="26" customHeight="1">
      <x:c r="A2" s="1" t="str">
        <x:v>上市公司Peer Group样本模板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 ht="24" customHeight="1">
      <x:c r="A3" s="3" t="str">
        <x:v>只有取得交易所披露的定期报告并完成口径复核后，才能填入统计区间。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 ht="32" customHeight="1">
      <x:c r="A6" s="8" t="str">
        <x:v>一级行业</x:v>
      </x:c>
      <x:c r="B6" s="8" t="str">
        <x:v>二级行业</x:v>
      </x:c>
      <x:c r="C6" s="8" t="str">
        <x:v>三级行业</x:v>
      </x:c>
      <x:c r="D6" s="8" t="str">
        <x:v>样本状态</x:v>
      </x:c>
      <x:c r="E6" s="8" t="str">
        <x:v>数据期间</x:v>
      </x:c>
      <x:c r="F6" s="8" t="str">
        <x:v>样本数</x:v>
      </x:c>
      <x:c r="G6" s="8" t="str">
        <x:v>低位</x:v>
      </x:c>
      <x:c r="H6" s="8" t="str">
        <x:v>中位数</x:v>
      </x:c>
      <x:c r="I6" s="8" t="str">
        <x:v>高位</x:v>
      </x:c>
      <x:c r="J6" s="8" t="str">
        <x:v>说明</x:v>
      </x:c>
    </x:row>
    <x:row r="7" ht="30" customHeight="1">
      <x:c r="A7" s="12" t="str">
        <x:v>软件</x:v>
      </x:c>
      <x:c r="B7" s="12" t="str">
        <x:v>SaaS</x:v>
      </x:c>
      <x:c r="C7" s="12" t="str">
        <x:v>订阅软件</x:v>
      </x:c>
      <x:c r="D7" s="12" t="str">
        <x:v>待采集</x:v>
      </x:c>
      <x:c r="E7" s="12" t="str">
        <x:v>2025年度/2026H1 TTM</x:v>
      </x:c>
      <x:c r="F7" s="12" t="str"/>
      <x:c r="G7" s="12" t="str"/>
      <x:c r="H7" s="12" t="str"/>
      <x:c r="I7" s="12" t="str"/>
      <x:c r="J7" s="12" t="str">
        <x:v>必须从年报逐家公司取收入和营业成本</x:v>
      </x:c>
    </x:row>
    <x:row r="8" ht="30" customHeight="1">
      <x:c r="A8" s="13" t="str">
        <x:v>科技硬件</x:v>
      </x:c>
      <x:c r="B8" s="13" t="str">
        <x:v>3D打印</x:v>
      </x:c>
      <x:c r="C8" s="13" t="str">
        <x:v>设备与耗材</x:v>
      </x:c>
      <x:c r="D8" s="13" t="str">
        <x:v>待采集</x:v>
      </x:c>
      <x:c r="E8" s="13" t="str">
        <x:v>2025年度/2026H1 TTM</x:v>
      </x:c>
      <x:c r="F8" s="13" t="str"/>
      <x:c r="G8" s="13" t="str"/>
      <x:c r="H8" s="13" t="str"/>
      <x:c r="I8" s="13" t="str"/>
      <x:c r="J8" s="13" t="str">
        <x:v>需区分硬件和耗材收入成本</x:v>
      </x:c>
    </x:row>
    <x:row r="9" ht="30" customHeight="1">
      <x:c r="A9" s="13" t="str">
        <x:v>半导体</x:v>
      </x:c>
      <x:c r="B9" s="13" t="str">
        <x:v>芯片设计</x:v>
      </x:c>
      <x:c r="C9" s="13" t="str">
        <x:v>Fabless</x:v>
      </x:c>
      <x:c r="D9" s="13" t="str">
        <x:v>待采集</x:v>
      </x:c>
      <x:c r="E9" s="13" t="str">
        <x:v>2025年度/2026H1 TTM</x:v>
      </x:c>
      <x:c r="F9" s="13" t="str"/>
      <x:c r="G9" s="13" t="str"/>
      <x:c r="H9" s="13" t="str"/>
      <x:c r="I9" s="13" t="str"/>
      <x:c r="J9" s="13" t="str">
        <x:v>剔除业务差异过大的综合集团</x:v>
      </x:c>
    </x:row>
    <x:row r="10" ht="30" customHeight="1">
      <x:c r="A10" s="13" t="str">
        <x:v>半导体</x:v>
      </x:c>
      <x:c r="B10" s="13" t="str">
        <x:v>晶圆制造</x:v>
      </x:c>
      <x:c r="C10" s="13" t="str">
        <x:v>Foundry</x:v>
      </x:c>
      <x:c r="D10" s="13" t="str">
        <x:v>待采集</x:v>
      </x:c>
      <x:c r="E10" s="13" t="str">
        <x:v>2025年度/2026H1 TTM</x:v>
      </x:c>
      <x:c r="F10" s="13" t="str"/>
      <x:c r="G10" s="13" t="str"/>
      <x:c r="H10" s="13" t="str"/>
      <x:c r="I10" s="13" t="str"/>
      <x:c r="J10" s="13" t="str">
        <x:v>关注产能利用率与折旧</x:v>
      </x:c>
    </x:row>
    <x:row r="11" ht="30" customHeight="1">
      <x:c r="A11" s="13" t="str">
        <x:v>金融</x:v>
      </x:c>
      <x:c r="B11" s="13" t="str">
        <x:v>银行</x:v>
      </x:c>
      <x:c r="C11" s="13" t="str">
        <x:v>商业银行</x:v>
      </x:c>
      <x:c r="D11" s="13" t="str">
        <x:v>不适用</x:v>
      </x:c>
      <x:c r="E11" s="13" t="str"/>
      <x:c r="F11" s="13" t="str"/>
      <x:c r="G11" s="13" t="str"/>
      <x:c r="H11" s="13" t="str"/>
      <x:c r="I11" s="13" t="str"/>
      <x:c r="J11" s="13" t="str">
        <x:v>毛利率不适用，使用净息差、成本收入比</x:v>
      </x:c>
    </x:row>
    <x:row r="12" ht="30" customHeight="1">
      <x:c r="A12" s="13" t="str">
        <x:v>金融</x:v>
      </x:c>
      <x:c r="B12" s="13" t="str">
        <x:v>证券</x:v>
      </x:c>
      <x:c r="C12" s="13" t="str">
        <x:v>券商</x:v>
      </x:c>
      <x:c r="D12" s="13" t="str">
        <x:v>不适用</x:v>
      </x:c>
      <x:c r="E12" s="13" t="str"/>
      <x:c r="F12" s="13" t="str"/>
      <x:c r="G12" s="13" t="str"/>
      <x:c r="H12" s="13" t="str"/>
      <x:c r="I12" s="13" t="str"/>
      <x:c r="J12" s="13" t="str">
        <x:v>毛利率不适用，使用净收入结构和ROE</x:v>
      </x:c>
    </x:row>
    <x:row r="13" ht="30" customHeight="1">
      <x:c r="A13" s="14" t="str">
        <x:v>金融</x:v>
      </x:c>
      <x:c r="B13" s="14" t="str">
        <x:v>保险</x:v>
      </x:c>
      <x:c r="C13" s="14" t="str">
        <x:v>保险</x:v>
      </x:c>
      <x:c r="D13" s="14" t="str">
        <x:v>不适用</x:v>
      </x:c>
      <x:c r="E13" s="14" t="str"/>
      <x:c r="F13" s="14" t="str"/>
      <x:c r="G13" s="14" t="str"/>
      <x:c r="H13" s="14" t="str"/>
      <x:c r="I13" s="14" t="str"/>
      <x:c r="J13" s="14" t="str">
        <x:v>毛利率不适用，使用综合成本率和新业务价值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0879d8a899c541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54" hidden="0" customWidth="1"/>
    <x:col min="4" max="4" width="50" hidden="0" customWidth="1"/>
  </x:cols>
  <x:sheetData>
    <x:row r="2" ht="26" customHeight="1">
      <x:c r="A2" s="1" t="str">
        <x:v>主要行业毛利率驱动</x:v>
      </x:c>
      <x:c r="B2" s="18"/>
      <x:c r="C2" s="18"/>
      <x:c r="D2" s="18"/>
    </x:row>
    <x:row r="3" ht="24" customHeight="1">
      <x:c r="A3" s="3" t="str">
        <x:v>解释行业毛利差异的经营因素，不提供无来源的数值。</x:v>
      </x:c>
      <x:c r="B3" s="18"/>
      <x:c r="C3" s="18"/>
      <x:c r="D3" s="18"/>
    </x:row>
    <x:row r="4">
      <x:c r="A4" s="18"/>
      <x:c r="B4" s="18"/>
      <x:c r="C4" s="18"/>
      <x:c r="D4" s="18"/>
    </x:row>
    <x:row r="5">
      <x:c r="A5" s="18"/>
      <x:c r="B5" s="18"/>
      <x:c r="C5" s="18"/>
      <x:c r="D5" s="18"/>
    </x:row>
    <x:row r="6" ht="32" customHeight="1">
      <x:c r="A6" s="8" t="str">
        <x:v>行业</x:v>
      </x:c>
      <x:c r="B6" s="8" t="str">
        <x:v>通常驱动</x:v>
      </x:c>
      <x:c r="C6" s="8" t="str">
        <x:v>为什么可能高/低</x:v>
      </x:c>
      <x:c r="D6" s="8" t="str">
        <x:v>对标时必须控制</x:v>
      </x:c>
    </x:row>
    <x:row r="7" ht="30" customHeight="1">
      <x:c r="A7" s="12" t="str">
        <x:v>SaaS</x:v>
      </x:c>
      <x:c r="B7" s="12" t="str">
        <x:v>订阅、云成本、实施服务</x:v>
      </x:c>
      <x:c r="C7" s="12" t="str">
        <x:v>边际交付成本低，但实施和云资源会拉低毛利</x:v>
      </x:c>
      <x:c r="D7" s="12" t="str">
        <x:v>订阅占比、资本化、云部署方式</x:v>
      </x:c>
    </x:row>
    <x:row r="8" ht="30" customHeight="1">
      <x:c r="A8" s="13" t="str">
        <x:v>半导体设计</x:v>
      </x:c>
      <x:c r="B8" s="13" t="str">
        <x:v>产品组合、晶圆价格、存货减值</x:v>
      </x:c>
      <x:c r="C8" s="13" t="str">
        <x:v>技术与产品差异大，流片和代工成本重要</x:v>
      </x:c>
      <x:c r="D8" s="13" t="str">
        <x:v>成熟制程/先进制程、终端市场</x:v>
      </x:c>
    </x:row>
    <x:row r="9" ht="30" customHeight="1">
      <x:c r="A9" s="13" t="str">
        <x:v>晶圆制造</x:v>
      </x:c>
      <x:c r="B9" s="13" t="str">
        <x:v>利用率、折旧、良率</x:v>
      </x:c>
      <x:c r="C9" s="13" t="str">
        <x:v>固定成本高，利用率变化放大毛利波动</x:v>
      </x:c>
      <x:c r="D9" s="13" t="str">
        <x:v>制程、产能、政府补助口径</x:v>
      </x:c>
    </x:row>
    <x:row r="10" ht="30" customHeight="1">
      <x:c r="A10" s="13" t="str">
        <x:v>半导体设备</x:v>
      </x:c>
      <x:c r="B10" s="13" t="str">
        <x:v>设备ASP、零部件国产化、验收</x:v>
      </x:c>
      <x:c r="C10" s="13" t="str">
        <x:v>技术壁垒较高但定制和售后成本差异大</x:v>
      </x:c>
      <x:c r="D10" s="13" t="str">
        <x:v>产品类别、客户验收、服务收入</x:v>
      </x:c>
    </x:row>
    <x:row r="11" ht="30" customHeight="1">
      <x:c r="A11" s="13" t="str">
        <x:v>汽车整车</x:v>
      </x:c>
      <x:c r="B11" s="13" t="str">
        <x:v>价格战、车型Mix、电池成本</x:v>
      </x:c>
      <x:c r="C11" s="13" t="str">
        <x:v>材料占比高且竞争激烈</x:v>
      </x:c>
      <x:c r="D11" s="13" t="str">
        <x:v>新能源占比、直营/经销、积分</x:v>
      </x:c>
    </x:row>
    <x:row r="12" ht="30" customHeight="1">
      <x:c r="A12" s="13" t="str">
        <x:v>汽车零部件</x:v>
      </x:c>
      <x:c r="B12" s="13" t="str">
        <x:v>客户年降、原材料、产能</x:v>
      </x:c>
      <x:c r="C12" s="13" t="str">
        <x:v>客户集中且存在年降压力</x:v>
      </x:c>
      <x:c r="D12" s="13" t="str">
        <x:v>产品类别、客户结构、折旧</x:v>
      </x:c>
    </x:row>
    <x:row r="13" ht="30" customHeight="1">
      <x:c r="A13" s="13" t="str">
        <x:v>硬件+耗材</x:v>
      </x:c>
      <x:c r="B13" s="13" t="str">
        <x:v>装机量、硬件补贴、耗材复购</x:v>
      </x:c>
      <x:c r="C13" s="13" t="str">
        <x:v>可牺牲硬件毛利获取耗材生命周期利润</x:v>
      </x:c>
      <x:c r="D13" s="13" t="str">
        <x:v>装机量、活跃率、耗材兼容性</x:v>
      </x:c>
    </x:row>
    <x:row r="14" ht="30" customHeight="1">
      <x:c r="A14" s="13" t="str">
        <x:v>医药</x:v>
      </x:c>
      <x:c r="B14" s="13" t="str">
        <x:v>专利、集采、产品阶段</x:v>
      </x:c>
      <x:c r="C14" s="13" t="str">
        <x:v>技术和品牌可带来高毛利，集采会压缩价格</x:v>
      </x:c>
      <x:c r="D14" s="13" t="str">
        <x:v>药品类型、授权收入、研发会计</x:v>
      </x:c>
    </x:row>
    <x:row r="15" ht="30" customHeight="1">
      <x:c r="A15" s="13" t="str">
        <x:v>零售</x:v>
      </x:c>
      <x:c r="B15" s="13" t="str">
        <x:v>加价率、损耗、渠道</x:v>
      </x:c>
      <x:c r="C15" s="13" t="str">
        <x:v>商品成本占比高，周转和坪效关键</x:v>
      </x:c>
      <x:c r="D15" s="13" t="str">
        <x:v>直营/加盟、品类、租赁口径</x:v>
      </x:c>
    </x:row>
    <x:row r="16" ht="30" customHeight="1">
      <x:c r="A16" s="14" t="str">
        <x:v>公用事业</x:v>
      </x:c>
      <x:c r="B16" s="14" t="str">
        <x:v>燃料/购电成本、监管定价</x:v>
      </x:c>
      <x:c r="C16" s="14" t="str">
        <x:v>价格受监管，燃料波动影响显著</x:v>
      </x:c>
      <x:c r="D16" s="14" t="str">
        <x:v>电源结构、区域、补贴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c8c3fc59bbca46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52" hidden="0" customWidth="1"/>
    <x:col min="3" max="3" width="64" hidden="0" customWidth="1"/>
  </x:cols>
  <x:sheetData>
    <x:row r="2" ht="26" customHeight="1">
      <x:c r="A2" s="1" t="str">
        <x:v>行业数据库使用方法</x:v>
      </x:c>
      <x:c r="B2" s="18"/>
      <x:c r="C2" s="18"/>
    </x:row>
    <x:row r="3" ht="24" customHeight="1">
      <x:c r="A3" s="3" t="str">
        <x:v>按可比性筛选样本，不把行业平均数直接当作经营好坏结论。</x:v>
      </x:c>
      <x:c r="B3" s="18"/>
      <x:c r="C3" s="18"/>
    </x:row>
    <x:row r="4">
      <x:c r="A4" s="18"/>
      <x:c r="B4" s="18"/>
      <x:c r="C4" s="18"/>
    </x:row>
    <x:row r="5">
      <x:c r="A5" s="18"/>
      <x:c r="B5" s="18"/>
      <x:c r="C5" s="18"/>
    </x:row>
    <x:row r="6" ht="32" customHeight="1">
      <x:c r="A6" s="8" t="str">
        <x:v>步骤</x:v>
      </x:c>
      <x:c r="B6" s="8" t="str">
        <x:v>操作</x:v>
      </x:c>
      <x:c r="C6" s="8" t="str">
        <x:v>控制点</x:v>
      </x:c>
    </x:row>
    <x:row r="7" ht="30" customHeight="1">
      <x:c r="A7" s="12" t="str">
        <x:v>1</x:v>
      </x:c>
      <x:c r="B7" s="12" t="str">
        <x:v>先判断毛利率是否适用</x:v>
      </x:c>
      <x:c r="C7" s="12" t="str">
        <x:v>银行、保险、证券不使用毛利率比较</x:v>
      </x:c>
    </x:row>
    <x:row r="8" ht="30" customHeight="1">
      <x:c r="A8" s="13" t="str">
        <x:v>2</x:v>
      </x:c>
      <x:c r="B8" s="13" t="str">
        <x:v>按产业链位置和商业模式筛选Peer</x:v>
      </x:c>
      <x:c r="C8" s="13" t="str">
        <x:v>同一行业代码不等于可比</x:v>
      </x:c>
    </x:row>
    <x:row r="9" ht="30" customHeight="1">
      <x:c r="A9" s="13" t="str">
        <x:v>3</x:v>
      </x:c>
      <x:c r="B9" s="13" t="str">
        <x:v>统一收入和成本口径</x:v>
      </x:c>
      <x:c r="C9" s="13" t="str">
        <x:v>关注总额/净额、运输费、分部口径</x:v>
      </x:c>
    </x:row>
    <x:row r="10" ht="30" customHeight="1">
      <x:c r="A10" s="13" t="str">
        <x:v>4</x:v>
      </x:c>
      <x:c r="B10" s="13" t="str">
        <x:v>优先使用中位数和区间</x:v>
      </x:c>
      <x:c r="C10" s="13" t="str">
        <x:v>避免单一平均数受极端值影响</x:v>
      </x:c>
    </x:row>
    <x:row r="11" ht="30" customHeight="1">
      <x:c r="A11" s="13" t="str">
        <x:v>5</x:v>
      </x:c>
      <x:c r="B11" s="13" t="str">
        <x:v>解释差异</x:v>
      </x:c>
      <x:c r="C11" s="13" t="str">
        <x:v>产品、客户、渠道、地域、规模和会计政策</x:v>
      </x:c>
    </x:row>
    <x:row r="12" ht="30" customHeight="1">
      <x:c r="A12" s="13" t="str">
        <x:v>6</x:v>
      </x:c>
      <x:c r="B12" s="13" t="str">
        <x:v>保留来源</x:v>
      </x:c>
      <x:c r="C12" s="13" t="str">
        <x:v>公司、报告期、页码和官方链接</x:v>
      </x:c>
    </x:row>
    <x:row r="13" ht="30" customHeight="1">
      <x:c r="A13" s="14" t="str">
        <x:v>7</x:v>
      </x:c>
      <x:c r="B13" s="14" t="str">
        <x:v>更新TTM</x:v>
      </x:c>
      <x:c r="C13" s="14" t="str">
        <x:v>FY2025+2026H1-2025H1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83f1e505a99e4f0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24" hidden="0" customWidth="1"/>
    <x:col min="3" max="3" width="38" hidden="0" customWidth="1"/>
    <x:col min="4" max="4" width="80" hidden="0" customWidth="1"/>
  </x:cols>
  <x:sheetData>
    <x:row r="2" ht="26" customHeight="1">
      <x:c r="A2" s="1" t="str">
        <x:v>数据来源</x:v>
      </x:c>
      <x:c r="B2" s="18"/>
      <x:c r="C2" s="18"/>
      <x:c r="D2" s="18"/>
    </x:row>
    <x:row r="3" ht="24" customHeight="1">
      <x:c r="A3" s="3" t="str">
        <x:v>数值必须追溯至官方统计或交易所定期报告。</x:v>
      </x:c>
      <x:c r="B3" s="18"/>
      <x:c r="C3" s="18"/>
      <x:c r="D3" s="18"/>
    </x:row>
    <x:row r="4">
      <x:c r="A4" s="18"/>
      <x:c r="B4" s="18"/>
      <x:c r="C4" s="18"/>
      <x:c r="D4" s="18"/>
    </x:row>
    <x:row r="5">
      <x:c r="A5" s="18"/>
      <x:c r="B5" s="18"/>
      <x:c r="C5" s="18"/>
      <x:c r="D5" s="18"/>
    </x:row>
    <x:row r="6" ht="32" customHeight="1">
      <x:c r="A6" s="8" t="str">
        <x:v>来源</x:v>
      </x:c>
      <x:c r="B6" s="8" t="str">
        <x:v>期间</x:v>
      </x:c>
      <x:c r="C6" s="8" t="str">
        <x:v>用途</x:v>
      </x:c>
      <x:c r="D6" s="8" t="str">
        <x:v>链接</x:v>
      </x:c>
    </x:row>
    <x:row r="7" ht="30" customHeight="1">
      <x:c r="A7" s="12" t="str">
        <x:v>国家统计局</x:v>
      </x:c>
      <x:c r="B7" s="12" t="str">
        <x:v>2025年度</x:v>
      </x:c>
      <x:c r="C7" s="12" t="str">
        <x:v>规模以上工业企业收入成本</x:v>
      </x:c>
      <x:c r="D7" s="12" t="str">
        <x:v>https://www.stats.gov.cn/zwfwck/sjfb/202601/t20260127_1962382.html</x:v>
      </x:c>
    </x:row>
    <x:row r="8" ht="30" customHeight="1">
      <x:c r="A8" s="13" t="str">
        <x:v>上海证券交易所</x:v>
      </x:c>
      <x:c r="B8" s="13" t="str">
        <x:v>2025年报/2026半年报</x:v>
      </x:c>
      <x:c r="C8" s="13" t="str">
        <x:v>上市公司Peer</x:v>
      </x:c>
      <x:c r="D8" s="13" t="str">
        <x:v>https://www.sse.com.cn/disclosure/listedinfo/periodic/</x:v>
      </x:c>
    </x:row>
    <x:row r="9" ht="30" customHeight="1">
      <x:c r="A9" s="13" t="str">
        <x:v>深圳证券交易所</x:v>
      </x:c>
      <x:c r="B9" s="13" t="str">
        <x:v>2025年报/2026半年报</x:v>
      </x:c>
      <x:c r="C9" s="13" t="str">
        <x:v>上市公司Peer</x:v>
      </x:c>
      <x:c r="D9" s="13" t="str">
        <x:v>https://www.szse.cn/disclosure/listed/fixed/index.html</x:v>
      </x:c>
    </x:row>
    <x:row r="10" ht="30" customHeight="1">
      <x:c r="A10" s="14" t="str">
        <x:v>证监会</x:v>
      </x:c>
      <x:c r="B10" s="14" t="str">
        <x:v>现行行业分类和披露规则</x:v>
      </x:c>
      <x:c r="C10" s="14" t="str">
        <x:v>分类与口径</x:v>
      </x:c>
      <x:c r="D10" s="14" t="str">
        <x:v>https://www.csrc.gov.cn/csrc/c100028/c7520295/content.shtml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ec4163515be4420d"/>
  </x:tableParts>
</x:worksheet>
</file>