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cbfbe6514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-学习看板" sheetId="1" r:id="Rff5df3c5fb504e34"/>
    <x:sheet xmlns:r="http://schemas.openxmlformats.org/officeDocument/2006/relationships" name="01-能力地图" sheetId="2" r:id="R2230fd08b858439e"/>
    <x:sheet xmlns:r="http://schemas.openxmlformats.org/officeDocument/2006/relationships" name="02-20项实操训练" sheetId="3" r:id="R60bcb7df97ab457e"/>
    <x:sheet xmlns:r="http://schemas.openxmlformats.org/officeDocument/2006/relationships" name="03-训练步骤与证据" sheetId="4" r:id="Rcd8c080a731d4fde"/>
    <x:sheet xmlns:r="http://schemas.openxmlformats.org/officeDocument/2006/relationships" name="04-凭证科目影响" sheetId="5" r:id="R23188cbfbfd247b7"/>
    <x:sheet xmlns:r="http://schemas.openxmlformats.org/officeDocument/2006/relationships" name="05-模块对账矩阵" sheetId="6" r:id="R097dc3d417d54115"/>
    <x:sheet xmlns:r="http://schemas.openxmlformats.org/officeDocument/2006/relationships" name="06-月结SOP" sheetId="7" r:id="R00c2aa5e8d6241d8"/>
    <x:sheet xmlns:r="http://schemas.openxmlformats.org/officeDocument/2006/relationships" name="07-学习资源" sheetId="8" r:id="R7a07841c170f43c9"/>
    <x:sheet xmlns:r="http://schemas.openxmlformats.org/officeDocument/2006/relationships" name="08-个人错题复练" sheetId="9" r:id="Rb7ecb0b648704d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yyyy-mm-dd"/>
    <x:numFmt numFmtId="202" formatCode="#,##0.00;[Red](#,##0.00);-"/>
  </x:numFmts>
  <x:fonts count="6">
    <x:font>
      <x:sz val="11"/>
      <x:name val="Carlito"/>
    </x:font>
    <x:font>
      <x:b/>
      <x:sz val="16"/>
      <x:color rgb="FF000000"/>
      <x:name val="Microsoft YaHei"/>
    </x:font>
    <x:font>
      <x:i/>
      <x:sz val="9"/>
      <x:color rgb="FF666666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sz val="8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3" borderId="2" xfId="0" applyNumberFormat="1" applyFont="1" applyFill="1" applyBorder="1" applyAlignment="1">
      <x:alignment vertical="center" wrapText="1"/>
    </x:xf>
    <x:xf numFmtId="201" fontId="5" fillId="3" borderId="2" xfId="0" applyNumberFormat="1" applyFont="1" applyFill="1" applyBorder="1" applyAlignment="1">
      <x:alignment vertical="center" wrapText="1"/>
    </x:xf>
    <x:xf numFmtId="202" fontId="5" fillId="3" borderId="2" xfId="0" applyNumberFormat="1" applyFont="1" applyFill="1" applyBorder="1" applyAlignment="1">
      <x:alignment vertical="center" wrapText="1"/>
    </x:xf>
    <x:xf numFmtId="202" fontId="5" fillId="0" borderId="2" xfId="0" applyNumberFormat="1" applyFont="1" applyFill="1" applyBorder="1" applyAlignment="1">
      <x:alignment vertical="center" wrapText="1"/>
    </x:xf>
    <x:xf numFmtId="201" fontId="5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81aa4629e4c49" /><Relationship Type="http://schemas.openxmlformats.org/officeDocument/2006/relationships/theme" Target="/xl/theme/theme1.xml" Id="Re117d0b65fb64ddd" /><Relationship Type="http://schemas.openxmlformats.org/officeDocument/2006/relationships/sharedStrings" Target="/xl/sharedStrings.xml" Id="Reab194a08b714527" /><Relationship Type="http://schemas.openxmlformats.org/officeDocument/2006/relationships/worksheet" Target="/xl/worksheets/sheet1.xml" Id="Rff5df3c5fb504e34" /><Relationship Type="http://schemas.openxmlformats.org/officeDocument/2006/relationships/worksheet" Target="/xl/worksheets/sheet2.xml" Id="R2230fd08b858439e" /><Relationship Type="http://schemas.openxmlformats.org/officeDocument/2006/relationships/worksheet" Target="/xl/worksheets/sheet3.xml" Id="R60bcb7df97ab457e" /><Relationship Type="http://schemas.openxmlformats.org/officeDocument/2006/relationships/worksheet" Target="/xl/worksheets/sheet4.xml" Id="Rcd8c080a731d4fde" /><Relationship Type="http://schemas.openxmlformats.org/officeDocument/2006/relationships/worksheet" Target="/xl/worksheets/sheet5.xml" Id="R23188cbfbfd247b7" /><Relationship Type="http://schemas.openxmlformats.org/officeDocument/2006/relationships/worksheet" Target="/xl/worksheets/sheet6.xml" Id="R097dc3d417d54115" /><Relationship Type="http://schemas.openxmlformats.org/officeDocument/2006/relationships/worksheet" Target="/xl/worksheets/sheet7.xml" Id="R00c2aa5e8d6241d8" /><Relationship Type="http://schemas.openxmlformats.org/officeDocument/2006/relationships/worksheet" Target="/xl/worksheets/sheet8.xml" Id="R7a07841c170f43c9" /><Relationship Type="http://schemas.openxmlformats.org/officeDocument/2006/relationships/worksheet" Target="/xl/worksheets/sheet9.xml" Id="Rb7ecb0b648704dad" /></Relationships>
</file>

<file path=xl/tables/table1.xml><?xml version="1.0" encoding="utf-8"?>
<x:table xmlns:x="http://schemas.openxmlformats.org/spreadsheetml/2006/main" id="1" name="CapabilityMap" displayName="CapabilityMap" ref="A5:J20" headerRowCount="1" totalsRowCount="0" totalsRowShown="0">
  <x:tableColumns count="10">
    <x:tableColumn id="1" name="能力编号"/>
    <x:tableColumn id="2" name="模块"/>
    <x:tableColumn id="3" name="岗位能力"/>
    <x:tableColumn id="4" name="优先级"/>
    <x:tableColumn id="5" name="应理解业务"/>
    <x:tableColumn id="6" name="应掌握系统逻辑"/>
    <x:tableColumn id="7" name="关键报表"/>
    <x:tableColumn id="8" name="核心对账"/>
    <x:tableColumn id="9" name="面试表达"/>
    <x:tableColumn id="10" name="状态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RP20Cases" displayName="ERP20Cases" ref="A5:T25" headerRowCount="1" totalsRowCount="0" totalsRowShown="0">
  <x:tableColumns count="20">
    <x:tableColumn id="1" name="案例编号"/>
    <x:tableColumn id="2" name="案例名称"/>
    <x:tableColumn id="3" name="模块"/>
    <x:tableColumn id="4" name="业务背景"/>
    <x:tableColumn id="5" name="原始单据"/>
    <x:tableColumn id="6" name="系统操作"/>
    <x:tableColumn id="7" name="会计分录"/>
    <x:tableColumn id="8" name="系统结果"/>
    <x:tableColumn id="9" name="总账检查"/>
    <x:tableColumn id="10" name="常见错误"/>
    <x:tableColumn id="11" name="凭证触发点"/>
    <x:tableColumn id="12" name="子模块"/>
    <x:tableColumn id="13" name="GL影响"/>
    <x:tableColumn id="14" name="对账对象"/>
    <x:tableColumn id="15" name="是否影响月结"/>
    <x:tableColumn id="16" name="优先级"/>
    <x:tableColumn id="17" name="掌握状态"/>
    <x:tableColumn id="18" name="练习次数"/>
    <x:tableColumn id="19" name="最近练习日期"/>
    <x:tableColumn id="20" name="个人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rainingEvidence" displayName="TrainingEvidence" ref="A5:L145" headerRowCount="1" totalsRowCount="0" totalsRowShown="0">
  <x:tableColumns count="12">
    <x:tableColumn id="1" name="案例编号"/>
    <x:tableColumn id="2" name="步骤号"/>
    <x:tableColumn id="3" name="步骤类型"/>
    <x:tableColumn id="4" name="操作目的"/>
    <x:tableColumn id="5" name="输入数据或资料"/>
    <x:tableColumn id="6" name="系统动作"/>
    <x:tableColumn id="7" name="预期结果"/>
    <x:tableColumn id="8" name="实际结果"/>
    <x:tableColumn id="9" name="截图或证据位置"/>
    <x:tableColumn id="10" name="差异"/>
    <x:tableColumn id="11" name="处理记录"/>
    <x:tableColumn id="12" name="完成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JournalImpact" displayName="JournalImpact" ref="A5:L25" headerRowCount="1" totalsRowCount="0" totalsRowShown="0">
  <x:tableColumns count="12">
    <x:tableColumn id="1" name="案例编号"/>
    <x:tableColumn id="2" name="业务事件"/>
    <x:tableColumn id="3" name="来源单据"/>
    <x:tableColumn id="4" name="凭证来源"/>
    <x:tableColumn id="5" name="是否必然入账"/>
    <x:tableColumn id="6" name="示例分录"/>
    <x:tableColumn id="7" name="关键辅助核算"/>
    <x:tableColumn id="8" name="冲销方式"/>
    <x:tableColumn id="9" name="子模块"/>
    <x:tableColumn id="10" name="核对报表"/>
    <x:tableColumn id="11" name="判断提示"/>
    <x:tableColumn id="12" name="复核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ubledgerGLRecon" displayName="SubledgerGLRecon" ref="A5:L13" headerRowCount="1" totalsRowCount="0" totalsRowShown="0">
  <x:tableColumns count="12">
    <x:tableColumn id="1" name="子模块"/>
    <x:tableColumn id="2" name="GL范围"/>
    <x:tableColumn id="3" name="子模块报表"/>
    <x:tableColumn id="4" name="总账依据"/>
    <x:tableColumn id="5" name="统一口径"/>
    <x:tableColumn id="6" name="常见差异"/>
    <x:tableColumn id="7" name="排查路径"/>
    <x:tableColumn id="8" name="责任"/>
    <x:tableColumn id="9" name="本月子模块金额"/>
    <x:tableColumn id="10" name="本月GL金额"/>
    <x:tableColumn id="11" name="差异"/>
    <x:tableColumn id="12" name="复核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onthEndSOP" displayName="MonthEndSOP" ref="A5:M17" headerRowCount="1" totalsRowCount="0" totalsRowShown="0">
  <x:tableColumns count="13">
    <x:tableColumn id="1" name="序号"/>
    <x:tableColumn id="2" name="阶段"/>
    <x:tableColumn id="3" name="关键动作"/>
    <x:tableColumn id="4" name="计划时间"/>
    <x:tableColumn id="5" name="责任人"/>
    <x:tableColumn id="6" name="完成证据"/>
    <x:tableColumn id="7" name="主要风险"/>
    <x:tableColumn id="8" name="前置任务"/>
    <x:tableColumn id="9" name="是否阻断后续"/>
    <x:tableColumn id="10" name="执行状态"/>
    <x:tableColumn id="11" name="实际完成日"/>
    <x:tableColumn id="12" name="异常及处理"/>
    <x:tableColumn id="13" name="复核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arningSources" displayName="LearningSources" ref="A5:J15" headerRowCount="1" totalsRowCount="0" totalsRowShown="0">
  <x:tableColumns count="10">
    <x:tableColumn id="1" name="软件产品"/>
    <x:tableColumn id="2" name="资料名称"/>
    <x:tableColumn id="3" name="版本或时间"/>
    <x:tableColumn id="4" name="适合学习内容"/>
    <x:tableColumn id="5" name="官方链接"/>
    <x:tableColumn id="6" name="是否真实界面来源"/>
    <x:tableColumn id="7" name="版本过时风险"/>
    <x:tableColumn id="8" name="观看/阅读状态"/>
    <x:tableColumn id="9" name="个人笔记"/>
    <x:tableColumn id="10" name="复核日期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ersonalErrors" displayName="PersonalErrors" ref="A5:L45" headerRowCount="1" totalsRowCount="0" totalsRowShown="0">
  <x:tableColumns count="12">
    <x:tableColumn id="1" name="记录编号"/>
    <x:tableColumn id="2" name="日期"/>
    <x:tableColumn id="3" name="案例编号"/>
    <x:tableColumn id="4" name="错误现象"/>
    <x:tableColumn id="5" name="错误原因"/>
    <x:tableColumn id="6" name="正确逻辑"/>
    <x:tableColumn id="7" name="是否涉及会计判断"/>
    <x:tableColumn id="8" name="正确处理层级"/>
    <x:tableColumn id="9" name="复练日期"/>
    <x:tableColumn id="10" name="复练结果"/>
    <x:tableColumn id="11" name="证据位置"/>
    <x:tableColumn id="12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cd3036e0dcb44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6fdb8b839d48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cca2c7a13c432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8d8f55fda4435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2fc72d9d8b440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11013a8f1284c1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5874dcd6a34d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610e2bb9704bc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4" hidden="0" customWidth="1"/>
    <x:col min="3" max="3" width="12" hidden="0" customWidth="1"/>
    <x:col min="4" max="4" width="38" hidden="0" customWidth="1"/>
    <x:col min="5" max="5" width="3" hidden="0" customWidth="1"/>
    <x:col min="6" max="6" width="22" hidden="0" customWidth="1"/>
    <x:col min="7" max="7" width="11" hidden="0" customWidth="1"/>
    <x:col min="8" max="8" width="11" hidden="0" customWidth="1"/>
    <x:col min="9" max="9" width="12" hidden="0" customWidth="1"/>
    <x:col min="10" max="10" width="11" hidden="0" customWidth="1"/>
  </x:cols>
  <x:sheetData>
    <x:row r="1" ht="30" customHeight="1">
      <x:c r="A1" s="2" t="str">
        <x:v>ERP财务实操训练清单</x:v>
      </x:c>
    </x:row>
    <x:row r="2" ht="24" customHeight="1">
      <x:c r="A2" s="4" t="str">
        <x:v>面向总账会计和财务主管；案例公司：华创智联设备有限公司；版本日期：2026-09-10</x:v>
      </x:c>
    </x:row>
    <x:row r="5" ht="34" customHeight="1">
      <x:c r="A5" s="10" t="str">
        <x:v>学习指标</x:v>
      </x:c>
      <x:c r="B5" s="10" t="str">
        <x:v>当前值</x:v>
      </x:c>
      <x:c r="C5" s="10" t="str">
        <x:v>目标</x:v>
      </x:c>
      <x:c r="D5" s="10" t="str">
        <x:v>说明</x:v>
      </x:c>
      <x:c r="F5" s="10" t="str">
        <x:v>模块</x:v>
      </x:c>
      <x:c r="G5" s="10" t="str">
        <x:v>案例数</x:v>
      </x:c>
      <x:c r="H5" s="10" t="str">
        <x:v>已掌握</x:v>
      </x:c>
      <x:c r="I5" s="10" t="str">
        <x:v>完成率</x:v>
      </x:c>
      <x:c r="J5" s="10" t="str">
        <x:v>优先级</x:v>
      </x:c>
    </x:row>
    <x:row r="6">
      <x:c r="A6" s="14" t="str">
        <x:v>案例总数</x:v>
      </x:c>
      <x:c r="B6" s="14" t="n">
        <x:f>COUNTA('02-20项实操训练'!A6:A25)</x:f>
        <x:v>20</x:v>
      </x:c>
      <x:c r="C6" s="14" t="n">
        <x:v>20</x:v>
      </x:c>
      <x:c r="D6" s="14" t="str">
        <x:v>固定20个贯穿案例</x:v>
      </x:c>
      <x:c r="F6" s="14" t="str">
        <x:v>主数据与P2P</x:v>
      </x:c>
      <x:c r="G6" s="14" t="n">
        <x:f>COUNTIF('02-20项实操训练'!C$6:C$25,F6)</x:f>
        <x:v>1</x:v>
      </x:c>
      <x:c r="H6" s="14" t="n">
        <x:f>COUNTIFS('02-20项实操训练'!C$6:C$25,F6,'02-20项实操训练'!Q$6:Q$25,"已掌握")</x:f>
        <x:v>0</x:v>
      </x:c>
      <x:c r="I6" s="15" t="n">
        <x:f>IF(G6=0,0,H6/G6)</x:f>
        <x:v>0</x:v>
      </x:c>
      <x:c r="J6" s="14" t="str">
        <x:v>其次</x:v>
      </x:c>
    </x:row>
    <x:row r="7">
      <x:c r="A7" s="14" t="str">
        <x:v>已掌握案例</x:v>
      </x:c>
      <x:c r="B7" s="14" t="n">
        <x:f>COUNTIF('02-20项实操训练'!Q6:Q25,"已掌握")</x:f>
        <x:v>0</x:v>
      </x:c>
      <x:c r="C7" s="14" t="n">
        <x:v>20</x:v>
      </x:c>
      <x:c r="D7" s="14" t="str">
        <x:v>全部能够独立解释和检查</x:v>
      </x:c>
      <x:c r="F7" s="14" t="str">
        <x:v>采购</x:v>
      </x:c>
      <x:c r="G7" s="14" t="n">
        <x:f>COUNTIF('02-20项实操训练'!C$6:C$25,F7)</x:f>
        <x:v>1</x:v>
      </x:c>
      <x:c r="H7" s="14" t="n">
        <x:f>COUNTIFS('02-20项实操训练'!C$6:C$25,F7,'02-20项实操训练'!Q$6:Q$25,"已掌握")</x:f>
        <x:v>0</x:v>
      </x:c>
      <x:c r="I7" s="15" t="n">
        <x:f>IF(G7=0,0,H7/G7)</x:f>
        <x:v>0</x:v>
      </x:c>
      <x:c r="J7" s="14" t="str">
        <x:v>其次</x:v>
      </x:c>
    </x:row>
    <x:row r="8">
      <x:c r="A8" s="14" t="str">
        <x:v>学习中案例</x:v>
      </x:c>
      <x:c r="B8" s="14" t="n">
        <x:f>COUNTIF('02-20项实操训练'!Q6:Q25,"学习中")</x:f>
        <x:v>0</x:v>
      </x:c>
      <x:c r="C8" s="14" t="n">
        <x:v>0</x:v>
      </x:c>
      <x:c r="D8" s="14" t="str">
        <x:v>应逐步归零</x:v>
      </x:c>
      <x:c r="F8" s="14" t="str">
        <x:v>采购与库存</x:v>
      </x:c>
      <x:c r="G8" s="14" t="n">
        <x:f>COUNTIF('02-20项实操训练'!C$6:C$25,F8)</x:f>
        <x:v>1</x:v>
      </x:c>
      <x:c r="H8" s="14" t="n">
        <x:f>COUNTIFS('02-20项实操训练'!C$6:C$25,F8,'02-20项实操训练'!Q$6:Q$25,"已掌握")</x:f>
        <x:v>0</x:v>
      </x:c>
      <x:c r="I8" s="15" t="n">
        <x:f>IF(G8=0,0,H8/G8)</x:f>
        <x:v>0</x:v>
      </x:c>
      <x:c r="J8" s="14" t="str">
        <x:v>最高</x:v>
      </x:c>
    </x:row>
    <x:row r="9">
      <x:c r="A9" s="14" t="str">
        <x:v>待复练案例</x:v>
      </x:c>
      <x:c r="B9" s="14" t="n">
        <x:f>COUNTIF('02-20项实操训练'!Q6:Q25,"待复练")</x:f>
        <x:v>0</x:v>
      </x:c>
      <x:c r="C9" s="14" t="n">
        <x:v>0</x:v>
      </x:c>
      <x:c r="D9" s="14" t="str">
        <x:v>复练后再标已掌握</x:v>
      </x:c>
      <x:c r="F9" s="14" t="str">
        <x:v>AP与月结</x:v>
      </x:c>
      <x:c r="G9" s="14" t="n">
        <x:f>COUNTIF('02-20项实操训练'!C$6:C$25,F9)</x:f>
        <x:v>1</x:v>
      </x:c>
      <x:c r="H9" s="14" t="n">
        <x:f>COUNTIFS('02-20项实操训练'!C$6:C$25,F9,'02-20项实操训练'!Q$6:Q$25,"已掌握")</x:f>
        <x:v>0</x:v>
      </x:c>
      <x:c r="I9" s="15" t="n">
        <x:f>IF(G9=0,0,H9/G9)</x:f>
        <x:v>0</x:v>
      </x:c>
      <x:c r="J9" s="14" t="str">
        <x:v>最高</x:v>
      </x:c>
    </x:row>
    <x:row r="10">
      <x:c r="A10" s="14" t="str">
        <x:v>完成率</x:v>
      </x:c>
      <x:c r="B10" s="15" t="n">
        <x:f>IF(B6=0,0,B7/B6)</x:f>
        <x:v>0</x:v>
      </x:c>
      <x:c r="C10" s="15" t="n">
        <x:v>1</x:v>
      </x:c>
      <x:c r="D10" s="14" t="str">
        <x:v>已掌握/案例总数</x:v>
      </x:c>
      <x:c r="F10" s="14" t="str">
        <x:v>AP</x:v>
      </x:c>
      <x:c r="G10" s="14" t="n">
        <x:f>COUNTIF('02-20项实操训练'!C$6:C$25,F10)</x:f>
        <x:v>1</x:v>
      </x:c>
      <x:c r="H10" s="14" t="n">
        <x:f>COUNTIFS('02-20项实操训练'!C$6:C$25,F10,'02-20项实操训练'!Q$6:Q$25,"已掌握")</x:f>
        <x:v>0</x:v>
      </x:c>
      <x:c r="I10" s="15" t="n">
        <x:f>IF(G10=0,0,H10/G10)</x:f>
        <x:v>0</x:v>
      </x:c>
      <x:c r="J10" s="14" t="str">
        <x:v>最高</x:v>
      </x:c>
    </x:row>
    <x:row r="11">
      <x:c r="A11" s="14" t="str">
        <x:v>未开始高优先级</x:v>
      </x:c>
      <x:c r="B11" s="14" t="n">
        <x:f>COUNTIFS('02-20项实操训练'!P6:P25,"最高",'02-20项实操训练'!Q6:Q25,"未开始")</x:f>
        <x:v>12</x:v>
      </x:c>
      <x:c r="C11" s="14" t="n">
        <x:v>0</x:v>
      </x:c>
      <x:c r="D11" s="14" t="str">
        <x:v>优先处理GL、月结、AP、AR、成本和对账</x:v>
      </x:c>
      <x:c r="F11" s="14" t="str">
        <x:v>AP与成本</x:v>
      </x:c>
      <x:c r="G11" s="14" t="n">
        <x:f>COUNTIF('02-20项实操训练'!C$6:C$25,F11)</x:f>
        <x:v>1</x:v>
      </x:c>
      <x:c r="H11" s="14" t="n">
        <x:f>COUNTIFS('02-20项实操训练'!C$6:C$25,F11,'02-20项实操训练'!Q$6:Q$25,"已掌握")</x:f>
        <x:v>0</x:v>
      </x:c>
      <x:c r="I11" s="15" t="n">
        <x:f>IF(G11=0,0,H11/G11)</x:f>
        <x:v>0</x:v>
      </x:c>
      <x:c r="J11" s="14" t="str">
        <x:v>最高</x:v>
      </x:c>
    </x:row>
    <x:row r="12">
      <x:c r="F12" s="14" t="str">
        <x:v>资金与AP</x:v>
      </x:c>
      <x:c r="G12" s="14" t="n">
        <x:f>COUNTIF('02-20项实操训练'!C$6:C$25,F12)</x:f>
        <x:v>1</x:v>
      </x:c>
      <x:c r="H12" s="14" t="n">
        <x:f>COUNTIFS('02-20项实操训练'!C$6:C$25,F12,'02-20项实操训练'!Q$6:Q$25,"已掌握")</x:f>
        <x:v>0</x:v>
      </x:c>
      <x:c r="I12" s="15" t="n">
        <x:f>IF(G12=0,0,H12/G12)</x:f>
        <x:v>0</x:v>
      </x:c>
      <x:c r="J12" s="14" t="str">
        <x:v>最高</x:v>
      </x:c>
    </x:row>
    <x:row r="13">
      <x:c r="F13" s="14" t="str">
        <x:v>生产与库存</x:v>
      </x:c>
      <x:c r="G13" s="14" t="n">
        <x:f>COUNTIF('02-20项实操训练'!C$6:C$25,F13)</x:f>
        <x:v>3</x:v>
      </x:c>
      <x:c r="H13" s="14" t="n">
        <x:f>COUNTIFS('02-20项实操训练'!C$6:C$25,F13,'02-20项实操训练'!Q$6:Q$25,"已掌握")</x:f>
        <x:v>0</x:v>
      </x:c>
      <x:c r="I13" s="15" t="n">
        <x:f>IF(G13=0,0,H13/G13)</x:f>
        <x:v>0</x:v>
      </x:c>
      <x:c r="J13" s="14" t="str">
        <x:v>最高</x:v>
      </x:c>
    </x:row>
    <x:row r="14">
      <x:c r="F14" s="14" t="str">
        <x:v>薪酬与成本</x:v>
      </x:c>
      <x:c r="G14" s="14" t="n">
        <x:f>COUNTIF('02-20项实操训练'!C$6:C$25,F14)</x:f>
        <x:v>1</x:v>
      </x:c>
      <x:c r="H14" s="14" t="n">
        <x:f>COUNTIFS('02-20项实操训练'!C$6:C$25,F14,'02-20项实操训练'!Q$6:Q$25,"已掌握")</x:f>
        <x:v>0</x:v>
      </x:c>
      <x:c r="I14" s="15" t="n">
        <x:f>IF(G14=0,0,H14/G14)</x:f>
        <x:v>0</x:v>
      </x:c>
      <x:c r="J14" s="14" t="str">
        <x:v>最高</x:v>
      </x:c>
    </x:row>
    <x:row r="15">
      <x:c r="F15" s="14" t="str">
        <x:v>成本</x:v>
      </x:c>
      <x:c r="G15" s="14" t="n">
        <x:f>COUNTIF('02-20项实操训练'!C$6:C$25,F15)</x:f>
        <x:v>1</x:v>
      </x:c>
      <x:c r="H15" s="14" t="n">
        <x:f>COUNTIFS('02-20项实操训练'!C$6:C$25,F15,'02-20项实操训练'!Q$6:Q$25,"已掌握")</x:f>
        <x:v>0</x:v>
      </x:c>
      <x:c r="I15" s="15" t="n">
        <x:f>IF(G15=0,0,H15/G15)</x:f>
        <x:v>0</x:v>
      </x:c>
      <x:c r="J15" s="14" t="str">
        <x:v>最高</x:v>
      </x:c>
    </x:row>
    <x:row r="16">
      <x:c r="F16" s="14" t="str">
        <x:v>销售与AR</x:v>
      </x:c>
      <x:c r="G16" s="14" t="n">
        <x:f>COUNTIF('02-20项实操训练'!C$6:C$25,F16)</x:f>
        <x:v>1</x:v>
      </x:c>
      <x:c r="H16" s="14" t="n">
        <x:f>COUNTIFS('02-20项实操训练'!C$6:C$25,F16,'02-20项实操训练'!Q$6:Q$25,"已掌握")</x:f>
        <x:v>0</x:v>
      </x:c>
      <x:c r="I16" s="15" t="n">
        <x:f>IF(G16=0,0,H16/G16)</x:f>
        <x:v>0</x:v>
      </x:c>
      <x:c r="J16" s="14" t="str">
        <x:v>最高</x:v>
      </x:c>
    </x:row>
    <x:row r="17">
      <x:c r="F17" s="14" t="str">
        <x:v>销售、AR与税务</x:v>
      </x:c>
      <x:c r="G17" s="14" t="n">
        <x:f>COUNTIF('02-20项实操训练'!C$6:C$25,F17)</x:f>
        <x:v>1</x:v>
      </x:c>
      <x:c r="H17" s="14" t="n">
        <x:f>COUNTIFS('02-20项实操训练'!C$6:C$25,F17,'02-20项实操训练'!Q$6:Q$25,"已掌握")</x:f>
        <x:v>0</x:v>
      </x:c>
      <x:c r="I17" s="15" t="n">
        <x:f>IF(G17=0,0,H17/G17)</x:f>
        <x:v>0</x:v>
      </x:c>
      <x:c r="J17" s="14" t="str">
        <x:v>最高</x:v>
      </x:c>
    </x:row>
    <x:row r="18">
      <x:c r="F18" s="14" t="str">
        <x:v>资金与AR</x:v>
      </x:c>
      <x:c r="G18" s="14" t="n">
        <x:f>COUNTIF('02-20项实操训练'!C$6:C$25,F18)</x:f>
        <x:v>1</x:v>
      </x:c>
      <x:c r="H18" s="14" t="n">
        <x:f>COUNTIFS('02-20项实操训练'!C$6:C$25,F18,'02-20项实操训练'!Q$6:Q$25,"已掌握")</x:f>
        <x:v>0</x:v>
      </x:c>
      <x:c r="I18" s="15" t="n">
        <x:f>IF(G18=0,0,H18/G18)</x:f>
        <x:v>0</x:v>
      </x:c>
      <x:c r="J18" s="14" t="str">
        <x:v>最高</x:v>
      </x:c>
    </x:row>
    <x:row r="19">
      <x:c r="F19" s="14" t="str">
        <x:v>OA与费用</x:v>
      </x:c>
      <x:c r="G19" s="14" t="n">
        <x:f>COUNTIF('02-20项实操训练'!C$6:C$25,F19)</x:f>
        <x:v>1</x:v>
      </x:c>
      <x:c r="H19" s="14" t="n">
        <x:f>COUNTIFS('02-20项实操训练'!C$6:C$25,F19,'02-20项实操训练'!Q$6:Q$25,"已掌握")</x:f>
        <x:v>0</x:v>
      </x:c>
      <x:c r="I19" s="15" t="n">
        <x:f>IF(G19=0,0,H19/G19)</x:f>
        <x:v>0</x:v>
      </x:c>
      <x:c r="J19" s="14" t="str">
        <x:v>其次</x:v>
      </x:c>
    </x:row>
    <x:row r="20">
      <x:c r="F20" s="14" t="str">
        <x:v>FA</x:v>
      </x:c>
      <x:c r="G20" s="14" t="n">
        <x:f>COUNTIF('02-20项实操训练'!C$6:C$25,F20)</x:f>
        <x:v>1</x:v>
      </x:c>
      <x:c r="H20" s="14" t="n">
        <x:f>COUNTIFS('02-20项实操训练'!C$6:C$25,F20,'02-20项实操训练'!Q$6:Q$25,"已掌握")</x:f>
        <x:v>0</x:v>
      </x:c>
      <x:c r="I20" s="15" t="n">
        <x:f>IF(G20=0,0,H20/G20)</x:f>
        <x:v>0</x:v>
      </x:c>
      <x:c r="J20" s="14" t="str">
        <x:v>其次</x:v>
      </x:c>
    </x:row>
    <x:row r="21">
      <x:c r="F21" s="14" t="str">
        <x:v>GL与月结</x:v>
      </x:c>
      <x:c r="G21" s="14" t="n">
        <x:f>COUNTIF('02-20项实操训练'!C$6:C$25,F21)</x:f>
        <x:v>1</x:v>
      </x:c>
      <x:c r="H21" s="14" t="n">
        <x:f>COUNTIFS('02-20项实操训练'!C$6:C$25,F21,'02-20项实操训练'!Q$6:Q$25,"已掌握")</x:f>
        <x:v>0</x:v>
      </x:c>
      <x:c r="I21" s="15" t="n">
        <x:f>IF(G21=0,0,H21/G21)</x:f>
        <x:v>0</x:v>
      </x:c>
      <x:c r="J21" s="14" t="str">
        <x:v>最高</x:v>
      </x:c>
    </x:row>
    <x:row r="22">
      <x:c r="F22" s="14" t="str">
        <x:v>异常处理</x:v>
      </x:c>
      <x:c r="G22" s="14" t="n">
        <x:f>COUNTIF('02-20项实操训练'!C$6:C$25,F22)</x:f>
        <x:v>1</x:v>
      </x:c>
      <x:c r="H22" s="14" t="n">
        <x:f>COUNTIFS('02-20项实操训练'!C$6:C$25,F22,'02-20项实操训练'!Q$6:Q$25,"已掌握")</x:f>
        <x:v>0</x:v>
      </x:c>
      <x:c r="I22" s="15" t="n">
        <x:f>IF(G22=0,0,H22/G22)</x:f>
        <x:v>0</x:v>
      </x:c>
      <x:c r="J22" s="14" t="str">
        <x:v>其次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11" hidden="0" customWidth="1"/>
    <x:col min="5" max="5" width="30" hidden="0" customWidth="1"/>
    <x:col min="6" max="6" width="32" hidden="0" customWidth="1"/>
    <x:col min="7" max="7" width="26" hidden="0" customWidth="1"/>
    <x:col min="8" max="8" width="25" hidden="0" customWidth="1"/>
    <x:col min="9" max="9" width="34" hidden="0" customWidth="1"/>
    <x:col min="10" max="10" width="11" hidden="0" customWidth="1"/>
  </x:cols>
  <x:sheetData>
    <x:row r="1" ht="30" customHeight="1">
      <x:c r="A1" s="2" t="str">
        <x:v>总账会计和财务主管ERP能力地图</x:v>
      </x:c>
    </x:row>
    <x:row r="2" ht="24" customHeight="1">
      <x:c r="A2" s="4" t="str">
        <x:v>先理解业务事件和对账逻辑，再学习具体按钮</x:v>
      </x:c>
    </x:row>
    <x:row r="5" ht="34" customHeight="1">
      <x:c r="A5" s="10" t="str">
        <x:v>能力编号</x:v>
      </x:c>
      <x:c r="B5" s="10" t="str">
        <x:v>模块</x:v>
      </x:c>
      <x:c r="C5" s="10" t="str">
        <x:v>岗位能力</x:v>
      </x:c>
      <x:c r="D5" s="10" t="str">
        <x:v>优先级</x:v>
      </x:c>
      <x:c r="E5" s="10" t="str">
        <x:v>应理解业务</x:v>
      </x:c>
      <x:c r="F5" s="10" t="str">
        <x:v>应掌握系统逻辑</x:v>
      </x:c>
      <x:c r="G5" s="10" t="str">
        <x:v>关键报表</x:v>
      </x:c>
      <x:c r="H5" s="10" t="str">
        <x:v>核心对账</x:v>
      </x:c>
      <x:c r="I5" s="10" t="str">
        <x:v>面试表达</x:v>
      </x:c>
      <x:c r="J5" s="10" t="str">
        <x:v>状态</x:v>
      </x:c>
    </x:row>
    <x:row r="6">
      <x:c r="A6" s="14" t="str">
        <x:v>CAP-01</x:v>
      </x:c>
      <x:c r="B6" s="14" t="str">
        <x:v>GL</x:v>
      </x:c>
      <x:c r="C6" s="14" t="str">
        <x:v>识别四类凭证来源</x:v>
      </x:c>
      <x:c r="D6" s="14" t="str">
        <x:v>最高</x:v>
      </x:c>
      <x:c r="E6" s="14" t="str">
        <x:v>各模块何时形成会计影响</x:v>
      </x:c>
      <x:c r="F6" s="14" t="str">
        <x:v>自动、接口、手工、月结凭证</x:v>
      </x:c>
      <x:c r="G6" s="14" t="str">
        <x:v>凭证来源统计、科目明细</x:v>
      </x:c>
      <x:c r="H6" s="14" t="str">
        <x:v>来源系统控制总数与GL</x:v>
      </x:c>
      <x:c r="I6" s="14" t="str">
        <x:v>能从凭证追到源单和接口批次</x:v>
      </x:c>
      <x:c r="J6" s="14" t="str">
        <x:v>未开始</x:v>
      </x:c>
    </x:row>
    <x:row r="7">
      <x:c r="A7" s="14" t="str">
        <x:v>CAP-02</x:v>
      </x:c>
      <x:c r="B7" s="14" t="str">
        <x:v>月结</x:v>
      </x:c>
      <x:c r="C7" s="14" t="str">
        <x:v>组织模块关闭顺序</x:v>
      </x:c>
      <x:c r="D7" s="14" t="str">
        <x:v>最高</x:v>
      </x:c>
      <x:c r="E7" s="14" t="str">
        <x:v>库存生产成本等依赖</x:v>
      </x:c>
      <x:c r="F7" s="14" t="str">
        <x:v>期间、任务依赖和阻断条件</x:v>
      </x:c>
      <x:c r="G7" s="14" t="str">
        <x:v>月结状态表、未完成任务</x:v>
      </x:c>
      <x:c r="H7" s="14" t="str">
        <x:v>模块状态与GL期间</x:v>
      </x:c>
      <x:c r="I7" s="14" t="str">
        <x:v>能解释为什么成本未结不能最终关账</x:v>
      </x:c>
      <x:c r="J7" s="14" t="str">
        <x:v>未开始</x:v>
      </x:c>
    </x:row>
    <x:row r="8">
      <x:c r="A8" s="14" t="str">
        <x:v>CAP-03</x:v>
      </x:c>
      <x:c r="B8" s="14" t="str">
        <x:v>AP</x:v>
      </x:c>
      <x:c r="C8" s="14" t="str">
        <x:v>管理收货暂估和财务应付</x:v>
      </x:c>
      <x:c r="D8" s="14" t="str">
        <x:v>最高</x:v>
      </x:c>
      <x:c r="E8" s="14" t="str">
        <x:v>收货、发票、付款</x:v>
      </x:c>
      <x:c r="F8" s="14" t="str">
        <x:v>三单匹配、未清项和清账</x:v>
      </x:c>
      <x:c r="G8" s="14" t="str">
        <x:v>未开票收货、供应商余额</x:v>
      </x:c>
      <x:c r="H8" s="14" t="str">
        <x:v>AP与应付/暂估GL</x:v>
      </x:c>
      <x:c r="I8" s="14" t="str">
        <x:v>能说明暂估到票和价差</x:v>
      </x:c>
      <x:c r="J8" s="14" t="str">
        <x:v>未开始</x:v>
      </x:c>
    </x:row>
    <x:row r="9">
      <x:c r="A9" s="14" t="str">
        <x:v>CAP-04</x:v>
      </x:c>
      <x:c r="B9" s="14" t="str">
        <x:v>AR</x:v>
      </x:c>
      <x:c r="C9" s="14" t="str">
        <x:v>区分订单交付收入开票收款</x:v>
      </x:c>
      <x:c r="D9" s="14" t="str">
        <x:v>最高</x:v>
      </x:c>
      <x:c r="E9" s="14" t="str">
        <x:v>履约、开票、收款</x:v>
      </x:c>
      <x:c r="F9" s="14" t="str">
        <x:v>信用、应收未清项和认领</x:v>
      </x:c>
      <x:c r="G9" s="14" t="str">
        <x:v>账龄、收入开票桥</x:v>
      </x:c>
      <x:c r="H9" s="14" t="str">
        <x:v>AR与应收GL</x:v>
      </x:c>
      <x:c r="I9" s="14" t="str">
        <x:v>能说明开票不等于收入</x:v>
      </x:c>
      <x:c r="J9" s="14" t="str">
        <x:v>未开始</x:v>
      </x:c>
    </x:row>
    <x:row r="10">
      <x:c r="A10" s="14" t="str">
        <x:v>CAP-05</x:v>
      </x:c>
      <x:c r="B10" s="14" t="str">
        <x:v>库存</x:v>
      </x:c>
      <x:c r="C10" s="14" t="str">
        <x:v>控制数量和价值完整性</x:v>
      </x:c>
      <x:c r="D10" s="14" t="str">
        <x:v>最高</x:v>
      </x:c>
      <x:c r="E10" s="14" t="str">
        <x:v>收发存、盘点、计价</x:v>
      </x:c>
      <x:c r="F10" s="14" t="str">
        <x:v>数量账、价值账和凭证生成</x:v>
      </x:c>
      <x:c r="G10" s="14" t="str">
        <x:v>收发存、库存余额</x:v>
      </x:c>
      <x:c r="H10" s="14" t="str">
        <x:v>库存与存货GL</x:v>
      </x:c>
      <x:c r="I10" s="14" t="str">
        <x:v>能排查负库存零成本</x:v>
      </x:c>
      <x:c r="J10" s="14" t="str">
        <x:v>未开始</x:v>
      </x:c>
    </x:row>
    <x:row r="11">
      <x:c r="A11" s="14" t="str">
        <x:v>CAP-06</x:v>
      </x:c>
      <x:c r="B11" s="14" t="str">
        <x:v>成本</x:v>
      </x:c>
      <x:c r="C11" s="14" t="str">
        <x:v>完成制造成本月结</x:v>
      </x:c>
      <x:c r="D11" s="14" t="str">
        <x:v>最高</x:v>
      </x:c>
      <x:c r="E11" s="14" t="str">
        <x:v>BOM、工单、领料、报工、费用</x:v>
      </x:c>
      <x:c r="F11" s="14" t="str">
        <x:v>在制、完工、分配和结算</x:v>
      </x:c>
      <x:c r="G11" s="14" t="str">
        <x:v>工单成本、差异分析</x:v>
      </x:c>
      <x:c r="H11" s="14" t="str">
        <x:v>成本模块与GL</x:v>
      </x:c>
      <x:c r="I11" s="14" t="str">
        <x:v>能拆解单位成本异常</x:v>
      </x:c>
      <x:c r="J11" s="14" t="str">
        <x:v>未开始</x:v>
      </x:c>
    </x:row>
    <x:row r="12">
      <x:c r="A12" s="14" t="str">
        <x:v>CAP-07</x:v>
      </x:c>
      <x:c r="B12" s="14" t="str">
        <x:v>FA</x:v>
      </x:c>
      <x:c r="C12" s="14" t="str">
        <x:v>管理卡片折旧处置</x:v>
      </x:c>
      <x:c r="D12" s="14" t="str">
        <x:v>最高</x:v>
      </x:c>
      <x:c r="E12" s="14" t="str">
        <x:v>验收、可使用状态、处置</x:v>
      </x:c>
      <x:c r="F12" s="14" t="str">
        <x:v>类别、折旧运行和凭证</x:v>
      </x:c>
      <x:c r="G12" s="14" t="str">
        <x:v>资产价值表</x:v>
      </x:c>
      <x:c r="H12" s="14" t="str">
        <x:v>FA与GL</x:v>
      </x:c>
      <x:c r="I12" s="14" t="str">
        <x:v>能排查已使用未转固</x:v>
      </x:c>
      <x:c r="J12" s="14" t="str">
        <x:v>未开始</x:v>
      </x:c>
    </x:row>
    <x:row r="13">
      <x:c r="A13" s="14" t="str">
        <x:v>CAP-08</x:v>
      </x:c>
      <x:c r="B13" s="14" t="str">
        <x:v>对账</x:v>
      </x:c>
      <x:c r="C13" s="14" t="str">
        <x:v>建立子模块GL核对矩阵</x:v>
      </x:c>
      <x:c r="D13" s="14" t="str">
        <x:v>最高</x:v>
      </x:c>
      <x:c r="E13" s="14" t="str">
        <x:v>模块范围和截止</x:v>
      </x:c>
      <x:c r="F13" s="14" t="str">
        <x:v>控制科目、维度和过账状态</x:v>
      </x:c>
      <x:c r="G13" s="14" t="str">
        <x:v>模块余额和GL</x:v>
      </x:c>
      <x:c r="H13" s="14" t="str">
        <x:v>八大模块对账</x:v>
      </x:c>
      <x:c r="I13" s="14" t="str">
        <x:v>能由汇总差异追至单据</x:v>
      </x:c>
      <x:c r="J13" s="14" t="str">
        <x:v>未开始</x:v>
      </x:c>
    </x:row>
    <x:row r="14">
      <x:c r="A14" s="14" t="str">
        <x:v>CAP-09</x:v>
      </x:c>
      <x:c r="B14" s="14" t="str">
        <x:v>费用</x:v>
      </x:c>
      <x:c r="C14" s="14" t="str">
        <x:v>审核电子报销和服务采购</x:v>
      </x:c>
      <x:c r="D14" s="14" t="str">
        <x:v>其次</x:v>
      </x:c>
      <x:c r="E14" s="14" t="str">
        <x:v>真实性、预算、归属</x:v>
      </x:c>
      <x:c r="F14" s="14" t="str">
        <x:v>OA接口、OCR、付款核销</x:v>
      </x:c>
      <x:c r="G14" s="14" t="str">
        <x:v>费用接口、员工往来</x:v>
      </x:c>
      <x:c r="H14" s="14" t="str">
        <x:v>OA/AP/GL</x:v>
      </x:c>
      <x:c r="I14" s="14" t="str">
        <x:v>能区分系统校验和专业判断</x:v>
      </x:c>
      <x:c r="J14" s="14" t="str">
        <x:v>未开始</x:v>
      </x:c>
    </x:row>
    <x:row r="15">
      <x:c r="A15" s="14" t="str">
        <x:v>CAP-10</x:v>
      </x:c>
      <x:c r="B15" s="14" t="str">
        <x:v>资金</x:v>
      </x:c>
      <x:c r="C15" s="14" t="str">
        <x:v>识别银行状态和未达</x:v>
      </x:c>
      <x:c r="D15" s="14" t="str">
        <x:v>其次</x:v>
      </x:c>
      <x:c r="E15" s="14" t="str">
        <x:v>付款、收款、退汇</x:v>
      </x:c>
      <x:c r="F15" s="14" t="str">
        <x:v>银企状态、回单和清账</x:v>
      </x:c>
      <x:c r="G15" s="14" t="str">
        <x:v>银行调节表</x:v>
      </x:c>
      <x:c r="H15" s="14" t="str">
        <x:v>银行与GL</x:v>
      </x:c>
      <x:c r="I15" s="14" t="str">
        <x:v>能处理未知状态而不重复付款</x:v>
      </x:c>
      <x:c r="J15" s="14" t="str">
        <x:v>未开始</x:v>
      </x:c>
    </x:row>
    <x:row r="16">
      <x:c r="A16" s="14" t="str">
        <x:v>CAP-11</x:v>
      </x:c>
      <x:c r="B16" s="14" t="str">
        <x:v>薪酬</x:v>
      </x:c>
      <x:c r="C16" s="14" t="str">
        <x:v>核对HR工资财务银行</x:v>
      </x:c>
      <x:c r="D16" s="14" t="str">
        <x:v>其次</x:v>
      </x:c>
      <x:c r="E16" s="14" t="str">
        <x:v>工资社保个税和费用归属</x:v>
      </x:c>
      <x:c r="F16" s="14" t="str">
        <x:v>接口批次和成本中心映射</x:v>
      </x:c>
      <x:c r="G16" s="14" t="str">
        <x:v>工资汇总、银行发薪</x:v>
      </x:c>
      <x:c r="H16" s="14" t="str">
        <x:v>薪酬与GL</x:v>
      </x:c>
      <x:c r="I16" s="14" t="str">
        <x:v>能解释工资不全进管理费用</x:v>
      </x:c>
      <x:c r="J16" s="14" t="str">
        <x:v>未开始</x:v>
      </x:c>
    </x:row>
    <x:row r="17">
      <x:c r="A17" s="14" t="str">
        <x:v>CAP-12</x:v>
      </x:c>
      <x:c r="B17" s="14" t="str">
        <x:v>税务接口</x:v>
      </x:c>
      <x:c r="C17" s="14" t="str">
        <x:v>解释账票税差异</x:v>
      </x:c>
      <x:c r="D17" s="14" t="str">
        <x:v>其次</x:v>
      </x:c>
      <x:c r="E17" s="14" t="str">
        <x:v>开票收票进销项申报</x:v>
      </x:c>
      <x:c r="F17" s="14" t="str">
        <x:v>发票平台、ERP和电子税务局</x:v>
      </x:c>
      <x:c r="G17" s="14" t="str">
        <x:v>账票税桥接</x:v>
      </x:c>
      <x:c r="H17" s="14" t="str">
        <x:v>Tax与GL</x:v>
      </x:c>
      <x:c r="I17" s="14" t="str">
        <x:v>能说明合理差异和异常差异</x:v>
      </x:c>
      <x:c r="J17" s="14" t="str">
        <x:v>未开始</x:v>
      </x:c>
    </x:row>
    <x:row r="18">
      <x:c r="A18" s="14" t="str">
        <x:v>CAP-13</x:v>
      </x:c>
      <x:c r="B18" s="14" t="str">
        <x:v>主数据</x:v>
      </x:c>
      <x:c r="C18" s="14" t="str">
        <x:v>控制关键主数据质量</x:v>
      </x:c>
      <x:c r="D18" s="14" t="str">
        <x:v>再次</x:v>
      </x:c>
      <x:c r="E18" s="14" t="str">
        <x:v>客户供应商物料BOM科目</x:v>
      </x:c>
      <x:c r="F18" s="14" t="str">
        <x:v>创建变更冻结和日志</x:v>
      </x:c>
      <x:c r="G18" s="14" t="str">
        <x:v>变更清单</x:v>
      </x:c>
      <x:c r="H18" s="14" t="str">
        <x:v>主数据至交易</x:v>
      </x:c>
      <x:c r="I18" s="14" t="str">
        <x:v>能解释垃圾输入导致自动错账</x:v>
      </x:c>
      <x:c r="J18" s="14" t="str">
        <x:v>未开始</x:v>
      </x:c>
    </x:row>
    <x:row r="19">
      <x:c r="A19" s="14" t="str">
        <x:v>CAP-14</x:v>
      </x:c>
      <x:c r="B19" s="14" t="str">
        <x:v>接口</x:v>
      </x:c>
      <x:c r="C19" s="14" t="str">
        <x:v>排查漏传重复和延迟</x:v>
      </x:c>
      <x:c r="D19" s="14" t="str">
        <x:v>再次</x:v>
      </x:c>
      <x:c r="E19" s="14" t="str">
        <x:v>源系统到目标系统</x:v>
      </x:c>
      <x:c r="F19" s="14" t="str">
        <x:v>唯一键、控制总数、重跑</x:v>
      </x:c>
      <x:c r="G19" s="14" t="str">
        <x:v>接口日志</x:v>
      </x:c>
      <x:c r="H19" s="14" t="str">
        <x:v>源总数与目标总数</x:v>
      </x:c>
      <x:c r="I19" s="14" t="str">
        <x:v>能界定财务和IT分工</x:v>
      </x:c>
      <x:c r="J19" s="14" t="str">
        <x:v>未开始</x:v>
      </x:c>
    </x:row>
    <x:row r="20">
      <x:c r="A20" s="14" t="str">
        <x:v>CAP-15</x:v>
      </x:c>
      <x:c r="B20" s="14" t="str">
        <x:v>权限</x:v>
      </x:c>
      <x:c r="C20" s="14" t="str">
        <x:v>复核职责分离和紧急权限</x:v>
      </x:c>
      <x:c r="D20" s="14" t="str">
        <x:v>再次</x:v>
      </x:c>
      <x:c r="E20" s="14" t="str">
        <x:v>主数据付款关账</x:v>
      </x:c>
      <x:c r="F20" s="14" t="str">
        <x:v>角色、审批和日志</x:v>
      </x:c>
      <x:c r="G20" s="14" t="str">
        <x:v>权限冲突报告</x:v>
      </x:c>
      <x:c r="H20" s="14" t="str">
        <x:v>人员角色与操作日志</x:v>
      </x:c>
      <x:c r="I20" s="14" t="str">
        <x:v>能提出小团队补偿控制</x:v>
      </x:c>
      <x:c r="J20" s="14" t="str">
        <x:v>未开始</x:v>
      </x:c>
    </x:row>
  </x:sheetData>
  <x:mergeCells>
    <x:mergeCell ref="A1:J1"/>
    <x:mergeCell ref="A2:J2"/>
  </x:mergeCells>
  <x:conditionalFormatting sqref="J6:J20">
    <x:cfRule type="containsText" dxfId="0" priority="1" operator="containsText" text="已掌握"/>
    <x:cfRule type="containsText" dxfId="1" priority="2" operator="containsText" text="未开始"/>
    <x:cfRule type="containsText" dxfId="2" priority="3" operator="containsText" text="待复练"/>
  </x:conditionalFormatting>
  <x:dataValidations count="1">
    <x:dataValidation type="list" sqref="J6:J20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d3036e0dcb44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40" hidden="0" customWidth="1"/>
    <x:col min="5" max="5" width="34" hidden="0" customWidth="1"/>
    <x:col min="6" max="6" width="46" hidden="0" customWidth="1"/>
    <x:col min="7" max="7" width="48" hidden="0" customWidth="1"/>
    <x:col min="8" max="8" width="36" hidden="0" customWidth="1"/>
    <x:col min="9" max="9" width="36" hidden="0" customWidth="1"/>
    <x:col min="10" max="10" width="34" hidden="0" customWidth="1"/>
    <x:col min="11" max="11" width="22" hidden="0" customWidth="1"/>
    <x:col min="12" max="12" width="18" hidden="0" customWidth="1"/>
    <x:col min="13" max="13" width="22" hidden="0" customWidth="1"/>
    <x:col min="14" max="14" width="24" hidden="0" customWidth="1"/>
    <x:col min="15" max="15" width="13" hidden="0" customWidth="1"/>
    <x:col min="16" max="16" width="11" hidden="0" customWidth="1"/>
    <x:col min="17" max="17" width="12" hidden="0" customWidth="1"/>
    <x:col min="18" max="18" width="11" hidden="0" customWidth="1"/>
    <x:col min="19" max="19" width="14" hidden="0" customWidth="1"/>
    <x:col min="20" max="20" width="30" hidden="0" customWidth="1"/>
  </x:cols>
  <x:sheetData>
    <x:row r="1" ht="30" customHeight="1">
      <x:c r="A1" s="2" t="str">
        <x:v>20项ERP贯穿案例训练</x:v>
      </x:c>
    </x:row>
    <x:row r="2" ht="24" customHeight="1">
      <x:c r="A2" s="4" t="str">
        <x:v>黄色列为学习者输入；系统名称和按钮应按所在企业版本补充</x:v>
      </x:c>
    </x:row>
    <x:row r="5" ht="34" customHeight="1">
      <x:c r="A5" s="10" t="str">
        <x:v>案例编号</x:v>
      </x:c>
      <x:c r="B5" s="10" t="str">
        <x:v>案例名称</x:v>
      </x:c>
      <x:c r="C5" s="10" t="str">
        <x:v>模块</x:v>
      </x:c>
      <x:c r="D5" s="10" t="str">
        <x:v>业务背景</x:v>
      </x:c>
      <x:c r="E5" s="10" t="str">
        <x:v>原始单据</x:v>
      </x:c>
      <x:c r="F5" s="10" t="str">
        <x:v>系统操作</x:v>
      </x:c>
      <x:c r="G5" s="10" t="str">
        <x:v>会计分录</x:v>
      </x:c>
      <x:c r="H5" s="10" t="str">
        <x:v>系统结果</x:v>
      </x:c>
      <x:c r="I5" s="10" t="str">
        <x:v>总账检查</x:v>
      </x:c>
      <x:c r="J5" s="10" t="str">
        <x:v>常见错误</x:v>
      </x:c>
      <x:c r="K5" s="10" t="str">
        <x:v>凭证触发点</x:v>
      </x:c>
      <x:c r="L5" s="10" t="str">
        <x:v>子模块</x:v>
      </x:c>
      <x:c r="M5" s="10" t="str">
        <x:v>GL影响</x:v>
      </x:c>
      <x:c r="N5" s="10" t="str">
        <x:v>对账对象</x:v>
      </x:c>
      <x:c r="O5" s="10" t="str">
        <x:v>是否影响月结</x:v>
      </x:c>
      <x:c r="P5" s="10" t="str">
        <x:v>优先级</x:v>
      </x:c>
      <x:c r="Q5" s="10" t="str">
        <x:v>掌握状态</x:v>
      </x:c>
      <x:c r="R5" s="10" t="str">
        <x:v>练习次数</x:v>
      </x:c>
      <x:c r="S5" s="10" t="str">
        <x:v>最近练习日期</x:v>
      </x:c>
      <x:c r="T5" s="10" t="str">
        <x:v>个人备注</x:v>
      </x:c>
    </x:row>
    <x:row r="6">
      <x:c r="A6" s="19" t="str">
        <x:v>ERP-01</x:v>
      </x:c>
      <x:c r="B6" s="19" t="str">
        <x:v>新增芯片供应商</x:v>
      </x:c>
      <x:c r="C6" s="19" t="str">
        <x:v>主数据与P2P</x:v>
      </x:c>
      <x:c r="D6" s="19" t="str">
        <x:v>采购部拟向芯源电子有限公司采购控制芯片。供应商此前未合作。</x:v>
      </x:c>
      <x:c r="E6" s="19" t="str">
        <x:v>供应商准入表、营业执照、开户资料、纳税人信息、廉洁承诺、采购审批。</x:v>
      </x:c>
      <x:c r="F6" s="19" t="str">
        <x:v>采购提交准入；采购与合规核验交易能力；财务独立核验税号、收款户名和银行账户；主数据专员创建供应商；另一人审批生效。</x:v>
      </x:c>
      <x:c r="G6" s="19" t="str">
        <x:v>创建主数据不产生会计分录。</x:v>
      </x:c>
      <x:c r="H6" s="19" t="str">
        <x:v>供应商获得唯一编码V10023，付款条件30天，默认税码13%，收款账户经双人复核。</x:v>
      </x:c>
      <x:c r="I6" s="19" t="str">
        <x:v>检查一户一码、账户变更日志、创建人与付款人职责分离。</x:v>
      </x:c>
      <x:c r="J6" s="19" t="str">
        <x:v>重复供应商、私人账户、税码和付款条件错误、创建人与付款权限冲突。</x:v>
      </x:c>
      <x:c r="K6" s="19" t="str">
        <x:v>由业务事件及企业配置决定</x:v>
      </x:c>
      <x:c r="L6" s="19" t="str">
        <x:v>主数据与P2P</x:v>
      </x:c>
      <x:c r="M6" s="19" t="str">
        <x:v>见会计分录</x:v>
      </x:c>
      <x:c r="N6" s="19" t="str">
        <x:v>源单/子模块/GL</x:v>
      </x:c>
      <x:c r="O6" s="19" t="str">
        <x:v>是</x:v>
      </x:c>
      <x:c r="P6" s="19" t="str">
        <x:v>其次</x:v>
      </x:c>
      <x:c r="Q6" s="20" t="str">
        <x:v>未开始</x:v>
      </x:c>
      <x:c r="R6" s="20" t="n">
        <x:v>0</x:v>
      </x:c>
      <x:c r="S6" s="21"/>
      <x:c r="T6" s="20" t="str"/>
    </x:row>
    <x:row r="7">
      <x:c r="A7" s="19" t="str">
        <x:v>ERP-02</x:v>
      </x:c>
      <x:c r="B7" s="19" t="str">
        <x:v>采购1,000颗控制芯片</x:v>
      </x:c>
      <x:c r="C7" s="19" t="str">
        <x:v>采购</x:v>
      </x:c>
      <x:c r="D7" s="19" t="str">
        <x:v>4月3日采购1,000颗控制芯片，不含税单价100元，税率13%，价税合计113,000元。</x:v>
      </x:c>
      <x:c r="E7" s="19" t="str">
        <x:v>采购申请、比价记录、合同、采购订单PO450001。</x:v>
      </x:c>
      <x:c r="F7" s="19" t="str">
        <x:v>需求部门提出申请；预算校验；采购创建PO并引用供应商和物料主数据；授权人审批。</x:v>
      </x:c>
      <x:c r="G7" s="19" t="str">
        <x:v>采购订单是承诺性单据，通常不直接形成会计分录。</x:v>
      </x:c>
      <x:c r="H7" s="19" t="str">
        <x:v>形成未交货采购订单，锁定数量、价格、税码、工厂、仓库和交期。</x:v>
      </x:c>
      <x:c r="I7" s="19" t="str">
        <x:v>将合同、PO和审批金额勾稽；检查是否超预算或拆单绕审批。</x:v>
      </x:c>
      <x:c r="J7" s="19" t="str">
        <x:v>含税价录成不含税价、计量单位错误、交货工厂错误、税码错误。</x:v>
      </x:c>
      <x:c r="K7" s="19" t="str">
        <x:v>由业务事件及企业配置决定</x:v>
      </x:c>
      <x:c r="L7" s="19" t="str">
        <x:v>采购</x:v>
      </x:c>
      <x:c r="M7" s="19" t="str">
        <x:v>见会计分录</x:v>
      </x:c>
      <x:c r="N7" s="19" t="str">
        <x:v>源单/子模块/GL</x:v>
      </x:c>
      <x:c r="O7" s="19" t="str">
        <x:v>是</x:v>
      </x:c>
      <x:c r="P7" s="19" t="str">
        <x:v>其次</x:v>
      </x:c>
      <x:c r="Q7" s="20" t="str">
        <x:v>未开始</x:v>
      </x:c>
      <x:c r="R7" s="20" t="n">
        <x:v>0</x:v>
      </x:c>
      <x:c r="S7" s="21"/>
      <x:c r="T7" s="20" t="str"/>
    </x:row>
    <x:row r="8">
      <x:c r="A8" s="19" t="str">
        <x:v>ERP-03</x:v>
      </x:c>
      <x:c r="B8" s="19" t="str">
        <x:v>原材料收货入库</x:v>
      </x:c>
      <x:c r="C8" s="19" t="str">
        <x:v>采购与库存</x:v>
      </x:c>
      <x:c r="D8" s="19" t="str">
        <x:v>4月10日收到600颗，经质检合格后入库。按PO单价确认暂估价值60,000元。</x:v>
      </x:c>
      <x:c r="E8" s="19" t="str">
        <x:v>送货单、收货单、质检单、采购入库单GR500001。</x:v>
      </x:c>
      <x:c r="F8" s="19" t="str">
        <x:v>仓库参照PO收货；质量部门放行；系统增加合格库存并记录PO历史；按配置生成物料凭证和会计凭证。</x:v>
      </x:c>
      <x:c r="G8" s="19" t="str">
        <x:v>借：原材料 60,000；贷：应付暂估或GR/IR 60,000。不同ERP可能在收货或期末暂估时入账。</x:v>
      </x:c>
      <x:c r="H8" s="19" t="str">
        <x:v>库存数量增加600颗，PO未交数量400颗，暂估负债60,000元。</x:v>
      </x:c>
      <x:c r="I8" s="19" t="str">
        <x:v>核对收货数量、质检状态、库存地点、批次和会计凭证号。</x:v>
      </x:c>
      <x:c r="J8" s="19" t="str">
        <x:v>未质检直接入合格库、重复收货、跨工厂入库、会计凭证未生成。</x:v>
      </x:c>
      <x:c r="K8" s="19" t="str">
        <x:v>由业务事件及企业配置决定</x:v>
      </x:c>
      <x:c r="L8" s="19" t="str">
        <x:v>采购与库存</x:v>
      </x:c>
      <x:c r="M8" s="19" t="str">
        <x:v>见会计分录</x:v>
      </x:c>
      <x:c r="N8" s="19" t="str">
        <x:v>源单/子模块/GL</x:v>
      </x:c>
      <x:c r="O8" s="19" t="str">
        <x:v>是</x:v>
      </x:c>
      <x:c r="P8" s="19" t="str">
        <x:v>最高</x:v>
      </x:c>
      <x:c r="Q8" s="20" t="str">
        <x:v>未开始</x:v>
      </x:c>
      <x:c r="R8" s="20" t="n">
        <x:v>0</x:v>
      </x:c>
      <x:c r="S8" s="21"/>
      <x:c r="T8" s="20" t="str"/>
    </x:row>
    <x:row r="9">
      <x:c r="A9" s="19" t="str">
        <x:v>ERP-04</x:v>
      </x:c>
      <x:c r="B9" s="19" t="str">
        <x:v>月末未到票暂估</x:v>
      </x:c>
      <x:c r="C9" s="19" t="str">
        <x:v>AP与月结</x:v>
      </x:c>
      <x:c r="D9" s="19" t="str">
        <x:v>4月30日已入库600颗但供应商尚未开票。</x:v>
      </x:c>
      <x:c r="E9" s="19" t="str">
        <x:v>未开票收货清单、PO历史、入库单、暂估复核表。</x:v>
      </x:c>
      <x:c r="F9" s="19" t="str">
        <x:v>AP运行未开票收货报表；剔除退货和已匹配发票；总账复核截止；按企业配置确认收货时已暂估或期末集中暂估。</x:v>
      </x:c>
      <x:c r="G9" s="19" t="str">
        <x:v>若收货时未记价值：借原材料60,000，贷应付暂估60,000；若收货已自动入账，月末只复核，不重复做账。暂估通常不确认进项税。</x:v>
      </x:c>
      <x:c r="H9" s="19" t="str">
        <x:v>4月存货和负债完整，暂估台账标注供应商、PO、收货单和账龄。</x:v>
      </x:c>
      <x:c r="I9" s="19" t="str">
        <x:v>暂估台账合计与GL暂估科目、收货未开票报表一致。</x:v>
      </x:c>
      <x:c r="J9" s="19" t="str">
        <x:v>重复暂估、按含税金额暂估、无真实收货暂估、暂估确认进项税。</x:v>
      </x:c>
      <x:c r="K9" s="19" t="str">
        <x:v>由业务事件及企业配置决定</x:v>
      </x:c>
      <x:c r="L9" s="19" t="str">
        <x:v>AP与月结</x:v>
      </x:c>
      <x:c r="M9" s="19" t="str">
        <x:v>见会计分录</x:v>
      </x:c>
      <x:c r="N9" s="19" t="str">
        <x:v>源单/子模块/GL</x:v>
      </x:c>
      <x:c r="O9" s="19" t="str">
        <x:v>是</x:v>
      </x:c>
      <x:c r="P9" s="19" t="str">
        <x:v>最高</x:v>
      </x:c>
      <x:c r="Q9" s="20" t="str">
        <x:v>未开始</x:v>
      </x:c>
      <x:c r="R9" s="20" t="n">
        <x:v>0</x:v>
      </x:c>
      <x:c r="S9" s="21"/>
      <x:c r="T9" s="20" t="str"/>
    </x:row>
    <x:row r="10">
      <x:c r="A10" s="19" t="str">
        <x:v>ERP-05</x:v>
      </x:c>
      <x:c r="B10" s="19" t="str">
        <x:v>次月收到供应商发票并确认应付</x:v>
      </x:c>
      <x:c r="C10" s="19" t="str">
        <x:v>AP</x:v>
      </x:c>
      <x:c r="D10" s="19" t="str">
        <x:v>5月8日收到600颗对应专票，不含税单价102元，金额61,200元，税额7,956元。</x:v>
      </x:c>
      <x:c r="E10" s="19" t="str">
        <x:v>数电发票、PO、收货单、质检入库单、价格变更审批。</x:v>
      </x:c>
      <x:c r="F10" s="19" t="str">
        <x:v>发票验真查重；参照PO和收货录入；系统进行数量、价格和税额匹配；差异超容差时冻结并转采购审批；审批后过账。</x:v>
      </x:c>
      <x:c r="G10" s="19" t="str">
        <x:v>借：应付暂估或GR/IR 60,000，借：原材料或采购价格差异1,200，借：应交税费—应交增值税（进项税额）7,956；贷：应付账款69,156。具体差异去向取决于存货状态和成本政策。</x:v>
      </x:c>
      <x:c r="H10" s="19" t="str">
        <x:v>财务应付69,156元形成，暂估被清理，1,200元价差进入存货价值或差异科目。</x:v>
      </x:c>
      <x:c r="I10" s="19" t="str">
        <x:v>核对发票状态、PO历史、暂估余额、应付未清项和进项税台账。</x:v>
      </x:c>
      <x:c r="J10" s="19" t="str">
        <x:v>发票重复录入、直接冲错收货、差异未经审批、已耗用存货仍机械调原材料。</x:v>
      </x:c>
      <x:c r="K10" s="19" t="str">
        <x:v>由业务事件及企业配置决定</x:v>
      </x:c>
      <x:c r="L10" s="19" t="str">
        <x:v>AP</x:v>
      </x:c>
      <x:c r="M10" s="19" t="str">
        <x:v>见会计分录</x:v>
      </x:c>
      <x:c r="N10" s="19" t="str">
        <x:v>源单/子模块/GL</x:v>
      </x:c>
      <x:c r="O10" s="19" t="str">
        <x:v>是</x:v>
      </x:c>
      <x:c r="P10" s="19" t="str">
        <x:v>最高</x:v>
      </x:c>
      <x:c r="Q10" s="20" t="str">
        <x:v>未开始</x:v>
      </x:c>
      <x:c r="R10" s="20" t="n">
        <x:v>0</x:v>
      </x:c>
      <x:c r="S10" s="21"/>
      <x:c r="T10" s="20" t="str"/>
    </x:row>
    <x:row r="11">
      <x:c r="A11" s="19" t="str">
        <x:v>ERP-06</x:v>
      </x:c>
      <x:c r="B11" s="19" t="str">
        <x:v>处理采购价格差异</x:v>
      </x:c>
      <x:c r="C11" s="19" t="str">
        <x:v>AP与成本</x:v>
      </x:c>
      <x:c r="D11" s="19" t="str">
        <x:v>发票单价102元高于PO单价100元，产生1,200元不含税价差。</x:v>
      </x:c>
      <x:c r="E11" s="19" t="str">
        <x:v>供应商调价函、采购补充审批、发票匹配差异报告。</x:v>
      </x:c>
      <x:c r="F11" s="19" t="str">
        <x:v>判断是录入错误、合同变更还是供应商错误；错误则退回更正，真实调价则按授权审批；系统根据计价和存货状态自动或人工分配差异。</x:v>
      </x:c>
      <x:c r="G11" s="19" t="str">
        <x:v>库存尚存时通常调整存货；已耗用部分可进入生产成本或主营业务成本；标准成本企业可能进入采购价格差异。</x:v>
      </x:c>
      <x:c r="H11" s="19" t="str">
        <x:v>差异有业务依据、会计去向与受益存货状态一致。</x:v>
      </x:c>
      <x:c r="I11" s="19" t="str">
        <x:v>查看差异科目余额、异常单价及后续成本结转。</x:v>
      </x:c>
      <x:c r="J11" s="19" t="str">
        <x:v>把全部差异长期挂账、未经批准修改PO、为通过容差拆分发票。</x:v>
      </x:c>
      <x:c r="K11" s="19" t="str">
        <x:v>由业务事件及企业配置决定</x:v>
      </x:c>
      <x:c r="L11" s="19" t="str">
        <x:v>AP与成本</x:v>
      </x:c>
      <x:c r="M11" s="19" t="str">
        <x:v>见会计分录</x:v>
      </x:c>
      <x:c r="N11" s="19" t="str">
        <x:v>源单/子模块/GL</x:v>
      </x:c>
      <x:c r="O11" s="19" t="str">
        <x:v>是</x:v>
      </x:c>
      <x:c r="P11" s="19" t="str">
        <x:v>最高</x:v>
      </x:c>
      <x:c r="Q11" s="20" t="str">
        <x:v>未开始</x:v>
      </x:c>
      <x:c r="R11" s="20" t="n">
        <x:v>0</x:v>
      </x:c>
      <x:c r="S11" s="21"/>
      <x:c r="T11" s="20" t="str"/>
    </x:row>
    <x:row r="12">
      <x:c r="A12" s="19" t="str">
        <x:v>ERP-07</x:v>
      </x:c>
      <x:c r="B12" s="19" t="str">
        <x:v>支付并核销供应商货款</x:v>
      </x:c>
      <x:c r="C12" s="19" t="str">
        <x:v>资金与AP</x:v>
      </x:c>
      <x:c r="D12" s="19" t="str">
        <x:v>5月20日按发票全额支付69,156元。</x:v>
      </x:c>
      <x:c r="E12" s="19" t="str">
        <x:v>付款申请、到期应付清单、审批记录、银行回单。</x:v>
      </x:c>
      <x:c r="F12" s="19" t="str">
        <x:v>AP选择到期未清项；资金生成付款批次；授权人审批；银企直连发送；银行成功状态回传；系统生成付款并与发票清账。</x:v>
      </x:c>
      <x:c r="G12" s="19" t="str">
        <x:v>借：应付账款69,156；贷：银行存款69,156。</x:v>
      </x:c>
      <x:c r="H12" s="19" t="str">
        <x:v>供应商发票未清项关闭，银行流水与付款单关联。</x:v>
      </x:c>
      <x:c r="I12" s="19" t="str">
        <x:v>付款户名、账号、金额、银行状态、清账日期和剩余未清项。</x:v>
      </x:c>
      <x:c r="J12" s="19" t="str">
        <x:v>失败付款仍生成银行凭证、重复付款、付款成功但未核销、供应商账户被未授权修改。</x:v>
      </x:c>
      <x:c r="K12" s="19" t="str">
        <x:v>由业务事件及企业配置决定</x:v>
      </x:c>
      <x:c r="L12" s="19" t="str">
        <x:v>资金与AP</x:v>
      </x:c>
      <x:c r="M12" s="19" t="str">
        <x:v>见会计分录</x:v>
      </x:c>
      <x:c r="N12" s="19" t="str">
        <x:v>源单/子模块/GL</x:v>
      </x:c>
      <x:c r="O12" s="19" t="str">
        <x:v>是</x:v>
      </x:c>
      <x:c r="P12" s="19" t="str">
        <x:v>最高</x:v>
      </x:c>
      <x:c r="Q12" s="20" t="str">
        <x:v>未开始</x:v>
      </x:c>
      <x:c r="R12" s="20" t="n">
        <x:v>0</x:v>
      </x:c>
      <x:c r="S12" s="21"/>
      <x:c r="T12" s="20" t="str"/>
    </x:row>
    <x:row r="13">
      <x:c r="A13" s="19" t="str">
        <x:v>ERP-08</x:v>
      </x:c>
      <x:c r="B13" s="19" t="str">
        <x:v>生产订单领料</x:v>
      </x:c>
      <x:c r="C13" s="19" t="str">
        <x:v>生产与库存</x:v>
      </x:c>
      <x:c r="D13" s="19" t="str">
        <x:v>生产工单MO260401计划生产200台H100，4月15日领用控制芯片200颗、PCB200块及其他材料。标准材料清单金额120,000元。</x:v>
      </x:c>
      <x:c r="E13" s="19" t="str">
        <x:v>生产订单、BOM、领料单、仓库出库单。</x:v>
      </x:c>
      <x:c r="F13" s="19" t="str">
        <x:v>生产订单释放；系统按BOM生成领料需求；仓库扫描物料和批次发料；MES或ERP回传实际领料。</x:v>
      </x:c>
      <x:c r="G13" s="19" t="str">
        <x:v>借：生产成本—直接材料120,000；贷：原材料120,000。</x:v>
      </x:c>
      <x:c r="H13" s="19" t="str">
        <x:v>原材料数量和价值减少，工单累计材料成本增加。</x:v>
      </x:c>
      <x:c r="I13" s="19" t="str">
        <x:v>领料工单、物料、批次、数量、计量单位及负库存。</x:v>
      </x:c>
      <x:c r="J13" s="19" t="str">
        <x:v>领到错误工单、单位换算错误、线边仓未回传、先出库后补单。</x:v>
      </x:c>
      <x:c r="K13" s="19" t="str">
        <x:v>由业务事件及企业配置决定</x:v>
      </x:c>
      <x:c r="L13" s="19" t="str">
        <x:v>生产与库存</x:v>
      </x:c>
      <x:c r="M13" s="19" t="str">
        <x:v>见会计分录</x:v>
      </x:c>
      <x:c r="N13" s="19" t="str">
        <x:v>源单/子模块/GL</x:v>
      </x:c>
      <x:c r="O13" s="19" t="str">
        <x:v>是</x:v>
      </x:c>
      <x:c r="P13" s="19" t="str">
        <x:v>最高</x:v>
      </x:c>
      <x:c r="Q13" s="20" t="str">
        <x:v>未开始</x:v>
      </x:c>
      <x:c r="R13" s="20" t="n">
        <x:v>0</x:v>
      </x:c>
      <x:c r="S13" s="21"/>
      <x:c r="T13" s="20" t="str"/>
    </x:row>
    <x:row r="14">
      <x:c r="A14" s="19" t="str">
        <x:v>ERP-09</x:v>
      </x:c>
      <x:c r="B14" s="19" t="str">
        <x:v>生产退料和超领</x:v>
      </x:c>
      <x:c r="C14" s="19" t="str">
        <x:v>生产与库存</x:v>
      </x:c>
      <x:c r="D14" s="19" t="str">
        <x:v>工单退回剩余芯片5颗，同时因PCB报废补领3块。</x:v>
      </x:c>
      <x:c r="E14" s="19" t="str">
        <x:v>退料单、补料单、报废原因、车间审批。</x:v>
      </x:c>
      <x:c r="F14" s="19" t="str">
        <x:v>退料参照原领料单回到可用或待检库存；补料注明原因代码；成本会计区分正常损耗与异常损失。</x:v>
      </x:c>
      <x:c r="G14" s="19" t="str">
        <x:v>退料：借原材料、贷生产成本；补领：借生产成本、贷原材料。异常报废是否进入当期损益需结合原因和政策判断。</x:v>
      </x:c>
      <x:c r="H14" s="19" t="str">
        <x:v>工单实际耗用与仓库实物流一致，并保留耗用差异原因。</x:v>
      </x:c>
      <x:c r="I14" s="19" t="str">
        <x:v>BOM标准用量与实际用量差异、报废率和责任原因。</x:v>
      </x:c>
      <x:c r="J14" s="19" t="str">
        <x:v>退料只做实物不做系统、用负领料代替规范退料、异常损失埋入正常成本。</x:v>
      </x:c>
      <x:c r="K14" s="19" t="str">
        <x:v>由业务事件及企业配置决定</x:v>
      </x:c>
      <x:c r="L14" s="19" t="str">
        <x:v>生产与库存</x:v>
      </x:c>
      <x:c r="M14" s="19" t="str">
        <x:v>见会计分录</x:v>
      </x:c>
      <x:c r="N14" s="19" t="str">
        <x:v>源单/子模块/GL</x:v>
      </x:c>
      <x:c r="O14" s="19" t="str">
        <x:v>是</x:v>
      </x:c>
      <x:c r="P14" s="19" t="str">
        <x:v>最高</x:v>
      </x:c>
      <x:c r="Q14" s="20" t="str">
        <x:v>未开始</x:v>
      </x:c>
      <x:c r="R14" s="20" t="n">
        <x:v>0</x:v>
      </x:c>
      <x:c r="S14" s="21"/>
      <x:c r="T14" s="20" t="str"/>
    </x:row>
    <x:row r="15">
      <x:c r="A15" s="19" t="str">
        <x:v>ERP-10</x:v>
      </x:c>
      <x:c r="B15" s="19" t="str">
        <x:v>人工和制造费用归集</x:v>
      </x:c>
      <x:c r="C15" s="19" t="str">
        <x:v>薪酬与成本</x:v>
      </x:c>
      <x:c r="D15" s="19" t="str">
        <x:v>4月直接人工80,000元；制造费用120,000元，其中折旧40,000元、水电30,000元、间接人工50,000元。</x:v>
      </x:c>
      <x:c r="E15" s="19" t="str">
        <x:v>工资汇总、考勤工时、折旧清单、水电分摊、成本中心报表。</x:v>
      </x:c>
      <x:c r="F15" s="19" t="str">
        <x:v>HR工资接口按人员和成本中心传递；FA生成折旧；AP/GL记录水电；成本模块归集到生产成本中心。</x:v>
      </x:c>
      <x:c r="G15" s="19" t="str">
        <x:v>借生产成本—直接人工80,000、制造费用120,000；贷应付职工薪酬130,000、累计折旧40,000、应付账款或银行30,000。随后按分配规则将制造费用转入产品成本。</x:v>
      </x:c>
      <x:c r="H15" s="19" t="str">
        <x:v>成本中心费用完整，工单获得人工和制造费用分配。</x:v>
      </x:c>
      <x:c r="I15" s="19" t="str">
        <x:v>工资人数及总额、成本中心映射、制造费用科目余额和未分配金额。</x:v>
      </x:c>
      <x:c r="J15" s="19" t="str">
        <x:v>工资全部记管理费用、折旧未跑、费用中心错误、分配基础为零。</x:v>
      </x:c>
      <x:c r="K15" s="19" t="str">
        <x:v>由业务事件及企业配置决定</x:v>
      </x:c>
      <x:c r="L15" s="19" t="str">
        <x:v>薪酬与成本</x:v>
      </x:c>
      <x:c r="M15" s="19" t="str">
        <x:v>见会计分录</x:v>
      </x:c>
      <x:c r="N15" s="19" t="str">
        <x:v>源单/子模块/GL</x:v>
      </x:c>
      <x:c r="O15" s="19" t="str">
        <x:v>是</x:v>
      </x:c>
      <x:c r="P15" s="19" t="str">
        <x:v>最高</x:v>
      </x:c>
      <x:c r="Q15" s="20" t="str">
        <x:v>未开始</x:v>
      </x:c>
      <x:c r="R15" s="20" t="n">
        <x:v>0</x:v>
      </x:c>
      <x:c r="S15" s="21"/>
      <x:c r="T15" s="20" t="str"/>
    </x:row>
    <x:row r="16">
      <x:c r="A16" s="19" t="str">
        <x:v>ERP-11</x:v>
      </x:c>
      <x:c r="B16" s="19" t="str">
        <x:v>完工入库</x:v>
      </x:c>
      <x:c r="C16" s="19" t="str">
        <x:v>生产与库存</x:v>
      </x:c>
      <x:c r="D16" s="19" t="str">
        <x:v>4月28日完工190台H100，另有10台仍在制。</x:v>
      </x:c>
      <x:c r="E16" s="19" t="str">
        <x:v>报工单、完工检验单、生产入库单、在制盘点。</x:v>
      </x:c>
      <x:c r="F16" s="19" t="str">
        <x:v>MES回传产量和工时；质量放行；仓库按生产订单接收入库；系统记录完工数量和初始估价。</x:v>
      </x:c>
      <x:c r="G16" s="19" t="str">
        <x:v>按企业核算方式借产成品、贷生产成本；初始金额可为标准成本，月末结算后再调整。</x:v>
      </x:c>
      <x:c r="H16" s="19" t="str">
        <x:v>产成品库存增加190台，工单保留10台在制。</x:v>
      </x:c>
      <x:c r="I16" s="19" t="str">
        <x:v>完工数量、合格数量、报废数量、工单状态及生产入库凭证。</x:v>
      </x:c>
      <x:c r="J16" s="19" t="str">
        <x:v>报工与入库不一致、全部完工却保留在制、重复入库、无成本入库。</x:v>
      </x:c>
      <x:c r="K16" s="19" t="str">
        <x:v>由业务事件及企业配置决定</x:v>
      </x:c>
      <x:c r="L16" s="19" t="str">
        <x:v>生产与库存</x:v>
      </x:c>
      <x:c r="M16" s="19" t="str">
        <x:v>见会计分录</x:v>
      </x:c>
      <x:c r="N16" s="19" t="str">
        <x:v>源单/子模块/GL</x:v>
      </x:c>
      <x:c r="O16" s="19" t="str">
        <x:v>是</x:v>
      </x:c>
      <x:c r="P16" s="19" t="str">
        <x:v>最高</x:v>
      </x:c>
      <x:c r="Q16" s="20" t="str">
        <x:v>未开始</x:v>
      </x:c>
      <x:c r="R16" s="20" t="n">
        <x:v>0</x:v>
      </x:c>
      <x:c r="S16" s="21"/>
      <x:c r="T16" s="20" t="str"/>
    </x:row>
    <x:row r="17">
      <x:c r="A17" s="19" t="str">
        <x:v>ERP-12</x:v>
      </x:c>
      <x:c r="B17" s="19" t="str">
        <x:v>月末产品成本结算</x:v>
      </x:c>
      <x:c r="C17" s="19" t="str">
        <x:v>成本</x:v>
      </x:c>
      <x:c r="D17" s="19" t="str">
        <x:v>月末需在190台完工品与10台在产品间分配材料、人工和制造费用。</x:v>
      </x:c>
      <x:c r="E17" s="19" t="str">
        <x:v>工单成本明细、在制数量、BOM、工时、制造费用分配表。</x:v>
      </x:c>
      <x:c r="F17" s="19" t="str">
        <x:v>检查未记账领料和报工；确认在制方法；运行成本计算；分析异常单位成本；执行工单结算并生成差异凭证。</x:v>
      </x:c>
      <x:c r="G17" s="19" t="str">
        <x:v>将生产成本分配至产成品和期末在产品；标准成本差异按政策进入存货、销售成本或差异科目。</x:v>
      </x:c>
      <x:c r="H17" s="19" t="str">
        <x:v>在产品、产成品和差异科目获得最终金额，成本模块可关账。</x:v>
      </x:c>
      <x:c r="I17" s="19" t="str">
        <x:v>投入=完工转出+期末在制+异常损失；核对零成本、负成本和异常波动。</x:v>
      </x:c>
      <x:c r="J17" s="19" t="str">
        <x:v>工单未关闭、在制数量错误、制造费用未归集、结账顺序错误。</x:v>
      </x:c>
      <x:c r="K17" s="19" t="str">
        <x:v>由业务事件及企业配置决定</x:v>
      </x:c>
      <x:c r="L17" s="19" t="str">
        <x:v>成本</x:v>
      </x:c>
      <x:c r="M17" s="19" t="str">
        <x:v>见会计分录</x:v>
      </x:c>
      <x:c r="N17" s="19" t="str">
        <x:v>源单/子模块/GL</x:v>
      </x:c>
      <x:c r="O17" s="19" t="str">
        <x:v>是</x:v>
      </x:c>
      <x:c r="P17" s="19" t="str">
        <x:v>最高</x:v>
      </x:c>
      <x:c r="Q17" s="20" t="str">
        <x:v>未开始</x:v>
      </x:c>
      <x:c r="R17" s="20" t="n">
        <x:v>0</x:v>
      </x:c>
      <x:c r="S17" s="21"/>
      <x:c r="T17" s="20" t="str"/>
    </x:row>
    <x:row r="18">
      <x:c r="A18" s="19" t="str">
        <x:v>ERP-13</x:v>
      </x:c>
      <x:c r="B18" s="19" t="str">
        <x:v>创建客户和销售订单</x:v>
      </x:c>
      <x:c r="C18" s="19" t="str">
        <x:v>销售与AR</x:v>
      </x:c>
      <x:c r="D18" s="19" t="str">
        <x:v>南方自动化有限公司订购100台H100，不含税单价2,000元，税率13%，合同价226,000元。</x:v>
      </x:c>
      <x:c r="E18" s="19" t="str">
        <x:v>客户准入、信用审批、销售合同、销售订单SO260401。</x:v>
      </x:c>
      <x:c r="F18" s="19" t="str">
        <x:v>创建客户主数据并设置信用额度；销售录入数量、价格、税码、交货和收款条件；系统进行价格和信用检查。</x:v>
      </x:c>
      <x:c r="G18" s="19" t="str">
        <x:v>销售订单通常不直接确认收入或应收。</x:v>
      </x:c>
      <x:c r="H18" s="19" t="str">
        <x:v>形成待交货销售订单并占用信用额度。</x:v>
      </x:c>
      <x:c r="I18" s="19" t="str">
        <x:v>客户主体、税号、价格审批、信用额度、收货地点。</x:v>
      </x:c>
      <x:c r="J18" s="19" t="str">
        <x:v>客户重复、开票主体错误、超信用发货、价格条件被手工覆盖。</x:v>
      </x:c>
      <x:c r="K18" s="19" t="str">
        <x:v>由业务事件及企业配置决定</x:v>
      </x:c>
      <x:c r="L18" s="19" t="str">
        <x:v>销售与AR</x:v>
      </x:c>
      <x:c r="M18" s="19" t="str">
        <x:v>见会计分录</x:v>
      </x:c>
      <x:c r="N18" s="19" t="str">
        <x:v>源单/子模块/GL</x:v>
      </x:c>
      <x:c r="O18" s="19" t="str">
        <x:v>视情况</x:v>
      </x:c>
      <x:c r="P18" s="19" t="str">
        <x:v>其次</x:v>
      </x:c>
      <x:c r="Q18" s="20" t="str">
        <x:v>未开始</x:v>
      </x:c>
      <x:c r="R18" s="20" t="n">
        <x:v>0</x:v>
      </x:c>
      <x:c r="S18" s="21"/>
      <x:c r="T18" s="20" t="str"/>
    </x:row>
    <x:row r="19">
      <x:c r="A19" s="19" t="str">
        <x:v>ERP-14</x:v>
      </x:c>
      <x:c r="B19" s="19" t="str">
        <x:v>发货和销售出库</x:v>
      </x:c>
      <x:c r="C19" s="19" t="str">
        <x:v>销售与库存</x:v>
      </x:c>
      <x:c r="D19" s="19" t="str">
        <x:v>5月12日发出100台H100，客户5月14日签收。单位成本经结算为1,500元。</x:v>
      </x:c>
      <x:c r="E19" s="19" t="str">
        <x:v>交货单、拣货单、销售出库单、物流单、客户签收。</x:v>
      </x:c>
      <x:c r="F19" s="19" t="str">
        <x:v>参照销售订单创建交货；仓库拣货并过账出库；系统减少库存；收入确认节点按合同和企业政策判断。</x:v>
      </x:c>
      <x:c r="G19" s="19" t="str">
        <x:v>出库时通常借主营业务成本150,000，贷产成品150,000。收入凭证可能与出库同日或在验收后单独形成。</x:v>
      </x:c>
      <x:c r="H19" s="19" t="str">
        <x:v>产成品减少100台，订单交付状态更新。</x:v>
      </x:c>
      <x:c r="I19" s="19" t="str">
        <x:v>出库数量、批次、签收日期、成本金额和收入事件。</x:v>
      </x:c>
      <x:c r="J19" s="19" t="str">
        <x:v>发货未过账、出库无成本、以开票日代替所有收入判断、跨期签收未处理。</x:v>
      </x:c>
      <x:c r="K19" s="19" t="str">
        <x:v>由业务事件及企业配置决定</x:v>
      </x:c>
      <x:c r="L19" s="19" t="str">
        <x:v>销售与库存</x:v>
      </x:c>
      <x:c r="M19" s="19" t="str">
        <x:v>见会计分录</x:v>
      </x:c>
      <x:c r="N19" s="19" t="str">
        <x:v>源单/子模块/GL</x:v>
      </x:c>
      <x:c r="O19" s="19" t="str">
        <x:v>是</x:v>
      </x:c>
      <x:c r="P19" s="19" t="str">
        <x:v>最高</x:v>
      </x:c>
      <x:c r="Q19" s="20" t="str">
        <x:v>未开始</x:v>
      </x:c>
      <x:c r="R19" s="20" t="n">
        <x:v>0</x:v>
      </x:c>
      <x:c r="S19" s="21"/>
      <x:c r="T19" s="20" t="str"/>
    </x:row>
    <x:row r="20">
      <x:c r="A20" s="19" t="str">
        <x:v>ERP-15</x:v>
      </x:c>
      <x:c r="B20" s="19" t="str">
        <x:v>确认收入并开票</x:v>
      </x:c>
      <x:c r="C20" s="19" t="str">
        <x:v>销售、AR与税务</x:v>
      </x:c>
      <x:c r="D20" s="19" t="str">
        <x:v>客户5月14日签收且控制权转移，5月16日开具数电专票226,000元。</x:v>
      </x:c>
      <x:c r="E20" s="19" t="str">
        <x:v>合同、订单、出库单、签收单、收入确认清单、开票申请和发票。</x:v>
      </x:c>
      <x:c r="F20" s="19" t="str">
        <x:v>AR依据履约证据确认收入；开票系统生成发票；接口或开票单形成应收和销项税；若收入与开票不同步，使用未开票或合同负债等桥接流程。</x:v>
      </x:c>
      <x:c r="G20" s="19" t="str">
        <x:v>借应收账款226,000；贷主营业务收入200,000；贷应交税费—销项税额26,000。</x:v>
      </x:c>
      <x:c r="H20" s="19" t="str">
        <x:v>客户应收未清项226,000元，销售和开票链路可追溯。</x:v>
      </x:c>
      <x:c r="I20" s="19" t="str">
        <x:v>订单、交付、收入、发票、AR和销项税六方核对。</x:v>
      </x:c>
      <x:c r="J20" s="19" t="str">
        <x:v>开票等同收入、重复生成应收、税码错误、发票作废但AR未冲销。</x:v>
      </x:c>
      <x:c r="K20" s="19" t="str">
        <x:v>由业务事件及企业配置决定</x:v>
      </x:c>
      <x:c r="L20" s="19" t="str">
        <x:v>销售、AR与税务</x:v>
      </x:c>
      <x:c r="M20" s="19" t="str">
        <x:v>见会计分录</x:v>
      </x:c>
      <x:c r="N20" s="19" t="str">
        <x:v>源单/子模块/GL</x:v>
      </x:c>
      <x:c r="O20" s="19" t="str">
        <x:v>是</x:v>
      </x:c>
      <x:c r="P20" s="19" t="str">
        <x:v>其次</x:v>
      </x:c>
      <x:c r="Q20" s="20" t="str">
        <x:v>未开始</x:v>
      </x:c>
      <x:c r="R20" s="20" t="n">
        <x:v>0</x:v>
      </x:c>
      <x:c r="S20" s="21"/>
      <x:c r="T20" s="20" t="str"/>
    </x:row>
    <x:row r="21">
      <x:c r="A21" s="19" t="str">
        <x:v>ERP-16</x:v>
      </x:c>
      <x:c r="B21" s="19" t="str">
        <x:v>客户收款和核销</x:v>
      </x:c>
      <x:c r="C21" s="19" t="str">
        <x:v>资金与AR</x:v>
      </x:c>
      <x:c r="D21" s="19" t="str">
        <x:v>5月25日收到客户226,000元，银行摘要仅显示简称。</x:v>
      </x:c>
      <x:c r="E21" s="19" t="str">
        <x:v>银行流水、客户付款通知、收款认领单。</x:v>
      </x:c>
      <x:c r="F21" s="19" t="str">
        <x:v>银行流水自动导入；系统尝试按金额、账号和备注匹配；AR确认客户和发票；生成收款并清账。</x:v>
      </x:c>
      <x:c r="G21" s="19" t="str">
        <x:v>借银行存款226,000；贷应收账款226,000。</x:v>
      </x:c>
      <x:c r="H21" s="19" t="str">
        <x:v>客户未清项关闭，银行流水被认领。</x:v>
      </x:c>
      <x:c r="I21" s="19" t="str">
        <x:v>付款方、客户、发票、收款日期、差额和清账凭证。</x:v>
      </x:c>
      <x:c r="J21" s="19" t="str">
        <x:v>认领到错误客户、长期挂未知收款、收款已记但应收未清、跨公司代付无说明。</x:v>
      </x:c>
      <x:c r="K21" s="19" t="str">
        <x:v>由业务事件及企业配置决定</x:v>
      </x:c>
      <x:c r="L21" s="19" t="str">
        <x:v>资金与AR</x:v>
      </x:c>
      <x:c r="M21" s="19" t="str">
        <x:v>见会计分录</x:v>
      </x:c>
      <x:c r="N21" s="19" t="str">
        <x:v>源单/子模块/GL</x:v>
      </x:c>
      <x:c r="O21" s="19" t="str">
        <x:v>是</x:v>
      </x:c>
      <x:c r="P21" s="19" t="str">
        <x:v>其次</x:v>
      </x:c>
      <x:c r="Q21" s="20" t="str">
        <x:v>未开始</x:v>
      </x:c>
      <x:c r="R21" s="20" t="n">
        <x:v>0</x:v>
      </x:c>
      <x:c r="S21" s="21"/>
      <x:c r="T21" s="20" t="str"/>
    </x:row>
    <x:row r="22">
      <x:c r="A22" s="19" t="str">
        <x:v>ERP-17</x:v>
      </x:c>
      <x:c r="B22" s="19" t="str">
        <x:v>员工差旅费报销</x:v>
      </x:c>
      <x:c r="C22" s="19" t="str">
        <x:v>OA与费用</x:v>
      </x:c>
      <x:c r="D22" s="19" t="str">
        <x:v>销售经理出差发生酒店2,260元、交通1,090元和餐费800元，均由员工垫付。</x:v>
      </x:c>
      <x:c r="E22" s="19" t="str">
        <x:v>出差申请、行程、发票、支付记录、报销单、审批记录。</x:v>
      </x:c>
      <x:c r="F22" s="19" t="str">
        <x:v>员工在OA提交；OCR提取并验真查重；部门确认业务；财务核验主体、期间、标准、税务和费用归属；生成费用及员工应付款；资金付款后核销。</x:v>
      </x:c>
      <x:c r="G22" s="19" t="str">
        <x:v>借销售费用及可抵扣进项税额（按合法凭证和用途判断），贷其他应付款—员工；付款时借其他应付款、贷银行存款。</x:v>
      </x:c>
      <x:c r="H22" s="19" t="str">
        <x:v>费用进入销售成本中心，员工往来清零。</x:v>
      </x:c>
      <x:c r="I22" s="19" t="str">
        <x:v>行程与票据、重复报销、成本中心、预算、付款主体。</x:v>
      </x:c>
      <x:c r="J22" s="19" t="str">
        <x:v>发票真实但无业务、全部税额机械抵扣、费用部门错误、付款后未核销。</x:v>
      </x:c>
      <x:c r="K22" s="19" t="str">
        <x:v>由业务事件及企业配置决定</x:v>
      </x:c>
      <x:c r="L22" s="19" t="str">
        <x:v>OA与费用</x:v>
      </x:c>
      <x:c r="M22" s="19" t="str">
        <x:v>见会计分录</x:v>
      </x:c>
      <x:c r="N22" s="19" t="str">
        <x:v>源单/子模块/GL</x:v>
      </x:c>
      <x:c r="O22" s="19" t="str">
        <x:v>是</x:v>
      </x:c>
      <x:c r="P22" s="19" t="str">
        <x:v>其次</x:v>
      </x:c>
      <x:c r="Q22" s="20" t="str">
        <x:v>未开始</x:v>
      </x:c>
      <x:c r="R22" s="20" t="n">
        <x:v>0</x:v>
      </x:c>
      <x:c r="S22" s="21"/>
      <x:c r="T22" s="20" t="str"/>
    </x:row>
    <x:row r="23">
      <x:c r="A23" s="19" t="str">
        <x:v>ERP-18</x:v>
      </x:c>
      <x:c r="B23" s="19" t="str">
        <x:v>新增检测设备并计提折旧</x:v>
      </x:c>
      <x:c r="C23" s="19" t="str">
        <x:v>FA</x:v>
      </x:c>
      <x:c r="D23" s="19" t="str">
        <x:v>4月20日购入检测设备500,000元，进项税65,000元；4月25日验收达到可使用状态。会计政策规定次月开始折旧，5年直线法、残值率5%。</x:v>
      </x:c>
      <x:c r="E23" s="19" t="str">
        <x:v>合同、发票、验收单、资产申请、使用部门和保管人确认。</x:v>
      </x:c>
      <x:c r="F23" s="19" t="str">
        <x:v>AP录入资产采购发票；资产会计创建卡片并选择类别、成本中心、折旧年限和残值；5月运行折旧并复核日志。</x:v>
      </x:c>
      <x:c r="G23" s="19" t="str">
        <x:v>购入：借固定资产500,000、进项税65,000，贷应付账款565,000；5月折旧7,916.67元，借制造费用或相关费用，贷累计折旧。</x:v>
      </x:c>
      <x:c r="H23" s="19" t="str">
        <x:v>资产卡片与GL原值一致，折旧进入使用部门。</x:v>
      </x:c>
      <x:c r="I23" s="19" t="str">
        <x:v>在用日期、资本化金额、卡片数量、折旧范围、部门和处置状态。</x:v>
      </x:c>
      <x:c r="J23" s="19" t="str">
        <x:v>已使用未转固、重复卡片、费用资本化、资产类别和折旧部门错误。</x:v>
      </x:c>
      <x:c r="K23" s="19" t="str">
        <x:v>由业务事件及企业配置决定</x:v>
      </x:c>
      <x:c r="L23" s="19" t="str">
        <x:v>FA</x:v>
      </x:c>
      <x:c r="M23" s="19" t="str">
        <x:v>见会计分录</x:v>
      </x:c>
      <x:c r="N23" s="19" t="str">
        <x:v>源单/子模块/GL</x:v>
      </x:c>
      <x:c r="O23" s="19" t="str">
        <x:v>是</x:v>
      </x:c>
      <x:c r="P23" s="19" t="str">
        <x:v>其次</x:v>
      </x:c>
      <x:c r="Q23" s="20" t="str">
        <x:v>未开始</x:v>
      </x:c>
      <x:c r="R23" s="20" t="n">
        <x:v>0</x:v>
      </x:c>
      <x:c r="S23" s="21"/>
      <x:c r="T23" s="20" t="str"/>
    </x:row>
    <x:row r="24">
      <x:c r="A24" s="19" t="str">
        <x:v>ERP-19</x:v>
      </x:c>
      <x:c r="B24" s="19" t="str">
        <x:v>完成模块对账、报表和月结</x:v>
      </x:c>
      <x:c r="C24" s="19" t="str">
        <x:v>GL与月结</x:v>
      </x:c>
      <x:c r="D24" s="19" t="str">
        <x:v>5月业务处理完成，总账需组织各模块关账并出具财务报表。</x:v>
      </x:c>
      <x:c r="E24" s="19" t="str">
        <x:v>月结日历、模块状态表、对账底稿、试算平衡表、报表校验表。</x:v>
      </x:c>
      <x:c r="F24" s="19" t="str">
        <x:v>按依赖顺序完成截止、接口、AP、AR、库存、生产、成本、FA、薪酬、银行和税务；执行模块对账；记录并批准差异；完成GL结转和期间关闭。</x:v>
      </x:c>
      <x:c r="G24" s="19" t="str">
        <x:v>包括预提、摊销、税费、成本结转和损益结转等月结凭证，必须有计算底稿和审批。</x:v>
      </x:c>
      <x:c r="H24" s="19" t="str">
        <x:v>子模块与GL一致，报表勾稽通过，期间关闭。</x:v>
      </x:c>
      <x:c r="I24" s="19" t="str">
        <x:v>未过账单据、接口失败、异常余额、模块差异、报表映射和现金流。</x:v>
      </x:c>
      <x:c r="J24" s="19" t="str">
        <x:v>成本未结先关GL、只看借贷平衡、差异无解释、随意反结账。</x:v>
      </x:c>
      <x:c r="K24" s="19" t="str">
        <x:v>由业务事件及企业配置决定</x:v>
      </x:c>
      <x:c r="L24" s="19" t="str">
        <x:v>GL与月结</x:v>
      </x:c>
      <x:c r="M24" s="19" t="str">
        <x:v>见会计分录</x:v>
      </x:c>
      <x:c r="N24" s="19" t="str">
        <x:v>源单/子模块/GL</x:v>
      </x:c>
      <x:c r="O24" s="19" t="str">
        <x:v>是</x:v>
      </x:c>
      <x:c r="P24" s="19" t="str">
        <x:v>最高</x:v>
      </x:c>
      <x:c r="Q24" s="20" t="str">
        <x:v>未开始</x:v>
      </x:c>
      <x:c r="R24" s="20" t="n">
        <x:v>0</x:v>
      </x:c>
      <x:c r="S24" s="21"/>
      <x:c r="T24" s="20" t="str"/>
    </x:row>
    <x:row r="25">
      <x:c r="A25" s="19" t="str">
        <x:v>ERP-20</x:v>
      </x:c>
      <x:c r="B25" s="19" t="str">
        <x:v>发现错误后的调整</x:v>
      </x:c>
      <x:c r="C25" s="19" t="str">
        <x:v>异常处理</x:v>
      </x:c>
      <x:c r="D25" s="19" t="str">
        <x:v>关账前发现一张4月采购入库单误记到5月，且接口重跑形成重复凭证。</x:v>
      </x:c>
      <x:c r="E25" s="19" t="str">
        <x:v>错误单据、接口日志、期间状态、调整审批和影响分析。</x:v>
      </x:c>
      <x:c r="F25" s="19" t="str">
        <x:v>先判断业务源单、接口还是会计判断错误；源单错误在源模块按规则冲销重做；接口重复则锁定批次并冲销重复记录；只有独立会计判断才使用手工GL凭证。</x:v>
      </x:c>
      <x:c r="G25" s="19" t="str">
        <x:v>冲销重复凭证后按正确期间重做；跨期是否重开期间取决于重要性、报告状态和公司权限政策。</x:v>
      </x:c>
      <x:c r="H25" s="19" t="str">
        <x:v>业务单据、子模块和GL保持一致，调整留有完整审计轨迹。</x:v>
      </x:c>
      <x:c r="I25" s="19" t="str">
        <x:v>冲销与原凭证关联、接口记录数、期间、模块余额及报表影响。</x:v>
      </x:c>
      <x:c r="J25" s="19" t="str">
        <x:v>直接在GL调平、删除日志、重复重跑、未经批准反结账。</x:v>
      </x:c>
      <x:c r="K25" s="19" t="str">
        <x:v>由业务事件及企业配置决定</x:v>
      </x:c>
      <x:c r="L25" s="19" t="str">
        <x:v>异常处理</x:v>
      </x:c>
      <x:c r="M25" s="19" t="str">
        <x:v>见会计分录</x:v>
      </x:c>
      <x:c r="N25" s="19" t="str">
        <x:v>源单/子模块/GL</x:v>
      </x:c>
      <x:c r="O25" s="19" t="str">
        <x:v>是</x:v>
      </x:c>
      <x:c r="P25" s="19" t="str">
        <x:v>其次</x:v>
      </x:c>
      <x:c r="Q25" s="20" t="str">
        <x:v>未开始</x:v>
      </x:c>
      <x:c r="R25" s="20" t="n">
        <x:v>0</x:v>
      </x:c>
      <x:c r="S25" s="21"/>
      <x:c r="T25" s="20" t="str"/>
    </x:row>
  </x:sheetData>
  <x:mergeCells>
    <x:mergeCell ref="A1:T1"/>
    <x:mergeCell ref="A2:T2"/>
  </x:mergeCells>
  <x:conditionalFormatting sqref="Q6:Q25">
    <x:cfRule type="containsText" dxfId="3" priority="1" operator="containsText" text="已掌握"/>
    <x:cfRule type="containsText" dxfId="4" priority="2" operator="containsText" text="未开始"/>
    <x:cfRule type="containsText" dxfId="5" priority="3" operator="containsText" text="待复练"/>
  </x:conditionalFormatting>
  <x:dataValidations count="2">
    <x:dataValidation type="list" sqref="Q6:Q25">
      <x:formula1>"未开始,学习中,待复练,已掌握,不适用"</x:formula1>
    </x:dataValidation>
    <x:dataValidation operator="between" sqref="R6:R25">
      <x:formula1>0</x:formula1>
      <x:formula2>99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946fdb8b839d486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9" hidden="0" customWidth="1"/>
    <x:col min="3" max="3" width="16" hidden="0" customWidth="1"/>
    <x:col min="4" max="4" width="26" hidden="0" customWidth="1"/>
    <x:col min="5" max="5" width="38" hidden="0" customWidth="1"/>
    <x:col min="6" max="6" width="42" hidden="0" customWidth="1"/>
    <x:col min="7" max="7" width="34" hidden="0" customWidth="1"/>
    <x:col min="8" max="8" width="28" hidden="0" customWidth="1"/>
    <x:col min="9" max="9" width="28" hidden="0" customWidth="1"/>
    <x:col min="10" max="10" width="24" hidden="0" customWidth="1"/>
    <x:col min="11" max="11" width="28" hidden="0" customWidth="1"/>
    <x:col min="12" max="12" width="11" hidden="0" customWidth="1"/>
  </x:cols>
  <x:sheetData>
    <x:row r="1" ht="30" customHeight="1">
      <x:c r="A1" s="2" t="str">
        <x:v>训练步骤与证据</x:v>
      </x:c>
    </x:row>
    <x:row r="2" ht="24" customHeight="1">
      <x:c r="A2" s="4" t="str">
        <x:v>每个案例按七步记录输入、动作、预期和实际结果</x:v>
      </x:c>
    </x:row>
    <x:row r="5" ht="34" customHeight="1">
      <x:c r="A5" s="10" t="str">
        <x:v>案例编号</x:v>
      </x:c>
      <x:c r="B5" s="10" t="str">
        <x:v>步骤号</x:v>
      </x:c>
      <x:c r="C5" s="10" t="str">
        <x:v>步骤类型</x:v>
      </x:c>
      <x:c r="D5" s="10" t="str">
        <x:v>操作目的</x:v>
      </x:c>
      <x:c r="E5" s="10" t="str">
        <x:v>输入数据或资料</x:v>
      </x:c>
      <x:c r="F5" s="10" t="str">
        <x:v>系统动作</x:v>
      </x:c>
      <x:c r="G5" s="10" t="str">
        <x:v>预期结果</x:v>
      </x:c>
      <x:c r="H5" s="10" t="str">
        <x:v>实际结果</x:v>
      </x:c>
      <x:c r="I5" s="10" t="str">
        <x:v>截图或证据位置</x:v>
      </x:c>
      <x:c r="J5" s="10" t="str">
        <x:v>差异</x:v>
      </x:c>
      <x:c r="K5" s="10" t="str">
        <x:v>处理记录</x:v>
      </x:c>
      <x:c r="L5" s="10" t="str">
        <x:v>完成状态</x:v>
      </x:c>
    </x:row>
    <x:row r="6">
      <x:c r="A6" s="19" t="str">
        <x:v>ERP-01</x:v>
      </x:c>
      <x:c r="B6" s="19" t="n">
        <x:v>1</x:v>
      </x:c>
      <x:c r="C6" s="19" t="str">
        <x:v>业务与单据</x:v>
      </x:c>
      <x:c r="D6" s="19" t="str">
        <x:v>理解业务实质</x:v>
      </x:c>
      <x:c r="E6" s="19" t="str">
        <x:v>供应商准入表、营业执照、开户资料、纳税人信息、廉洁承诺、采购审批。</x:v>
      </x:c>
      <x:c r="F6" s="19" t="str">
        <x:v>由学习者按实际软件填写</x:v>
      </x:c>
      <x:c r="G6" s="19" t="str">
        <x:v>完成并保留证据</x:v>
      </x:c>
      <x:c r="H6" s="20" t="str"/>
      <x:c r="I6" s="20" t="str"/>
      <x:c r="J6" s="20" t="str"/>
      <x:c r="K6" s="20" t="str"/>
      <x:c r="L6" s="20" t="str">
        <x:v>未开始</x:v>
      </x:c>
    </x:row>
    <x:row r="7">
      <x:c r="A7" s="19" t="str">
        <x:v>ERP-01</x:v>
      </x:c>
      <x:c r="B7" s="19" t="n">
        <x:v>2</x:v>
      </x:c>
      <x:c r="C7" s="19" t="str">
        <x:v>主数据</x:v>
      </x:c>
      <x:c r="D7" s="19" t="str">
        <x:v>确认基础数据</x:v>
      </x:c>
      <x:c r="E7" s="19" t="str">
        <x:v>组织、客户/供应商/物料、科目、税码和期间</x:v>
      </x:c>
      <x:c r="F7" s="19" t="str">
        <x:v>由学习者按实际软件填写</x:v>
      </x:c>
      <x:c r="G7" s="19" t="str">
        <x:v>完成并保留证据</x:v>
      </x:c>
      <x:c r="H7" s="20" t="str"/>
      <x:c r="I7" s="20" t="str"/>
      <x:c r="J7" s="20" t="str"/>
      <x:c r="K7" s="20" t="str"/>
      <x:c r="L7" s="20" t="str">
        <x:v>未开始</x:v>
      </x:c>
    </x:row>
    <x:row r="8">
      <x:c r="A8" s="19" t="str">
        <x:v>ERP-01</x:v>
      </x:c>
      <x:c r="B8" s="19" t="n">
        <x:v>3</x:v>
      </x:c>
      <x:c r="C8" s="19" t="str">
        <x:v>系统操作</x:v>
      </x:c>
      <x:c r="D8" s="19" t="str">
        <x:v>完成系统动作</x:v>
      </x:c>
      <x:c r="E8" s="19" t="str">
        <x:v>采购提交准入；采购与合规核验交易能力；财务独立核验税号、收款户名和银行账户；主数据专员创建供应商；另一人审批生效。</x:v>
      </x:c>
      <x:c r="F8" s="19" t="str">
        <x:v>由学习者按实际软件填写</x:v>
      </x:c>
      <x:c r="G8" s="19" t="str">
        <x:v>完成并保留证据</x:v>
      </x:c>
      <x:c r="H8" s="20" t="str"/>
      <x:c r="I8" s="20" t="str"/>
      <x:c r="J8" s="20" t="str"/>
      <x:c r="K8" s="20" t="str"/>
      <x:c r="L8" s="20" t="str">
        <x:v>未开始</x:v>
      </x:c>
    </x:row>
    <x:row r="9">
      <x:c r="A9" s="19" t="str">
        <x:v>ERP-01</x:v>
      </x:c>
      <x:c r="B9" s="19" t="n">
        <x:v>4</x:v>
      </x:c>
      <x:c r="C9" s="19" t="str">
        <x:v>会计凭证</x:v>
      </x:c>
      <x:c r="D9" s="19" t="str">
        <x:v>验证会计影响</x:v>
      </x:c>
      <x:c r="E9" s="19" t="str">
        <x:v>创建主数据不产生会计分录。</x:v>
      </x:c>
      <x:c r="F9" s="19" t="str">
        <x:v>由学习者按实际软件填写</x:v>
      </x:c>
      <x:c r="G9" s="19" t="str">
        <x:v>凭证金额、科目和维度正确</x:v>
      </x:c>
      <x:c r="H9" s="20" t="str"/>
      <x:c r="I9" s="20" t="str"/>
      <x:c r="J9" s="20" t="str"/>
      <x:c r="K9" s="20" t="str"/>
      <x:c r="L9" s="20" t="str">
        <x:v>未开始</x:v>
      </x:c>
    </x:row>
    <x:row r="10">
      <x:c r="A10" s="19" t="str">
        <x:v>ERP-01</x:v>
      </x:c>
      <x:c r="B10" s="19" t="n">
        <x:v>5</x:v>
      </x:c>
      <x:c r="C10" s="19" t="str">
        <x:v>子模块结果</x:v>
      </x:c>
      <x:c r="D10" s="19" t="str">
        <x:v>检查模块状态</x:v>
      </x:c>
      <x:c r="E10" s="19" t="str">
        <x:v>供应商获得唯一编码V10023，付款条件30天，默认税码13%，收款账户经双人复核。</x:v>
      </x:c>
      <x:c r="F10" s="19" t="str">
        <x:v>由学习者按实际软件填写</x:v>
      </x:c>
      <x:c r="G10" s="19" t="str">
        <x:v>完成并保留证据</x:v>
      </x:c>
      <x:c r="H10" s="20" t="str"/>
      <x:c r="I10" s="20" t="str"/>
      <x:c r="J10" s="20" t="str"/>
      <x:c r="K10" s="20" t="str"/>
      <x:c r="L10" s="20" t="str">
        <x:v>未开始</x:v>
      </x:c>
    </x:row>
    <x:row r="11">
      <x:c r="A11" s="19" t="str">
        <x:v>ERP-01</x:v>
      </x:c>
      <x:c r="B11" s="19" t="n">
        <x:v>6</x:v>
      </x:c>
      <x:c r="C11" s="19" t="str">
        <x:v>总账和对账</x:v>
      </x:c>
      <x:c r="D11" s="19" t="str">
        <x:v>完成总账核对</x:v>
      </x:c>
      <x:c r="E11" s="19" t="str">
        <x:v>检查一户一码、账户变更日志、创建人与付款人职责分离。</x:v>
      </x:c>
      <x:c r="F11" s="19" t="str">
        <x:v>由学习者按实际软件填写</x:v>
      </x:c>
      <x:c r="G11" s="19" t="str">
        <x:v>源单、子模块和GL可勾稽</x:v>
      </x:c>
      <x:c r="H11" s="20" t="str"/>
      <x:c r="I11" s="20" t="str"/>
      <x:c r="J11" s="20" t="str"/>
      <x:c r="K11" s="20" t="str"/>
      <x:c r="L11" s="20" t="str">
        <x:v>未开始</x:v>
      </x:c>
    </x:row>
    <x:row r="12">
      <x:c r="A12" s="19" t="str">
        <x:v>ERP-01</x:v>
      </x:c>
      <x:c r="B12" s="19" t="n">
        <x:v>7</x:v>
      </x:c>
      <x:c r="C12" s="19" t="str">
        <x:v>异常复盘</x:v>
      </x:c>
      <x:c r="D12" s="19" t="str">
        <x:v>总结错误和预防</x:v>
      </x:c>
      <x:c r="E12" s="19" t="str">
        <x:v>重复供应商、私人账户、税码和付款条件错误、创建人与付款权限冲突。</x:v>
      </x:c>
      <x:c r="F12" s="19" t="str">
        <x:v>由学习者按实际软件填写</x:v>
      </x:c>
      <x:c r="G12" s="19" t="str">
        <x:v>完成并保留证据</x:v>
      </x:c>
      <x:c r="H12" s="20" t="str"/>
      <x:c r="I12" s="20" t="str"/>
      <x:c r="J12" s="20" t="str"/>
      <x:c r="K12" s="20" t="str"/>
      <x:c r="L12" s="20" t="str">
        <x:v>未开始</x:v>
      </x:c>
    </x:row>
    <x:row r="13">
      <x:c r="A13" s="19" t="str">
        <x:v>ERP-02</x:v>
      </x:c>
      <x:c r="B13" s="19" t="n">
        <x:v>1</x:v>
      </x:c>
      <x:c r="C13" s="19" t="str">
        <x:v>业务与单据</x:v>
      </x:c>
      <x:c r="D13" s="19" t="str">
        <x:v>理解业务实质</x:v>
      </x:c>
      <x:c r="E13" s="19" t="str">
        <x:v>采购申请、比价记录、合同、采购订单PO450001。</x:v>
      </x:c>
      <x:c r="F13" s="19" t="str">
        <x:v>由学习者按实际软件填写</x:v>
      </x:c>
      <x:c r="G13" s="19" t="str">
        <x:v>完成并保留证据</x:v>
      </x:c>
      <x:c r="H13" s="20" t="str"/>
      <x:c r="I13" s="20" t="str"/>
      <x:c r="J13" s="20" t="str"/>
      <x:c r="K13" s="20" t="str"/>
      <x:c r="L13" s="20" t="str">
        <x:v>未开始</x:v>
      </x:c>
    </x:row>
    <x:row r="14">
      <x:c r="A14" s="19" t="str">
        <x:v>ERP-02</x:v>
      </x:c>
      <x:c r="B14" s="19" t="n">
        <x:v>2</x:v>
      </x:c>
      <x:c r="C14" s="19" t="str">
        <x:v>主数据</x:v>
      </x:c>
      <x:c r="D14" s="19" t="str">
        <x:v>确认基础数据</x:v>
      </x:c>
      <x:c r="E14" s="19" t="str">
        <x:v>组织、客户/供应商/物料、科目、税码和期间</x:v>
      </x:c>
      <x:c r="F14" s="19" t="str">
        <x:v>由学习者按实际软件填写</x:v>
      </x:c>
      <x:c r="G14" s="19" t="str">
        <x:v>完成并保留证据</x:v>
      </x:c>
      <x:c r="H14" s="20" t="str"/>
      <x:c r="I14" s="20" t="str"/>
      <x:c r="J14" s="20" t="str"/>
      <x:c r="K14" s="20" t="str"/>
      <x:c r="L14" s="20" t="str">
        <x:v>未开始</x:v>
      </x:c>
    </x:row>
    <x:row r="15">
      <x:c r="A15" s="19" t="str">
        <x:v>ERP-02</x:v>
      </x:c>
      <x:c r="B15" s="19" t="n">
        <x:v>3</x:v>
      </x:c>
      <x:c r="C15" s="19" t="str">
        <x:v>系统操作</x:v>
      </x:c>
      <x:c r="D15" s="19" t="str">
        <x:v>完成系统动作</x:v>
      </x:c>
      <x:c r="E15" s="19" t="str">
        <x:v>需求部门提出申请；预算校验；采购创建PO并引用供应商和物料主数据；授权人审批。</x:v>
      </x:c>
      <x:c r="F15" s="19" t="str">
        <x:v>由学习者按实际软件填写</x:v>
      </x:c>
      <x:c r="G15" s="19" t="str">
        <x:v>完成并保留证据</x:v>
      </x:c>
      <x:c r="H15" s="20" t="str"/>
      <x:c r="I15" s="20" t="str"/>
      <x:c r="J15" s="20" t="str"/>
      <x:c r="K15" s="20" t="str"/>
      <x:c r="L15" s="20" t="str">
        <x:v>未开始</x:v>
      </x:c>
    </x:row>
    <x:row r="16">
      <x:c r="A16" s="19" t="str">
        <x:v>ERP-02</x:v>
      </x:c>
      <x:c r="B16" s="19" t="n">
        <x:v>4</x:v>
      </x:c>
      <x:c r="C16" s="19" t="str">
        <x:v>会计凭证</x:v>
      </x:c>
      <x:c r="D16" s="19" t="str">
        <x:v>验证会计影响</x:v>
      </x:c>
      <x:c r="E16" s="19" t="str">
        <x:v>采购订单是承诺性单据，通常不直接形成会计分录。</x:v>
      </x:c>
      <x:c r="F16" s="19" t="str">
        <x:v>由学习者按实际软件填写</x:v>
      </x:c>
      <x:c r="G16" s="19" t="str">
        <x:v>凭证金额、科目和维度正确</x:v>
      </x:c>
      <x:c r="H16" s="20" t="str"/>
      <x:c r="I16" s="20" t="str"/>
      <x:c r="J16" s="20" t="str"/>
      <x:c r="K16" s="20" t="str"/>
      <x:c r="L16" s="20" t="str">
        <x:v>未开始</x:v>
      </x:c>
    </x:row>
    <x:row r="17">
      <x:c r="A17" s="19" t="str">
        <x:v>ERP-02</x:v>
      </x:c>
      <x:c r="B17" s="19" t="n">
        <x:v>5</x:v>
      </x:c>
      <x:c r="C17" s="19" t="str">
        <x:v>子模块结果</x:v>
      </x:c>
      <x:c r="D17" s="19" t="str">
        <x:v>检查模块状态</x:v>
      </x:c>
      <x:c r="E17" s="19" t="str">
        <x:v>形成未交货采购订单，锁定数量、价格、税码、工厂、仓库和交期。</x:v>
      </x:c>
      <x:c r="F17" s="19" t="str">
        <x:v>由学习者按实际软件填写</x:v>
      </x:c>
      <x:c r="G17" s="19" t="str">
        <x:v>完成并保留证据</x:v>
      </x:c>
      <x:c r="H17" s="20" t="str"/>
      <x:c r="I17" s="20" t="str"/>
      <x:c r="J17" s="20" t="str"/>
      <x:c r="K17" s="20" t="str"/>
      <x:c r="L17" s="20" t="str">
        <x:v>未开始</x:v>
      </x:c>
    </x:row>
    <x:row r="18">
      <x:c r="A18" s="19" t="str">
        <x:v>ERP-02</x:v>
      </x:c>
      <x:c r="B18" s="19" t="n">
        <x:v>6</x:v>
      </x:c>
      <x:c r="C18" s="19" t="str">
        <x:v>总账和对账</x:v>
      </x:c>
      <x:c r="D18" s="19" t="str">
        <x:v>完成总账核对</x:v>
      </x:c>
      <x:c r="E18" s="19" t="str">
        <x:v>将合同、PO和审批金额勾稽；检查是否超预算或拆单绕审批。</x:v>
      </x:c>
      <x:c r="F18" s="19" t="str">
        <x:v>由学习者按实际软件填写</x:v>
      </x:c>
      <x:c r="G18" s="19" t="str">
        <x:v>源单、子模块和GL可勾稽</x:v>
      </x:c>
      <x:c r="H18" s="20" t="str"/>
      <x:c r="I18" s="20" t="str"/>
      <x:c r="J18" s="20" t="str"/>
      <x:c r="K18" s="20" t="str"/>
      <x:c r="L18" s="20" t="str">
        <x:v>未开始</x:v>
      </x:c>
    </x:row>
    <x:row r="19">
      <x:c r="A19" s="19" t="str">
        <x:v>ERP-02</x:v>
      </x:c>
      <x:c r="B19" s="19" t="n">
        <x:v>7</x:v>
      </x:c>
      <x:c r="C19" s="19" t="str">
        <x:v>异常复盘</x:v>
      </x:c>
      <x:c r="D19" s="19" t="str">
        <x:v>总结错误和预防</x:v>
      </x:c>
      <x:c r="E19" s="19" t="str">
        <x:v>含税价录成不含税价、计量单位错误、交货工厂错误、税码错误。</x:v>
      </x:c>
      <x:c r="F19" s="19" t="str">
        <x:v>由学习者按实际软件填写</x:v>
      </x:c>
      <x:c r="G19" s="19" t="str">
        <x:v>完成并保留证据</x:v>
      </x:c>
      <x:c r="H19" s="20" t="str"/>
      <x:c r="I19" s="20" t="str"/>
      <x:c r="J19" s="20" t="str"/>
      <x:c r="K19" s="20" t="str"/>
      <x:c r="L19" s="20" t="str">
        <x:v>未开始</x:v>
      </x:c>
    </x:row>
    <x:row r="20">
      <x:c r="A20" s="19" t="str">
        <x:v>ERP-03</x:v>
      </x:c>
      <x:c r="B20" s="19" t="n">
        <x:v>1</x:v>
      </x:c>
      <x:c r="C20" s="19" t="str">
        <x:v>业务与单据</x:v>
      </x:c>
      <x:c r="D20" s="19" t="str">
        <x:v>理解业务实质</x:v>
      </x:c>
      <x:c r="E20" s="19" t="str">
        <x:v>送货单、收货单、质检单、采购入库单GR500001。</x:v>
      </x:c>
      <x:c r="F20" s="19" t="str">
        <x:v>由学习者按实际软件填写</x:v>
      </x:c>
      <x:c r="G20" s="19" t="str">
        <x:v>完成并保留证据</x:v>
      </x:c>
      <x:c r="H20" s="20" t="str"/>
      <x:c r="I20" s="20" t="str"/>
      <x:c r="J20" s="20" t="str"/>
      <x:c r="K20" s="20" t="str"/>
      <x:c r="L20" s="20" t="str">
        <x:v>未开始</x:v>
      </x:c>
    </x:row>
    <x:row r="21">
      <x:c r="A21" s="19" t="str">
        <x:v>ERP-03</x:v>
      </x:c>
      <x:c r="B21" s="19" t="n">
        <x:v>2</x:v>
      </x:c>
      <x:c r="C21" s="19" t="str">
        <x:v>主数据</x:v>
      </x:c>
      <x:c r="D21" s="19" t="str">
        <x:v>确认基础数据</x:v>
      </x:c>
      <x:c r="E21" s="19" t="str">
        <x:v>组织、客户/供应商/物料、科目、税码和期间</x:v>
      </x:c>
      <x:c r="F21" s="19" t="str">
        <x:v>由学习者按实际软件填写</x:v>
      </x:c>
      <x:c r="G21" s="19" t="str">
        <x:v>完成并保留证据</x:v>
      </x:c>
      <x:c r="H21" s="20" t="str"/>
      <x:c r="I21" s="20" t="str"/>
      <x:c r="J21" s="20" t="str"/>
      <x:c r="K21" s="20" t="str"/>
      <x:c r="L21" s="20" t="str">
        <x:v>未开始</x:v>
      </x:c>
    </x:row>
    <x:row r="22">
      <x:c r="A22" s="19" t="str">
        <x:v>ERP-03</x:v>
      </x:c>
      <x:c r="B22" s="19" t="n">
        <x:v>3</x:v>
      </x:c>
      <x:c r="C22" s="19" t="str">
        <x:v>系统操作</x:v>
      </x:c>
      <x:c r="D22" s="19" t="str">
        <x:v>完成系统动作</x:v>
      </x:c>
      <x:c r="E22" s="19" t="str">
        <x:v>仓库参照PO收货；质量部门放行；系统增加合格库存并记录PO历史；按配置生成物料凭证和会计凭证。</x:v>
      </x:c>
      <x:c r="F22" s="19" t="str">
        <x:v>由学习者按实际软件填写</x:v>
      </x:c>
      <x:c r="G22" s="19" t="str">
        <x:v>完成并保留证据</x:v>
      </x:c>
      <x:c r="H22" s="20" t="str"/>
      <x:c r="I22" s="20" t="str"/>
      <x:c r="J22" s="20" t="str"/>
      <x:c r="K22" s="20" t="str"/>
      <x:c r="L22" s="20" t="str">
        <x:v>未开始</x:v>
      </x:c>
    </x:row>
    <x:row r="23">
      <x:c r="A23" s="19" t="str">
        <x:v>ERP-03</x:v>
      </x:c>
      <x:c r="B23" s="19" t="n">
        <x:v>4</x:v>
      </x:c>
      <x:c r="C23" s="19" t="str">
        <x:v>会计凭证</x:v>
      </x:c>
      <x:c r="D23" s="19" t="str">
        <x:v>验证会计影响</x:v>
      </x:c>
      <x:c r="E23" s="19" t="str">
        <x:v>借：原材料 60,000；贷：应付暂估或GR/IR 60,000。不同ERP可能在收货或期末暂估时入账。</x:v>
      </x:c>
      <x:c r="F23" s="19" t="str">
        <x:v>由学习者按实际软件填写</x:v>
      </x:c>
      <x:c r="G23" s="19" t="str">
        <x:v>凭证金额、科目和维度正确</x:v>
      </x:c>
      <x:c r="H23" s="20" t="str"/>
      <x:c r="I23" s="20" t="str"/>
      <x:c r="J23" s="20" t="str"/>
      <x:c r="K23" s="20" t="str"/>
      <x:c r="L23" s="20" t="str">
        <x:v>未开始</x:v>
      </x:c>
    </x:row>
    <x:row r="24">
      <x:c r="A24" s="19" t="str">
        <x:v>ERP-03</x:v>
      </x:c>
      <x:c r="B24" s="19" t="n">
        <x:v>5</x:v>
      </x:c>
      <x:c r="C24" s="19" t="str">
        <x:v>子模块结果</x:v>
      </x:c>
      <x:c r="D24" s="19" t="str">
        <x:v>检查模块状态</x:v>
      </x:c>
      <x:c r="E24" s="19" t="str">
        <x:v>库存数量增加600颗，PO未交数量400颗，暂估负债60,000元。</x:v>
      </x:c>
      <x:c r="F24" s="19" t="str">
        <x:v>由学习者按实际软件填写</x:v>
      </x:c>
      <x:c r="G24" s="19" t="str">
        <x:v>完成并保留证据</x:v>
      </x:c>
      <x:c r="H24" s="20" t="str"/>
      <x:c r="I24" s="20" t="str"/>
      <x:c r="J24" s="20" t="str"/>
      <x:c r="K24" s="20" t="str"/>
      <x:c r="L24" s="20" t="str">
        <x:v>未开始</x:v>
      </x:c>
    </x:row>
    <x:row r="25">
      <x:c r="A25" s="19" t="str">
        <x:v>ERP-03</x:v>
      </x:c>
      <x:c r="B25" s="19" t="n">
        <x:v>6</x:v>
      </x:c>
      <x:c r="C25" s="19" t="str">
        <x:v>总账和对账</x:v>
      </x:c>
      <x:c r="D25" s="19" t="str">
        <x:v>完成总账核对</x:v>
      </x:c>
      <x:c r="E25" s="19" t="str">
        <x:v>核对收货数量、质检状态、库存地点、批次和会计凭证号。</x:v>
      </x:c>
      <x:c r="F25" s="19" t="str">
        <x:v>由学习者按实际软件填写</x:v>
      </x:c>
      <x:c r="G25" s="19" t="str">
        <x:v>源单、子模块和GL可勾稽</x:v>
      </x:c>
      <x:c r="H25" s="20" t="str"/>
      <x:c r="I25" s="20" t="str"/>
      <x:c r="J25" s="20" t="str"/>
      <x:c r="K25" s="20" t="str"/>
      <x:c r="L25" s="20" t="str">
        <x:v>未开始</x:v>
      </x:c>
    </x:row>
    <x:row r="26">
      <x:c r="A26" s="19" t="str">
        <x:v>ERP-03</x:v>
      </x:c>
      <x:c r="B26" s="19" t="n">
        <x:v>7</x:v>
      </x:c>
      <x:c r="C26" s="19" t="str">
        <x:v>异常复盘</x:v>
      </x:c>
      <x:c r="D26" s="19" t="str">
        <x:v>总结错误和预防</x:v>
      </x:c>
      <x:c r="E26" s="19" t="str">
        <x:v>未质检直接入合格库、重复收货、跨工厂入库、会计凭证未生成。</x:v>
      </x:c>
      <x:c r="F26" s="19" t="str">
        <x:v>由学习者按实际软件填写</x:v>
      </x:c>
      <x:c r="G26" s="19" t="str">
        <x:v>完成并保留证据</x:v>
      </x:c>
      <x:c r="H26" s="20" t="str"/>
      <x:c r="I26" s="20" t="str"/>
      <x:c r="J26" s="20" t="str"/>
      <x:c r="K26" s="20" t="str"/>
      <x:c r="L26" s="20" t="str">
        <x:v>未开始</x:v>
      </x:c>
    </x:row>
    <x:row r="27">
      <x:c r="A27" s="19" t="str">
        <x:v>ERP-04</x:v>
      </x:c>
      <x:c r="B27" s="19" t="n">
        <x:v>1</x:v>
      </x:c>
      <x:c r="C27" s="19" t="str">
        <x:v>业务与单据</x:v>
      </x:c>
      <x:c r="D27" s="19" t="str">
        <x:v>理解业务实质</x:v>
      </x:c>
      <x:c r="E27" s="19" t="str">
        <x:v>未开票收货清单、PO历史、入库单、暂估复核表。</x:v>
      </x:c>
      <x:c r="F27" s="19" t="str">
        <x:v>由学习者按实际软件填写</x:v>
      </x:c>
      <x:c r="G27" s="19" t="str">
        <x:v>完成并保留证据</x:v>
      </x:c>
      <x:c r="H27" s="20" t="str"/>
      <x:c r="I27" s="20" t="str"/>
      <x:c r="J27" s="20" t="str"/>
      <x:c r="K27" s="20" t="str"/>
      <x:c r="L27" s="20" t="str">
        <x:v>未开始</x:v>
      </x:c>
    </x:row>
    <x:row r="28">
      <x:c r="A28" s="19" t="str">
        <x:v>ERP-04</x:v>
      </x:c>
      <x:c r="B28" s="19" t="n">
        <x:v>2</x:v>
      </x:c>
      <x:c r="C28" s="19" t="str">
        <x:v>主数据</x:v>
      </x:c>
      <x:c r="D28" s="19" t="str">
        <x:v>确认基础数据</x:v>
      </x:c>
      <x:c r="E28" s="19" t="str">
        <x:v>组织、客户/供应商/物料、科目、税码和期间</x:v>
      </x:c>
      <x:c r="F28" s="19" t="str">
        <x:v>由学习者按实际软件填写</x:v>
      </x:c>
      <x:c r="G28" s="19" t="str">
        <x:v>完成并保留证据</x:v>
      </x:c>
      <x:c r="H28" s="20" t="str"/>
      <x:c r="I28" s="20" t="str"/>
      <x:c r="J28" s="20" t="str"/>
      <x:c r="K28" s="20" t="str"/>
      <x:c r="L28" s="20" t="str">
        <x:v>未开始</x:v>
      </x:c>
    </x:row>
    <x:row r="29">
      <x:c r="A29" s="19" t="str">
        <x:v>ERP-04</x:v>
      </x:c>
      <x:c r="B29" s="19" t="n">
        <x:v>3</x:v>
      </x:c>
      <x:c r="C29" s="19" t="str">
        <x:v>系统操作</x:v>
      </x:c>
      <x:c r="D29" s="19" t="str">
        <x:v>完成系统动作</x:v>
      </x:c>
      <x:c r="E29" s="19" t="str">
        <x:v>AP运行未开票收货报表；剔除退货和已匹配发票；总账复核截止；按企业配置确认收货时已暂估或期末集中暂估。</x:v>
      </x:c>
      <x:c r="F29" s="19" t="str">
        <x:v>由学习者按实际软件填写</x:v>
      </x:c>
      <x:c r="G29" s="19" t="str">
        <x:v>完成并保留证据</x:v>
      </x:c>
      <x:c r="H29" s="20" t="str"/>
      <x:c r="I29" s="20" t="str"/>
      <x:c r="J29" s="20" t="str"/>
      <x:c r="K29" s="20" t="str"/>
      <x:c r="L29" s="20" t="str">
        <x:v>未开始</x:v>
      </x:c>
    </x:row>
    <x:row r="30">
      <x:c r="A30" s="19" t="str">
        <x:v>ERP-04</x:v>
      </x:c>
      <x:c r="B30" s="19" t="n">
        <x:v>4</x:v>
      </x:c>
      <x:c r="C30" s="19" t="str">
        <x:v>会计凭证</x:v>
      </x:c>
      <x:c r="D30" s="19" t="str">
        <x:v>验证会计影响</x:v>
      </x:c>
      <x:c r="E30" s="19" t="str">
        <x:v>若收货时未记价值：借原材料60,000，贷应付暂估60,000；若收货已自动入账，月末只复核，不重复做账。暂估通常不确认进项税。</x:v>
      </x:c>
      <x:c r="F30" s="19" t="str">
        <x:v>由学习者按实际软件填写</x:v>
      </x:c>
      <x:c r="G30" s="19" t="str">
        <x:v>凭证金额、科目和维度正确</x:v>
      </x:c>
      <x:c r="H30" s="20" t="str"/>
      <x:c r="I30" s="20" t="str"/>
      <x:c r="J30" s="20" t="str"/>
      <x:c r="K30" s="20" t="str"/>
      <x:c r="L30" s="20" t="str">
        <x:v>未开始</x:v>
      </x:c>
    </x:row>
    <x:row r="31">
      <x:c r="A31" s="19" t="str">
        <x:v>ERP-04</x:v>
      </x:c>
      <x:c r="B31" s="19" t="n">
        <x:v>5</x:v>
      </x:c>
      <x:c r="C31" s="19" t="str">
        <x:v>子模块结果</x:v>
      </x:c>
      <x:c r="D31" s="19" t="str">
        <x:v>检查模块状态</x:v>
      </x:c>
      <x:c r="E31" s="19" t="str">
        <x:v>4月存货和负债完整，暂估台账标注供应商、PO、收货单和账龄。</x:v>
      </x:c>
      <x:c r="F31" s="19" t="str">
        <x:v>由学习者按实际软件填写</x:v>
      </x:c>
      <x:c r="G31" s="19" t="str">
        <x:v>完成并保留证据</x:v>
      </x:c>
      <x:c r="H31" s="20" t="str"/>
      <x:c r="I31" s="20" t="str"/>
      <x:c r="J31" s="20" t="str"/>
      <x:c r="K31" s="20" t="str"/>
      <x:c r="L31" s="20" t="str">
        <x:v>未开始</x:v>
      </x:c>
    </x:row>
    <x:row r="32">
      <x:c r="A32" s="19" t="str">
        <x:v>ERP-04</x:v>
      </x:c>
      <x:c r="B32" s="19" t="n">
        <x:v>6</x:v>
      </x:c>
      <x:c r="C32" s="19" t="str">
        <x:v>总账和对账</x:v>
      </x:c>
      <x:c r="D32" s="19" t="str">
        <x:v>完成总账核对</x:v>
      </x:c>
      <x:c r="E32" s="19" t="str">
        <x:v>暂估台账合计与GL暂估科目、收货未开票报表一致。</x:v>
      </x:c>
      <x:c r="F32" s="19" t="str">
        <x:v>由学习者按实际软件填写</x:v>
      </x:c>
      <x:c r="G32" s="19" t="str">
        <x:v>源单、子模块和GL可勾稽</x:v>
      </x:c>
      <x:c r="H32" s="20" t="str"/>
      <x:c r="I32" s="20" t="str"/>
      <x:c r="J32" s="20" t="str"/>
      <x:c r="K32" s="20" t="str"/>
      <x:c r="L32" s="20" t="str">
        <x:v>未开始</x:v>
      </x:c>
    </x:row>
    <x:row r="33">
      <x:c r="A33" s="19" t="str">
        <x:v>ERP-04</x:v>
      </x:c>
      <x:c r="B33" s="19" t="n">
        <x:v>7</x:v>
      </x:c>
      <x:c r="C33" s="19" t="str">
        <x:v>异常复盘</x:v>
      </x:c>
      <x:c r="D33" s="19" t="str">
        <x:v>总结错误和预防</x:v>
      </x:c>
      <x:c r="E33" s="19" t="str">
        <x:v>重复暂估、按含税金额暂估、无真实收货暂估、暂估确认进项税。</x:v>
      </x:c>
      <x:c r="F33" s="19" t="str">
        <x:v>由学习者按实际软件填写</x:v>
      </x:c>
      <x:c r="G33" s="19" t="str">
        <x:v>完成并保留证据</x:v>
      </x:c>
      <x:c r="H33" s="20" t="str"/>
      <x:c r="I33" s="20" t="str"/>
      <x:c r="J33" s="20" t="str"/>
      <x:c r="K33" s="20" t="str"/>
      <x:c r="L33" s="20" t="str">
        <x:v>未开始</x:v>
      </x:c>
    </x:row>
    <x:row r="34">
      <x:c r="A34" s="19" t="str">
        <x:v>ERP-05</x:v>
      </x:c>
      <x:c r="B34" s="19" t="n">
        <x:v>1</x:v>
      </x:c>
      <x:c r="C34" s="19" t="str">
        <x:v>业务与单据</x:v>
      </x:c>
      <x:c r="D34" s="19" t="str">
        <x:v>理解业务实质</x:v>
      </x:c>
      <x:c r="E34" s="19" t="str">
        <x:v>数电发票、PO、收货单、质检入库单、价格变更审批。</x:v>
      </x:c>
      <x:c r="F34" s="19" t="str">
        <x:v>由学习者按实际软件填写</x:v>
      </x:c>
      <x:c r="G34" s="19" t="str">
        <x:v>完成并保留证据</x:v>
      </x:c>
      <x:c r="H34" s="20" t="str"/>
      <x:c r="I34" s="20" t="str"/>
      <x:c r="J34" s="20" t="str"/>
      <x:c r="K34" s="20" t="str"/>
      <x:c r="L34" s="20" t="str">
        <x:v>未开始</x:v>
      </x:c>
    </x:row>
    <x:row r="35">
      <x:c r="A35" s="19" t="str">
        <x:v>ERP-05</x:v>
      </x:c>
      <x:c r="B35" s="19" t="n">
        <x:v>2</x:v>
      </x:c>
      <x:c r="C35" s="19" t="str">
        <x:v>主数据</x:v>
      </x:c>
      <x:c r="D35" s="19" t="str">
        <x:v>确认基础数据</x:v>
      </x:c>
      <x:c r="E35" s="19" t="str">
        <x:v>组织、客户/供应商/物料、科目、税码和期间</x:v>
      </x:c>
      <x:c r="F35" s="19" t="str">
        <x:v>由学习者按实际软件填写</x:v>
      </x:c>
      <x:c r="G35" s="19" t="str">
        <x:v>完成并保留证据</x:v>
      </x:c>
      <x:c r="H35" s="20" t="str"/>
      <x:c r="I35" s="20" t="str"/>
      <x:c r="J35" s="20" t="str"/>
      <x:c r="K35" s="20" t="str"/>
      <x:c r="L35" s="20" t="str">
        <x:v>未开始</x:v>
      </x:c>
    </x:row>
    <x:row r="36">
      <x:c r="A36" s="19" t="str">
        <x:v>ERP-05</x:v>
      </x:c>
      <x:c r="B36" s="19" t="n">
        <x:v>3</x:v>
      </x:c>
      <x:c r="C36" s="19" t="str">
        <x:v>系统操作</x:v>
      </x:c>
      <x:c r="D36" s="19" t="str">
        <x:v>完成系统动作</x:v>
      </x:c>
      <x:c r="E36" s="19" t="str">
        <x:v>发票验真查重；参照PO和收货录入；系统进行数量、价格和税额匹配；差异超容差时冻结并转采购审批；审批后过账。</x:v>
      </x:c>
      <x:c r="F36" s="19" t="str">
        <x:v>由学习者按实际软件填写</x:v>
      </x:c>
      <x:c r="G36" s="19" t="str">
        <x:v>完成并保留证据</x:v>
      </x:c>
      <x:c r="H36" s="20" t="str"/>
      <x:c r="I36" s="20" t="str"/>
      <x:c r="J36" s="20" t="str"/>
      <x:c r="K36" s="20" t="str"/>
      <x:c r="L36" s="20" t="str">
        <x:v>未开始</x:v>
      </x:c>
    </x:row>
    <x:row r="37">
      <x:c r="A37" s="19" t="str">
        <x:v>ERP-05</x:v>
      </x:c>
      <x:c r="B37" s="19" t="n">
        <x:v>4</x:v>
      </x:c>
      <x:c r="C37" s="19" t="str">
        <x:v>会计凭证</x:v>
      </x:c>
      <x:c r="D37" s="19" t="str">
        <x:v>验证会计影响</x:v>
      </x:c>
      <x:c r="E37" s="19" t="str">
        <x:v>借：应付暂估或GR/IR 60,000，借：原材料或采购价格差异1,200，借：应交税费—应交增值税（进项税额）7,956；贷：应付账款69,156。具体差异去向取决于存货状态和成本政策。</x:v>
      </x:c>
      <x:c r="F37" s="19" t="str">
        <x:v>由学习者按实际软件填写</x:v>
      </x:c>
      <x:c r="G37" s="19" t="str">
        <x:v>凭证金额、科目和维度正确</x:v>
      </x:c>
      <x:c r="H37" s="20" t="str"/>
      <x:c r="I37" s="20" t="str"/>
      <x:c r="J37" s="20" t="str"/>
      <x:c r="K37" s="20" t="str"/>
      <x:c r="L37" s="20" t="str">
        <x:v>未开始</x:v>
      </x:c>
    </x:row>
    <x:row r="38">
      <x:c r="A38" s="19" t="str">
        <x:v>ERP-05</x:v>
      </x:c>
      <x:c r="B38" s="19" t="n">
        <x:v>5</x:v>
      </x:c>
      <x:c r="C38" s="19" t="str">
        <x:v>子模块结果</x:v>
      </x:c>
      <x:c r="D38" s="19" t="str">
        <x:v>检查模块状态</x:v>
      </x:c>
      <x:c r="E38" s="19" t="str">
        <x:v>财务应付69,156元形成，暂估被清理，1,200元价差进入存货价值或差异科目。</x:v>
      </x:c>
      <x:c r="F38" s="19" t="str">
        <x:v>由学习者按实际软件填写</x:v>
      </x:c>
      <x:c r="G38" s="19" t="str">
        <x:v>完成并保留证据</x:v>
      </x:c>
      <x:c r="H38" s="20" t="str"/>
      <x:c r="I38" s="20" t="str"/>
      <x:c r="J38" s="20" t="str"/>
      <x:c r="K38" s="20" t="str"/>
      <x:c r="L38" s="20" t="str">
        <x:v>未开始</x:v>
      </x:c>
    </x:row>
    <x:row r="39">
      <x:c r="A39" s="19" t="str">
        <x:v>ERP-05</x:v>
      </x:c>
      <x:c r="B39" s="19" t="n">
        <x:v>6</x:v>
      </x:c>
      <x:c r="C39" s="19" t="str">
        <x:v>总账和对账</x:v>
      </x:c>
      <x:c r="D39" s="19" t="str">
        <x:v>完成总账核对</x:v>
      </x:c>
      <x:c r="E39" s="19" t="str">
        <x:v>核对发票状态、PO历史、暂估余额、应付未清项和进项税台账。</x:v>
      </x:c>
      <x:c r="F39" s="19" t="str">
        <x:v>由学习者按实际软件填写</x:v>
      </x:c>
      <x:c r="G39" s="19" t="str">
        <x:v>源单、子模块和GL可勾稽</x:v>
      </x:c>
      <x:c r="H39" s="20" t="str"/>
      <x:c r="I39" s="20" t="str"/>
      <x:c r="J39" s="20" t="str"/>
      <x:c r="K39" s="20" t="str"/>
      <x:c r="L39" s="20" t="str">
        <x:v>未开始</x:v>
      </x:c>
    </x:row>
    <x:row r="40">
      <x:c r="A40" s="19" t="str">
        <x:v>ERP-05</x:v>
      </x:c>
      <x:c r="B40" s="19" t="n">
        <x:v>7</x:v>
      </x:c>
      <x:c r="C40" s="19" t="str">
        <x:v>异常复盘</x:v>
      </x:c>
      <x:c r="D40" s="19" t="str">
        <x:v>总结错误和预防</x:v>
      </x:c>
      <x:c r="E40" s="19" t="str">
        <x:v>发票重复录入、直接冲错收货、差异未经审批、已耗用存货仍机械调原材料。</x:v>
      </x:c>
      <x:c r="F40" s="19" t="str">
        <x:v>由学习者按实际软件填写</x:v>
      </x:c>
      <x:c r="G40" s="19" t="str">
        <x:v>完成并保留证据</x:v>
      </x:c>
      <x:c r="H40" s="20" t="str"/>
      <x:c r="I40" s="20" t="str"/>
      <x:c r="J40" s="20" t="str"/>
      <x:c r="K40" s="20" t="str"/>
      <x:c r="L40" s="20" t="str">
        <x:v>未开始</x:v>
      </x:c>
    </x:row>
    <x:row r="41">
      <x:c r="A41" s="19" t="str">
        <x:v>ERP-06</x:v>
      </x:c>
      <x:c r="B41" s="19" t="n">
        <x:v>1</x:v>
      </x:c>
      <x:c r="C41" s="19" t="str">
        <x:v>业务与单据</x:v>
      </x:c>
      <x:c r="D41" s="19" t="str">
        <x:v>理解业务实质</x:v>
      </x:c>
      <x:c r="E41" s="19" t="str">
        <x:v>供应商调价函、采购补充审批、发票匹配差异报告。</x:v>
      </x:c>
      <x:c r="F41" s="19" t="str">
        <x:v>由学习者按实际软件填写</x:v>
      </x:c>
      <x:c r="G41" s="19" t="str">
        <x:v>完成并保留证据</x:v>
      </x:c>
      <x:c r="H41" s="20" t="str"/>
      <x:c r="I41" s="20" t="str"/>
      <x:c r="J41" s="20" t="str"/>
      <x:c r="K41" s="20" t="str"/>
      <x:c r="L41" s="20" t="str">
        <x:v>未开始</x:v>
      </x:c>
    </x:row>
    <x:row r="42">
      <x:c r="A42" s="19" t="str">
        <x:v>ERP-06</x:v>
      </x:c>
      <x:c r="B42" s="19" t="n">
        <x:v>2</x:v>
      </x:c>
      <x:c r="C42" s="19" t="str">
        <x:v>主数据</x:v>
      </x:c>
      <x:c r="D42" s="19" t="str">
        <x:v>确认基础数据</x:v>
      </x:c>
      <x:c r="E42" s="19" t="str">
        <x:v>组织、客户/供应商/物料、科目、税码和期间</x:v>
      </x:c>
      <x:c r="F42" s="19" t="str">
        <x:v>由学习者按实际软件填写</x:v>
      </x:c>
      <x:c r="G42" s="19" t="str">
        <x:v>完成并保留证据</x:v>
      </x:c>
      <x:c r="H42" s="20" t="str"/>
      <x:c r="I42" s="20" t="str"/>
      <x:c r="J42" s="20" t="str"/>
      <x:c r="K42" s="20" t="str"/>
      <x:c r="L42" s="20" t="str">
        <x:v>未开始</x:v>
      </x:c>
    </x:row>
    <x:row r="43">
      <x:c r="A43" s="19" t="str">
        <x:v>ERP-06</x:v>
      </x:c>
      <x:c r="B43" s="19" t="n">
        <x:v>3</x:v>
      </x:c>
      <x:c r="C43" s="19" t="str">
        <x:v>系统操作</x:v>
      </x:c>
      <x:c r="D43" s="19" t="str">
        <x:v>完成系统动作</x:v>
      </x:c>
      <x:c r="E43" s="19" t="str">
        <x:v>判断是录入错误、合同变更还是供应商错误；错误则退回更正，真实调价则按授权审批；系统根据计价和存货状态自动或人工分配差异。</x:v>
      </x:c>
      <x:c r="F43" s="19" t="str">
        <x:v>由学习者按实际软件填写</x:v>
      </x:c>
      <x:c r="G43" s="19" t="str">
        <x:v>完成并保留证据</x:v>
      </x:c>
      <x:c r="H43" s="20" t="str"/>
      <x:c r="I43" s="20" t="str"/>
      <x:c r="J43" s="20" t="str"/>
      <x:c r="K43" s="20" t="str"/>
      <x:c r="L43" s="20" t="str">
        <x:v>未开始</x:v>
      </x:c>
    </x:row>
    <x:row r="44">
      <x:c r="A44" s="19" t="str">
        <x:v>ERP-06</x:v>
      </x:c>
      <x:c r="B44" s="19" t="n">
        <x:v>4</x:v>
      </x:c>
      <x:c r="C44" s="19" t="str">
        <x:v>会计凭证</x:v>
      </x:c>
      <x:c r="D44" s="19" t="str">
        <x:v>验证会计影响</x:v>
      </x:c>
      <x:c r="E44" s="19" t="str">
        <x:v>库存尚存时通常调整存货；已耗用部分可进入生产成本或主营业务成本；标准成本企业可能进入采购价格差异。</x:v>
      </x:c>
      <x:c r="F44" s="19" t="str">
        <x:v>由学习者按实际软件填写</x:v>
      </x:c>
      <x:c r="G44" s="19" t="str">
        <x:v>凭证金额、科目和维度正确</x:v>
      </x:c>
      <x:c r="H44" s="20" t="str"/>
      <x:c r="I44" s="20" t="str"/>
      <x:c r="J44" s="20" t="str"/>
      <x:c r="K44" s="20" t="str"/>
      <x:c r="L44" s="20" t="str">
        <x:v>未开始</x:v>
      </x:c>
    </x:row>
    <x:row r="45">
      <x:c r="A45" s="19" t="str">
        <x:v>ERP-06</x:v>
      </x:c>
      <x:c r="B45" s="19" t="n">
        <x:v>5</x:v>
      </x:c>
      <x:c r="C45" s="19" t="str">
        <x:v>子模块结果</x:v>
      </x:c>
      <x:c r="D45" s="19" t="str">
        <x:v>检查模块状态</x:v>
      </x:c>
      <x:c r="E45" s="19" t="str">
        <x:v>差异有业务依据、会计去向与受益存货状态一致。</x:v>
      </x:c>
      <x:c r="F45" s="19" t="str">
        <x:v>由学习者按实际软件填写</x:v>
      </x:c>
      <x:c r="G45" s="19" t="str">
        <x:v>完成并保留证据</x:v>
      </x:c>
      <x:c r="H45" s="20" t="str"/>
      <x:c r="I45" s="20" t="str"/>
      <x:c r="J45" s="20" t="str"/>
      <x:c r="K45" s="20" t="str"/>
      <x:c r="L45" s="20" t="str">
        <x:v>未开始</x:v>
      </x:c>
    </x:row>
    <x:row r="46">
      <x:c r="A46" s="19" t="str">
        <x:v>ERP-06</x:v>
      </x:c>
      <x:c r="B46" s="19" t="n">
        <x:v>6</x:v>
      </x:c>
      <x:c r="C46" s="19" t="str">
        <x:v>总账和对账</x:v>
      </x:c>
      <x:c r="D46" s="19" t="str">
        <x:v>完成总账核对</x:v>
      </x:c>
      <x:c r="E46" s="19" t="str">
        <x:v>查看差异科目余额、异常单价及后续成本结转。</x:v>
      </x:c>
      <x:c r="F46" s="19" t="str">
        <x:v>由学习者按实际软件填写</x:v>
      </x:c>
      <x:c r="G46" s="19" t="str">
        <x:v>源单、子模块和GL可勾稽</x:v>
      </x:c>
      <x:c r="H46" s="20" t="str"/>
      <x:c r="I46" s="20" t="str"/>
      <x:c r="J46" s="20" t="str"/>
      <x:c r="K46" s="20" t="str"/>
      <x:c r="L46" s="20" t="str">
        <x:v>未开始</x:v>
      </x:c>
    </x:row>
    <x:row r="47">
      <x:c r="A47" s="19" t="str">
        <x:v>ERP-06</x:v>
      </x:c>
      <x:c r="B47" s="19" t="n">
        <x:v>7</x:v>
      </x:c>
      <x:c r="C47" s="19" t="str">
        <x:v>异常复盘</x:v>
      </x:c>
      <x:c r="D47" s="19" t="str">
        <x:v>总结错误和预防</x:v>
      </x:c>
      <x:c r="E47" s="19" t="str">
        <x:v>把全部差异长期挂账、未经批准修改PO、为通过容差拆分发票。</x:v>
      </x:c>
      <x:c r="F47" s="19" t="str">
        <x:v>由学习者按实际软件填写</x:v>
      </x:c>
      <x:c r="G47" s="19" t="str">
        <x:v>完成并保留证据</x:v>
      </x:c>
      <x:c r="H47" s="20" t="str"/>
      <x:c r="I47" s="20" t="str"/>
      <x:c r="J47" s="20" t="str"/>
      <x:c r="K47" s="20" t="str"/>
      <x:c r="L47" s="20" t="str">
        <x:v>未开始</x:v>
      </x:c>
    </x:row>
    <x:row r="48">
      <x:c r="A48" s="19" t="str">
        <x:v>ERP-07</x:v>
      </x:c>
      <x:c r="B48" s="19" t="n">
        <x:v>1</x:v>
      </x:c>
      <x:c r="C48" s="19" t="str">
        <x:v>业务与单据</x:v>
      </x:c>
      <x:c r="D48" s="19" t="str">
        <x:v>理解业务实质</x:v>
      </x:c>
      <x:c r="E48" s="19" t="str">
        <x:v>付款申请、到期应付清单、审批记录、银行回单。</x:v>
      </x:c>
      <x:c r="F48" s="19" t="str">
        <x:v>由学习者按实际软件填写</x:v>
      </x:c>
      <x:c r="G48" s="19" t="str">
        <x:v>完成并保留证据</x:v>
      </x:c>
      <x:c r="H48" s="20" t="str"/>
      <x:c r="I48" s="20" t="str"/>
      <x:c r="J48" s="20" t="str"/>
      <x:c r="K48" s="20" t="str"/>
      <x:c r="L48" s="20" t="str">
        <x:v>未开始</x:v>
      </x:c>
    </x:row>
    <x:row r="49">
      <x:c r="A49" s="19" t="str">
        <x:v>ERP-07</x:v>
      </x:c>
      <x:c r="B49" s="19" t="n">
        <x:v>2</x:v>
      </x:c>
      <x:c r="C49" s="19" t="str">
        <x:v>主数据</x:v>
      </x:c>
      <x:c r="D49" s="19" t="str">
        <x:v>确认基础数据</x:v>
      </x:c>
      <x:c r="E49" s="19" t="str">
        <x:v>组织、客户/供应商/物料、科目、税码和期间</x:v>
      </x:c>
      <x:c r="F49" s="19" t="str">
        <x:v>由学习者按实际软件填写</x:v>
      </x:c>
      <x:c r="G49" s="19" t="str">
        <x:v>完成并保留证据</x:v>
      </x:c>
      <x:c r="H49" s="20" t="str"/>
      <x:c r="I49" s="20" t="str"/>
      <x:c r="J49" s="20" t="str"/>
      <x:c r="K49" s="20" t="str"/>
      <x:c r="L49" s="20" t="str">
        <x:v>未开始</x:v>
      </x:c>
    </x:row>
    <x:row r="50">
      <x:c r="A50" s="19" t="str">
        <x:v>ERP-07</x:v>
      </x:c>
      <x:c r="B50" s="19" t="n">
        <x:v>3</x:v>
      </x:c>
      <x:c r="C50" s="19" t="str">
        <x:v>系统操作</x:v>
      </x:c>
      <x:c r="D50" s="19" t="str">
        <x:v>完成系统动作</x:v>
      </x:c>
      <x:c r="E50" s="19" t="str">
        <x:v>AP选择到期未清项；资金生成付款批次；授权人审批；银企直连发送；银行成功状态回传；系统生成付款并与发票清账。</x:v>
      </x:c>
      <x:c r="F50" s="19" t="str">
        <x:v>由学习者按实际软件填写</x:v>
      </x:c>
      <x:c r="G50" s="19" t="str">
        <x:v>完成并保留证据</x:v>
      </x:c>
      <x:c r="H50" s="20" t="str"/>
      <x:c r="I50" s="20" t="str"/>
      <x:c r="J50" s="20" t="str"/>
      <x:c r="K50" s="20" t="str"/>
      <x:c r="L50" s="20" t="str">
        <x:v>未开始</x:v>
      </x:c>
    </x:row>
    <x:row r="51">
      <x:c r="A51" s="19" t="str">
        <x:v>ERP-07</x:v>
      </x:c>
      <x:c r="B51" s="19" t="n">
        <x:v>4</x:v>
      </x:c>
      <x:c r="C51" s="19" t="str">
        <x:v>会计凭证</x:v>
      </x:c>
      <x:c r="D51" s="19" t="str">
        <x:v>验证会计影响</x:v>
      </x:c>
      <x:c r="E51" s="19" t="str">
        <x:v>借：应付账款69,156；贷：银行存款69,156。</x:v>
      </x:c>
      <x:c r="F51" s="19" t="str">
        <x:v>由学习者按实际软件填写</x:v>
      </x:c>
      <x:c r="G51" s="19" t="str">
        <x:v>凭证金额、科目和维度正确</x:v>
      </x:c>
      <x:c r="H51" s="20" t="str"/>
      <x:c r="I51" s="20" t="str"/>
      <x:c r="J51" s="20" t="str"/>
      <x:c r="K51" s="20" t="str"/>
      <x:c r="L51" s="20" t="str">
        <x:v>未开始</x:v>
      </x:c>
    </x:row>
    <x:row r="52">
      <x:c r="A52" s="19" t="str">
        <x:v>ERP-07</x:v>
      </x:c>
      <x:c r="B52" s="19" t="n">
        <x:v>5</x:v>
      </x:c>
      <x:c r="C52" s="19" t="str">
        <x:v>子模块结果</x:v>
      </x:c>
      <x:c r="D52" s="19" t="str">
        <x:v>检查模块状态</x:v>
      </x:c>
      <x:c r="E52" s="19" t="str">
        <x:v>供应商发票未清项关闭，银行流水与付款单关联。</x:v>
      </x:c>
      <x:c r="F52" s="19" t="str">
        <x:v>由学习者按实际软件填写</x:v>
      </x:c>
      <x:c r="G52" s="19" t="str">
        <x:v>完成并保留证据</x:v>
      </x:c>
      <x:c r="H52" s="20" t="str"/>
      <x:c r="I52" s="20" t="str"/>
      <x:c r="J52" s="20" t="str"/>
      <x:c r="K52" s="20" t="str"/>
      <x:c r="L52" s="20" t="str">
        <x:v>未开始</x:v>
      </x:c>
    </x:row>
    <x:row r="53">
      <x:c r="A53" s="19" t="str">
        <x:v>ERP-07</x:v>
      </x:c>
      <x:c r="B53" s="19" t="n">
        <x:v>6</x:v>
      </x:c>
      <x:c r="C53" s="19" t="str">
        <x:v>总账和对账</x:v>
      </x:c>
      <x:c r="D53" s="19" t="str">
        <x:v>完成总账核对</x:v>
      </x:c>
      <x:c r="E53" s="19" t="str">
        <x:v>付款户名、账号、金额、银行状态、清账日期和剩余未清项。</x:v>
      </x:c>
      <x:c r="F53" s="19" t="str">
        <x:v>由学习者按实际软件填写</x:v>
      </x:c>
      <x:c r="G53" s="19" t="str">
        <x:v>源单、子模块和GL可勾稽</x:v>
      </x:c>
      <x:c r="H53" s="20" t="str"/>
      <x:c r="I53" s="20" t="str"/>
      <x:c r="J53" s="20" t="str"/>
      <x:c r="K53" s="20" t="str"/>
      <x:c r="L53" s="20" t="str">
        <x:v>未开始</x:v>
      </x:c>
    </x:row>
    <x:row r="54">
      <x:c r="A54" s="19" t="str">
        <x:v>ERP-07</x:v>
      </x:c>
      <x:c r="B54" s="19" t="n">
        <x:v>7</x:v>
      </x:c>
      <x:c r="C54" s="19" t="str">
        <x:v>异常复盘</x:v>
      </x:c>
      <x:c r="D54" s="19" t="str">
        <x:v>总结错误和预防</x:v>
      </x:c>
      <x:c r="E54" s="19" t="str">
        <x:v>失败付款仍生成银行凭证、重复付款、付款成功但未核销、供应商账户被未授权修改。</x:v>
      </x:c>
      <x:c r="F54" s="19" t="str">
        <x:v>由学习者按实际软件填写</x:v>
      </x:c>
      <x:c r="G54" s="19" t="str">
        <x:v>完成并保留证据</x:v>
      </x:c>
      <x:c r="H54" s="20" t="str"/>
      <x:c r="I54" s="20" t="str"/>
      <x:c r="J54" s="20" t="str"/>
      <x:c r="K54" s="20" t="str"/>
      <x:c r="L54" s="20" t="str">
        <x:v>未开始</x:v>
      </x:c>
    </x:row>
    <x:row r="55">
      <x:c r="A55" s="19" t="str">
        <x:v>ERP-08</x:v>
      </x:c>
      <x:c r="B55" s="19" t="n">
        <x:v>1</x:v>
      </x:c>
      <x:c r="C55" s="19" t="str">
        <x:v>业务与单据</x:v>
      </x:c>
      <x:c r="D55" s="19" t="str">
        <x:v>理解业务实质</x:v>
      </x:c>
      <x:c r="E55" s="19" t="str">
        <x:v>生产订单、BOM、领料单、仓库出库单。</x:v>
      </x:c>
      <x:c r="F55" s="19" t="str">
        <x:v>由学习者按实际软件填写</x:v>
      </x:c>
      <x:c r="G55" s="19" t="str">
        <x:v>完成并保留证据</x:v>
      </x:c>
      <x:c r="H55" s="20" t="str"/>
      <x:c r="I55" s="20" t="str"/>
      <x:c r="J55" s="20" t="str"/>
      <x:c r="K55" s="20" t="str"/>
      <x:c r="L55" s="20" t="str">
        <x:v>未开始</x:v>
      </x:c>
    </x:row>
    <x:row r="56">
      <x:c r="A56" s="19" t="str">
        <x:v>ERP-08</x:v>
      </x:c>
      <x:c r="B56" s="19" t="n">
        <x:v>2</x:v>
      </x:c>
      <x:c r="C56" s="19" t="str">
        <x:v>主数据</x:v>
      </x:c>
      <x:c r="D56" s="19" t="str">
        <x:v>确认基础数据</x:v>
      </x:c>
      <x:c r="E56" s="19" t="str">
        <x:v>组织、客户/供应商/物料、科目、税码和期间</x:v>
      </x:c>
      <x:c r="F56" s="19" t="str">
        <x:v>由学习者按实际软件填写</x:v>
      </x:c>
      <x:c r="G56" s="19" t="str">
        <x:v>完成并保留证据</x:v>
      </x:c>
      <x:c r="H56" s="20" t="str"/>
      <x:c r="I56" s="20" t="str"/>
      <x:c r="J56" s="20" t="str"/>
      <x:c r="K56" s="20" t="str"/>
      <x:c r="L56" s="20" t="str">
        <x:v>未开始</x:v>
      </x:c>
    </x:row>
    <x:row r="57">
      <x:c r="A57" s="19" t="str">
        <x:v>ERP-08</x:v>
      </x:c>
      <x:c r="B57" s="19" t="n">
        <x:v>3</x:v>
      </x:c>
      <x:c r="C57" s="19" t="str">
        <x:v>系统操作</x:v>
      </x:c>
      <x:c r="D57" s="19" t="str">
        <x:v>完成系统动作</x:v>
      </x:c>
      <x:c r="E57" s="19" t="str">
        <x:v>生产订单释放；系统按BOM生成领料需求；仓库扫描物料和批次发料；MES或ERP回传实际领料。</x:v>
      </x:c>
      <x:c r="F57" s="19" t="str">
        <x:v>由学习者按实际软件填写</x:v>
      </x:c>
      <x:c r="G57" s="19" t="str">
        <x:v>完成并保留证据</x:v>
      </x:c>
      <x:c r="H57" s="20" t="str"/>
      <x:c r="I57" s="20" t="str"/>
      <x:c r="J57" s="20" t="str"/>
      <x:c r="K57" s="20" t="str"/>
      <x:c r="L57" s="20" t="str">
        <x:v>未开始</x:v>
      </x:c>
    </x:row>
    <x:row r="58">
      <x:c r="A58" s="19" t="str">
        <x:v>ERP-08</x:v>
      </x:c>
      <x:c r="B58" s="19" t="n">
        <x:v>4</x:v>
      </x:c>
      <x:c r="C58" s="19" t="str">
        <x:v>会计凭证</x:v>
      </x:c>
      <x:c r="D58" s="19" t="str">
        <x:v>验证会计影响</x:v>
      </x:c>
      <x:c r="E58" s="19" t="str">
        <x:v>借：生产成本—直接材料120,000；贷：原材料120,000。</x:v>
      </x:c>
      <x:c r="F58" s="19" t="str">
        <x:v>由学习者按实际软件填写</x:v>
      </x:c>
      <x:c r="G58" s="19" t="str">
        <x:v>凭证金额、科目和维度正确</x:v>
      </x:c>
      <x:c r="H58" s="20" t="str"/>
      <x:c r="I58" s="20" t="str"/>
      <x:c r="J58" s="20" t="str"/>
      <x:c r="K58" s="20" t="str"/>
      <x:c r="L58" s="20" t="str">
        <x:v>未开始</x:v>
      </x:c>
    </x:row>
    <x:row r="59">
      <x:c r="A59" s="19" t="str">
        <x:v>ERP-08</x:v>
      </x:c>
      <x:c r="B59" s="19" t="n">
        <x:v>5</x:v>
      </x:c>
      <x:c r="C59" s="19" t="str">
        <x:v>子模块结果</x:v>
      </x:c>
      <x:c r="D59" s="19" t="str">
        <x:v>检查模块状态</x:v>
      </x:c>
      <x:c r="E59" s="19" t="str">
        <x:v>原材料数量和价值减少，工单累计材料成本增加。</x:v>
      </x:c>
      <x:c r="F59" s="19" t="str">
        <x:v>由学习者按实际软件填写</x:v>
      </x:c>
      <x:c r="G59" s="19" t="str">
        <x:v>完成并保留证据</x:v>
      </x:c>
      <x:c r="H59" s="20" t="str"/>
      <x:c r="I59" s="20" t="str"/>
      <x:c r="J59" s="20" t="str"/>
      <x:c r="K59" s="20" t="str"/>
      <x:c r="L59" s="20" t="str">
        <x:v>未开始</x:v>
      </x:c>
    </x:row>
    <x:row r="60">
      <x:c r="A60" s="19" t="str">
        <x:v>ERP-08</x:v>
      </x:c>
      <x:c r="B60" s="19" t="n">
        <x:v>6</x:v>
      </x:c>
      <x:c r="C60" s="19" t="str">
        <x:v>总账和对账</x:v>
      </x:c>
      <x:c r="D60" s="19" t="str">
        <x:v>完成总账核对</x:v>
      </x:c>
      <x:c r="E60" s="19" t="str">
        <x:v>领料工单、物料、批次、数量、计量单位及负库存。</x:v>
      </x:c>
      <x:c r="F60" s="19" t="str">
        <x:v>由学习者按实际软件填写</x:v>
      </x:c>
      <x:c r="G60" s="19" t="str">
        <x:v>源单、子模块和GL可勾稽</x:v>
      </x:c>
      <x:c r="H60" s="20" t="str"/>
      <x:c r="I60" s="20" t="str"/>
      <x:c r="J60" s="20" t="str"/>
      <x:c r="K60" s="20" t="str"/>
      <x:c r="L60" s="20" t="str">
        <x:v>未开始</x:v>
      </x:c>
    </x:row>
    <x:row r="61">
      <x:c r="A61" s="19" t="str">
        <x:v>ERP-08</x:v>
      </x:c>
      <x:c r="B61" s="19" t="n">
        <x:v>7</x:v>
      </x:c>
      <x:c r="C61" s="19" t="str">
        <x:v>异常复盘</x:v>
      </x:c>
      <x:c r="D61" s="19" t="str">
        <x:v>总结错误和预防</x:v>
      </x:c>
      <x:c r="E61" s="19" t="str">
        <x:v>领到错误工单、单位换算错误、线边仓未回传、先出库后补单。</x:v>
      </x:c>
      <x:c r="F61" s="19" t="str">
        <x:v>由学习者按实际软件填写</x:v>
      </x:c>
      <x:c r="G61" s="19" t="str">
        <x:v>完成并保留证据</x:v>
      </x:c>
      <x:c r="H61" s="20" t="str"/>
      <x:c r="I61" s="20" t="str"/>
      <x:c r="J61" s="20" t="str"/>
      <x:c r="K61" s="20" t="str"/>
      <x:c r="L61" s="20" t="str">
        <x:v>未开始</x:v>
      </x:c>
    </x:row>
    <x:row r="62">
      <x:c r="A62" s="19" t="str">
        <x:v>ERP-09</x:v>
      </x:c>
      <x:c r="B62" s="19" t="n">
        <x:v>1</x:v>
      </x:c>
      <x:c r="C62" s="19" t="str">
        <x:v>业务与单据</x:v>
      </x:c>
      <x:c r="D62" s="19" t="str">
        <x:v>理解业务实质</x:v>
      </x:c>
      <x:c r="E62" s="19" t="str">
        <x:v>退料单、补料单、报废原因、车间审批。</x:v>
      </x:c>
      <x:c r="F62" s="19" t="str">
        <x:v>由学习者按实际软件填写</x:v>
      </x:c>
      <x:c r="G62" s="19" t="str">
        <x:v>完成并保留证据</x:v>
      </x:c>
      <x:c r="H62" s="20" t="str"/>
      <x:c r="I62" s="20" t="str"/>
      <x:c r="J62" s="20" t="str"/>
      <x:c r="K62" s="20" t="str"/>
      <x:c r="L62" s="20" t="str">
        <x:v>未开始</x:v>
      </x:c>
    </x:row>
    <x:row r="63">
      <x:c r="A63" s="19" t="str">
        <x:v>ERP-09</x:v>
      </x:c>
      <x:c r="B63" s="19" t="n">
        <x:v>2</x:v>
      </x:c>
      <x:c r="C63" s="19" t="str">
        <x:v>主数据</x:v>
      </x:c>
      <x:c r="D63" s="19" t="str">
        <x:v>确认基础数据</x:v>
      </x:c>
      <x:c r="E63" s="19" t="str">
        <x:v>组织、客户/供应商/物料、科目、税码和期间</x:v>
      </x:c>
      <x:c r="F63" s="19" t="str">
        <x:v>由学习者按实际软件填写</x:v>
      </x:c>
      <x:c r="G63" s="19" t="str">
        <x:v>完成并保留证据</x:v>
      </x:c>
      <x:c r="H63" s="20" t="str"/>
      <x:c r="I63" s="20" t="str"/>
      <x:c r="J63" s="20" t="str"/>
      <x:c r="K63" s="20" t="str"/>
      <x:c r="L63" s="20" t="str">
        <x:v>未开始</x:v>
      </x:c>
    </x:row>
    <x:row r="64">
      <x:c r="A64" s="19" t="str">
        <x:v>ERP-09</x:v>
      </x:c>
      <x:c r="B64" s="19" t="n">
        <x:v>3</x:v>
      </x:c>
      <x:c r="C64" s="19" t="str">
        <x:v>系统操作</x:v>
      </x:c>
      <x:c r="D64" s="19" t="str">
        <x:v>完成系统动作</x:v>
      </x:c>
      <x:c r="E64" s="19" t="str">
        <x:v>退料参照原领料单回到可用或待检库存；补料注明原因代码；成本会计区分正常损耗与异常损失。</x:v>
      </x:c>
      <x:c r="F64" s="19" t="str">
        <x:v>由学习者按实际软件填写</x:v>
      </x:c>
      <x:c r="G64" s="19" t="str">
        <x:v>完成并保留证据</x:v>
      </x:c>
      <x:c r="H64" s="20" t="str"/>
      <x:c r="I64" s="20" t="str"/>
      <x:c r="J64" s="20" t="str"/>
      <x:c r="K64" s="20" t="str"/>
      <x:c r="L64" s="20" t="str">
        <x:v>未开始</x:v>
      </x:c>
    </x:row>
    <x:row r="65">
      <x:c r="A65" s="19" t="str">
        <x:v>ERP-09</x:v>
      </x:c>
      <x:c r="B65" s="19" t="n">
        <x:v>4</x:v>
      </x:c>
      <x:c r="C65" s="19" t="str">
        <x:v>会计凭证</x:v>
      </x:c>
      <x:c r="D65" s="19" t="str">
        <x:v>验证会计影响</x:v>
      </x:c>
      <x:c r="E65" s="19" t="str">
        <x:v>退料：借原材料、贷生产成本；补领：借生产成本、贷原材料。异常报废是否进入当期损益需结合原因和政策判断。</x:v>
      </x:c>
      <x:c r="F65" s="19" t="str">
        <x:v>由学习者按实际软件填写</x:v>
      </x:c>
      <x:c r="G65" s="19" t="str">
        <x:v>凭证金额、科目和维度正确</x:v>
      </x:c>
      <x:c r="H65" s="20" t="str"/>
      <x:c r="I65" s="20" t="str"/>
      <x:c r="J65" s="20" t="str"/>
      <x:c r="K65" s="20" t="str"/>
      <x:c r="L65" s="20" t="str">
        <x:v>未开始</x:v>
      </x:c>
    </x:row>
    <x:row r="66">
      <x:c r="A66" s="19" t="str">
        <x:v>ERP-09</x:v>
      </x:c>
      <x:c r="B66" s="19" t="n">
        <x:v>5</x:v>
      </x:c>
      <x:c r="C66" s="19" t="str">
        <x:v>子模块结果</x:v>
      </x:c>
      <x:c r="D66" s="19" t="str">
        <x:v>检查模块状态</x:v>
      </x:c>
      <x:c r="E66" s="19" t="str">
        <x:v>工单实际耗用与仓库实物流一致，并保留耗用差异原因。</x:v>
      </x:c>
      <x:c r="F66" s="19" t="str">
        <x:v>由学习者按实际软件填写</x:v>
      </x:c>
      <x:c r="G66" s="19" t="str">
        <x:v>完成并保留证据</x:v>
      </x:c>
      <x:c r="H66" s="20" t="str"/>
      <x:c r="I66" s="20" t="str"/>
      <x:c r="J66" s="20" t="str"/>
      <x:c r="K66" s="20" t="str"/>
      <x:c r="L66" s="20" t="str">
        <x:v>未开始</x:v>
      </x:c>
    </x:row>
    <x:row r="67">
      <x:c r="A67" s="19" t="str">
        <x:v>ERP-09</x:v>
      </x:c>
      <x:c r="B67" s="19" t="n">
        <x:v>6</x:v>
      </x:c>
      <x:c r="C67" s="19" t="str">
        <x:v>总账和对账</x:v>
      </x:c>
      <x:c r="D67" s="19" t="str">
        <x:v>完成总账核对</x:v>
      </x:c>
      <x:c r="E67" s="19" t="str">
        <x:v>BOM标准用量与实际用量差异、报废率和责任原因。</x:v>
      </x:c>
      <x:c r="F67" s="19" t="str">
        <x:v>由学习者按实际软件填写</x:v>
      </x:c>
      <x:c r="G67" s="19" t="str">
        <x:v>源单、子模块和GL可勾稽</x:v>
      </x:c>
      <x:c r="H67" s="20" t="str"/>
      <x:c r="I67" s="20" t="str"/>
      <x:c r="J67" s="20" t="str"/>
      <x:c r="K67" s="20" t="str"/>
      <x:c r="L67" s="20" t="str">
        <x:v>未开始</x:v>
      </x:c>
    </x:row>
    <x:row r="68">
      <x:c r="A68" s="19" t="str">
        <x:v>ERP-09</x:v>
      </x:c>
      <x:c r="B68" s="19" t="n">
        <x:v>7</x:v>
      </x:c>
      <x:c r="C68" s="19" t="str">
        <x:v>异常复盘</x:v>
      </x:c>
      <x:c r="D68" s="19" t="str">
        <x:v>总结错误和预防</x:v>
      </x:c>
      <x:c r="E68" s="19" t="str">
        <x:v>退料只做实物不做系统、用负领料代替规范退料、异常损失埋入正常成本。</x:v>
      </x:c>
      <x:c r="F68" s="19" t="str">
        <x:v>由学习者按实际软件填写</x:v>
      </x:c>
      <x:c r="G68" s="19" t="str">
        <x:v>完成并保留证据</x:v>
      </x:c>
      <x:c r="H68" s="20" t="str"/>
      <x:c r="I68" s="20" t="str"/>
      <x:c r="J68" s="20" t="str"/>
      <x:c r="K68" s="20" t="str"/>
      <x:c r="L68" s="20" t="str">
        <x:v>未开始</x:v>
      </x:c>
    </x:row>
    <x:row r="69">
      <x:c r="A69" s="19" t="str">
        <x:v>ERP-10</x:v>
      </x:c>
      <x:c r="B69" s="19" t="n">
        <x:v>1</x:v>
      </x:c>
      <x:c r="C69" s="19" t="str">
        <x:v>业务与单据</x:v>
      </x:c>
      <x:c r="D69" s="19" t="str">
        <x:v>理解业务实质</x:v>
      </x:c>
      <x:c r="E69" s="19" t="str">
        <x:v>工资汇总、考勤工时、折旧清单、水电分摊、成本中心报表。</x:v>
      </x:c>
      <x:c r="F69" s="19" t="str">
        <x:v>由学习者按实际软件填写</x:v>
      </x:c>
      <x:c r="G69" s="19" t="str">
        <x:v>完成并保留证据</x:v>
      </x:c>
      <x:c r="H69" s="20" t="str"/>
      <x:c r="I69" s="20" t="str"/>
      <x:c r="J69" s="20" t="str"/>
      <x:c r="K69" s="20" t="str"/>
      <x:c r="L69" s="20" t="str">
        <x:v>未开始</x:v>
      </x:c>
    </x:row>
    <x:row r="70">
      <x:c r="A70" s="19" t="str">
        <x:v>ERP-10</x:v>
      </x:c>
      <x:c r="B70" s="19" t="n">
        <x:v>2</x:v>
      </x:c>
      <x:c r="C70" s="19" t="str">
        <x:v>主数据</x:v>
      </x:c>
      <x:c r="D70" s="19" t="str">
        <x:v>确认基础数据</x:v>
      </x:c>
      <x:c r="E70" s="19" t="str">
        <x:v>组织、客户/供应商/物料、科目、税码和期间</x:v>
      </x:c>
      <x:c r="F70" s="19" t="str">
        <x:v>由学习者按实际软件填写</x:v>
      </x:c>
      <x:c r="G70" s="19" t="str">
        <x:v>完成并保留证据</x:v>
      </x:c>
      <x:c r="H70" s="20" t="str"/>
      <x:c r="I70" s="20" t="str"/>
      <x:c r="J70" s="20" t="str"/>
      <x:c r="K70" s="20" t="str"/>
      <x:c r="L70" s="20" t="str">
        <x:v>未开始</x:v>
      </x:c>
    </x:row>
    <x:row r="71">
      <x:c r="A71" s="19" t="str">
        <x:v>ERP-10</x:v>
      </x:c>
      <x:c r="B71" s="19" t="n">
        <x:v>3</x:v>
      </x:c>
      <x:c r="C71" s="19" t="str">
        <x:v>系统操作</x:v>
      </x:c>
      <x:c r="D71" s="19" t="str">
        <x:v>完成系统动作</x:v>
      </x:c>
      <x:c r="E71" s="19" t="str">
        <x:v>HR工资接口按人员和成本中心传递；FA生成折旧；AP/GL记录水电；成本模块归集到生产成本中心。</x:v>
      </x:c>
      <x:c r="F71" s="19" t="str">
        <x:v>由学习者按实际软件填写</x:v>
      </x:c>
      <x:c r="G71" s="19" t="str">
        <x:v>完成并保留证据</x:v>
      </x:c>
      <x:c r="H71" s="20" t="str"/>
      <x:c r="I71" s="20" t="str"/>
      <x:c r="J71" s="20" t="str"/>
      <x:c r="K71" s="20" t="str"/>
      <x:c r="L71" s="20" t="str">
        <x:v>未开始</x:v>
      </x:c>
    </x:row>
    <x:row r="72">
      <x:c r="A72" s="19" t="str">
        <x:v>ERP-10</x:v>
      </x:c>
      <x:c r="B72" s="19" t="n">
        <x:v>4</x:v>
      </x:c>
      <x:c r="C72" s="19" t="str">
        <x:v>会计凭证</x:v>
      </x:c>
      <x:c r="D72" s="19" t="str">
        <x:v>验证会计影响</x:v>
      </x:c>
      <x:c r="E72" s="19" t="str">
        <x:v>借生产成本—直接人工80,000、制造费用120,000；贷应付职工薪酬130,000、累计折旧40,000、应付账款或银行30,000。随后按分配规则将制造费用转入产品成本。</x:v>
      </x:c>
      <x:c r="F72" s="19" t="str">
        <x:v>由学习者按实际软件填写</x:v>
      </x:c>
      <x:c r="G72" s="19" t="str">
        <x:v>凭证金额、科目和维度正确</x:v>
      </x:c>
      <x:c r="H72" s="20" t="str"/>
      <x:c r="I72" s="20" t="str"/>
      <x:c r="J72" s="20" t="str"/>
      <x:c r="K72" s="20" t="str"/>
      <x:c r="L72" s="20" t="str">
        <x:v>未开始</x:v>
      </x:c>
    </x:row>
    <x:row r="73">
      <x:c r="A73" s="19" t="str">
        <x:v>ERP-10</x:v>
      </x:c>
      <x:c r="B73" s="19" t="n">
        <x:v>5</x:v>
      </x:c>
      <x:c r="C73" s="19" t="str">
        <x:v>子模块结果</x:v>
      </x:c>
      <x:c r="D73" s="19" t="str">
        <x:v>检查模块状态</x:v>
      </x:c>
      <x:c r="E73" s="19" t="str">
        <x:v>成本中心费用完整，工单获得人工和制造费用分配。</x:v>
      </x:c>
      <x:c r="F73" s="19" t="str">
        <x:v>由学习者按实际软件填写</x:v>
      </x:c>
      <x:c r="G73" s="19" t="str">
        <x:v>完成并保留证据</x:v>
      </x:c>
      <x:c r="H73" s="20" t="str"/>
      <x:c r="I73" s="20" t="str"/>
      <x:c r="J73" s="20" t="str"/>
      <x:c r="K73" s="20" t="str"/>
      <x:c r="L73" s="20" t="str">
        <x:v>未开始</x:v>
      </x:c>
    </x:row>
    <x:row r="74">
      <x:c r="A74" s="19" t="str">
        <x:v>ERP-10</x:v>
      </x:c>
      <x:c r="B74" s="19" t="n">
        <x:v>6</x:v>
      </x:c>
      <x:c r="C74" s="19" t="str">
        <x:v>总账和对账</x:v>
      </x:c>
      <x:c r="D74" s="19" t="str">
        <x:v>完成总账核对</x:v>
      </x:c>
      <x:c r="E74" s="19" t="str">
        <x:v>工资人数及总额、成本中心映射、制造费用科目余额和未分配金额。</x:v>
      </x:c>
      <x:c r="F74" s="19" t="str">
        <x:v>由学习者按实际软件填写</x:v>
      </x:c>
      <x:c r="G74" s="19" t="str">
        <x:v>源单、子模块和GL可勾稽</x:v>
      </x:c>
      <x:c r="H74" s="20" t="str"/>
      <x:c r="I74" s="20" t="str"/>
      <x:c r="J74" s="20" t="str"/>
      <x:c r="K74" s="20" t="str"/>
      <x:c r="L74" s="20" t="str">
        <x:v>未开始</x:v>
      </x:c>
    </x:row>
    <x:row r="75">
      <x:c r="A75" s="19" t="str">
        <x:v>ERP-10</x:v>
      </x:c>
      <x:c r="B75" s="19" t="n">
        <x:v>7</x:v>
      </x:c>
      <x:c r="C75" s="19" t="str">
        <x:v>异常复盘</x:v>
      </x:c>
      <x:c r="D75" s="19" t="str">
        <x:v>总结错误和预防</x:v>
      </x:c>
      <x:c r="E75" s="19" t="str">
        <x:v>工资全部记管理费用、折旧未跑、费用中心错误、分配基础为零。</x:v>
      </x:c>
      <x:c r="F75" s="19" t="str">
        <x:v>由学习者按实际软件填写</x:v>
      </x:c>
      <x:c r="G75" s="19" t="str">
        <x:v>完成并保留证据</x:v>
      </x:c>
      <x:c r="H75" s="20" t="str"/>
      <x:c r="I75" s="20" t="str"/>
      <x:c r="J75" s="20" t="str"/>
      <x:c r="K75" s="20" t="str"/>
      <x:c r="L75" s="20" t="str">
        <x:v>未开始</x:v>
      </x:c>
    </x:row>
    <x:row r="76">
      <x:c r="A76" s="19" t="str">
        <x:v>ERP-11</x:v>
      </x:c>
      <x:c r="B76" s="19" t="n">
        <x:v>1</x:v>
      </x:c>
      <x:c r="C76" s="19" t="str">
        <x:v>业务与单据</x:v>
      </x:c>
      <x:c r="D76" s="19" t="str">
        <x:v>理解业务实质</x:v>
      </x:c>
      <x:c r="E76" s="19" t="str">
        <x:v>报工单、完工检验单、生产入库单、在制盘点。</x:v>
      </x:c>
      <x:c r="F76" s="19" t="str">
        <x:v>由学习者按实际软件填写</x:v>
      </x:c>
      <x:c r="G76" s="19" t="str">
        <x:v>完成并保留证据</x:v>
      </x:c>
      <x:c r="H76" s="20" t="str"/>
      <x:c r="I76" s="20" t="str"/>
      <x:c r="J76" s="20" t="str"/>
      <x:c r="K76" s="20" t="str"/>
      <x:c r="L76" s="20" t="str">
        <x:v>未开始</x:v>
      </x:c>
    </x:row>
    <x:row r="77">
      <x:c r="A77" s="19" t="str">
        <x:v>ERP-11</x:v>
      </x:c>
      <x:c r="B77" s="19" t="n">
        <x:v>2</x:v>
      </x:c>
      <x:c r="C77" s="19" t="str">
        <x:v>主数据</x:v>
      </x:c>
      <x:c r="D77" s="19" t="str">
        <x:v>确认基础数据</x:v>
      </x:c>
      <x:c r="E77" s="19" t="str">
        <x:v>组织、客户/供应商/物料、科目、税码和期间</x:v>
      </x:c>
      <x:c r="F77" s="19" t="str">
        <x:v>由学习者按实际软件填写</x:v>
      </x:c>
      <x:c r="G77" s="19" t="str">
        <x:v>完成并保留证据</x:v>
      </x:c>
      <x:c r="H77" s="20" t="str"/>
      <x:c r="I77" s="20" t="str"/>
      <x:c r="J77" s="20" t="str"/>
      <x:c r="K77" s="20" t="str"/>
      <x:c r="L77" s="20" t="str">
        <x:v>未开始</x:v>
      </x:c>
    </x:row>
    <x:row r="78">
      <x:c r="A78" s="19" t="str">
        <x:v>ERP-11</x:v>
      </x:c>
      <x:c r="B78" s="19" t="n">
        <x:v>3</x:v>
      </x:c>
      <x:c r="C78" s="19" t="str">
        <x:v>系统操作</x:v>
      </x:c>
      <x:c r="D78" s="19" t="str">
        <x:v>完成系统动作</x:v>
      </x:c>
      <x:c r="E78" s="19" t="str">
        <x:v>MES回传产量和工时；质量放行；仓库按生产订单接收入库；系统记录完工数量和初始估价。</x:v>
      </x:c>
      <x:c r="F78" s="19" t="str">
        <x:v>由学习者按实际软件填写</x:v>
      </x:c>
      <x:c r="G78" s="19" t="str">
        <x:v>完成并保留证据</x:v>
      </x:c>
      <x:c r="H78" s="20" t="str"/>
      <x:c r="I78" s="20" t="str"/>
      <x:c r="J78" s="20" t="str"/>
      <x:c r="K78" s="20" t="str"/>
      <x:c r="L78" s="20" t="str">
        <x:v>未开始</x:v>
      </x:c>
    </x:row>
    <x:row r="79">
      <x:c r="A79" s="19" t="str">
        <x:v>ERP-11</x:v>
      </x:c>
      <x:c r="B79" s="19" t="n">
        <x:v>4</x:v>
      </x:c>
      <x:c r="C79" s="19" t="str">
        <x:v>会计凭证</x:v>
      </x:c>
      <x:c r="D79" s="19" t="str">
        <x:v>验证会计影响</x:v>
      </x:c>
      <x:c r="E79" s="19" t="str">
        <x:v>按企业核算方式借产成品、贷生产成本；初始金额可为标准成本，月末结算后再调整。</x:v>
      </x:c>
      <x:c r="F79" s="19" t="str">
        <x:v>由学习者按实际软件填写</x:v>
      </x:c>
      <x:c r="G79" s="19" t="str">
        <x:v>凭证金额、科目和维度正确</x:v>
      </x:c>
      <x:c r="H79" s="20" t="str"/>
      <x:c r="I79" s="20" t="str"/>
      <x:c r="J79" s="20" t="str"/>
      <x:c r="K79" s="20" t="str"/>
      <x:c r="L79" s="20" t="str">
        <x:v>未开始</x:v>
      </x:c>
    </x:row>
    <x:row r="80">
      <x:c r="A80" s="19" t="str">
        <x:v>ERP-11</x:v>
      </x:c>
      <x:c r="B80" s="19" t="n">
        <x:v>5</x:v>
      </x:c>
      <x:c r="C80" s="19" t="str">
        <x:v>子模块结果</x:v>
      </x:c>
      <x:c r="D80" s="19" t="str">
        <x:v>检查模块状态</x:v>
      </x:c>
      <x:c r="E80" s="19" t="str">
        <x:v>产成品库存增加190台，工单保留10台在制。</x:v>
      </x:c>
      <x:c r="F80" s="19" t="str">
        <x:v>由学习者按实际软件填写</x:v>
      </x:c>
      <x:c r="G80" s="19" t="str">
        <x:v>完成并保留证据</x:v>
      </x:c>
      <x:c r="H80" s="20" t="str"/>
      <x:c r="I80" s="20" t="str"/>
      <x:c r="J80" s="20" t="str"/>
      <x:c r="K80" s="20" t="str"/>
      <x:c r="L80" s="20" t="str">
        <x:v>未开始</x:v>
      </x:c>
    </x:row>
    <x:row r="81">
      <x:c r="A81" s="19" t="str">
        <x:v>ERP-11</x:v>
      </x:c>
      <x:c r="B81" s="19" t="n">
        <x:v>6</x:v>
      </x:c>
      <x:c r="C81" s="19" t="str">
        <x:v>总账和对账</x:v>
      </x:c>
      <x:c r="D81" s="19" t="str">
        <x:v>完成总账核对</x:v>
      </x:c>
      <x:c r="E81" s="19" t="str">
        <x:v>完工数量、合格数量、报废数量、工单状态及生产入库凭证。</x:v>
      </x:c>
      <x:c r="F81" s="19" t="str">
        <x:v>由学习者按实际软件填写</x:v>
      </x:c>
      <x:c r="G81" s="19" t="str">
        <x:v>源单、子模块和GL可勾稽</x:v>
      </x:c>
      <x:c r="H81" s="20" t="str"/>
      <x:c r="I81" s="20" t="str"/>
      <x:c r="J81" s="20" t="str"/>
      <x:c r="K81" s="20" t="str"/>
      <x:c r="L81" s="20" t="str">
        <x:v>未开始</x:v>
      </x:c>
    </x:row>
    <x:row r="82">
      <x:c r="A82" s="19" t="str">
        <x:v>ERP-11</x:v>
      </x:c>
      <x:c r="B82" s="19" t="n">
        <x:v>7</x:v>
      </x:c>
      <x:c r="C82" s="19" t="str">
        <x:v>异常复盘</x:v>
      </x:c>
      <x:c r="D82" s="19" t="str">
        <x:v>总结错误和预防</x:v>
      </x:c>
      <x:c r="E82" s="19" t="str">
        <x:v>报工与入库不一致、全部完工却保留在制、重复入库、无成本入库。</x:v>
      </x:c>
      <x:c r="F82" s="19" t="str">
        <x:v>由学习者按实际软件填写</x:v>
      </x:c>
      <x:c r="G82" s="19" t="str">
        <x:v>完成并保留证据</x:v>
      </x:c>
      <x:c r="H82" s="20" t="str"/>
      <x:c r="I82" s="20" t="str"/>
      <x:c r="J82" s="20" t="str"/>
      <x:c r="K82" s="20" t="str"/>
      <x:c r="L82" s="20" t="str">
        <x:v>未开始</x:v>
      </x:c>
    </x:row>
    <x:row r="83">
      <x:c r="A83" s="19" t="str">
        <x:v>ERP-12</x:v>
      </x:c>
      <x:c r="B83" s="19" t="n">
        <x:v>1</x:v>
      </x:c>
      <x:c r="C83" s="19" t="str">
        <x:v>业务与单据</x:v>
      </x:c>
      <x:c r="D83" s="19" t="str">
        <x:v>理解业务实质</x:v>
      </x:c>
      <x:c r="E83" s="19" t="str">
        <x:v>工单成本明细、在制数量、BOM、工时、制造费用分配表。</x:v>
      </x:c>
      <x:c r="F83" s="19" t="str">
        <x:v>由学习者按实际软件填写</x:v>
      </x:c>
      <x:c r="G83" s="19" t="str">
        <x:v>完成并保留证据</x:v>
      </x:c>
      <x:c r="H83" s="20" t="str"/>
      <x:c r="I83" s="20" t="str"/>
      <x:c r="J83" s="20" t="str"/>
      <x:c r="K83" s="20" t="str"/>
      <x:c r="L83" s="20" t="str">
        <x:v>未开始</x:v>
      </x:c>
    </x:row>
    <x:row r="84">
      <x:c r="A84" s="19" t="str">
        <x:v>ERP-12</x:v>
      </x:c>
      <x:c r="B84" s="19" t="n">
        <x:v>2</x:v>
      </x:c>
      <x:c r="C84" s="19" t="str">
        <x:v>主数据</x:v>
      </x:c>
      <x:c r="D84" s="19" t="str">
        <x:v>确认基础数据</x:v>
      </x:c>
      <x:c r="E84" s="19" t="str">
        <x:v>组织、客户/供应商/物料、科目、税码和期间</x:v>
      </x:c>
      <x:c r="F84" s="19" t="str">
        <x:v>由学习者按实际软件填写</x:v>
      </x:c>
      <x:c r="G84" s="19" t="str">
        <x:v>完成并保留证据</x:v>
      </x:c>
      <x:c r="H84" s="20" t="str"/>
      <x:c r="I84" s="20" t="str"/>
      <x:c r="J84" s="20" t="str"/>
      <x:c r="K84" s="20" t="str"/>
      <x:c r="L84" s="20" t="str">
        <x:v>未开始</x:v>
      </x:c>
    </x:row>
    <x:row r="85">
      <x:c r="A85" s="19" t="str">
        <x:v>ERP-12</x:v>
      </x:c>
      <x:c r="B85" s="19" t="n">
        <x:v>3</x:v>
      </x:c>
      <x:c r="C85" s="19" t="str">
        <x:v>系统操作</x:v>
      </x:c>
      <x:c r="D85" s="19" t="str">
        <x:v>完成系统动作</x:v>
      </x:c>
      <x:c r="E85" s="19" t="str">
        <x:v>检查未记账领料和报工；确认在制方法；运行成本计算；分析异常单位成本；执行工单结算并生成差异凭证。</x:v>
      </x:c>
      <x:c r="F85" s="19" t="str">
        <x:v>由学习者按实际软件填写</x:v>
      </x:c>
      <x:c r="G85" s="19" t="str">
        <x:v>完成并保留证据</x:v>
      </x:c>
      <x:c r="H85" s="20" t="str"/>
      <x:c r="I85" s="20" t="str"/>
      <x:c r="J85" s="20" t="str"/>
      <x:c r="K85" s="20" t="str"/>
      <x:c r="L85" s="20" t="str">
        <x:v>未开始</x:v>
      </x:c>
    </x:row>
    <x:row r="86">
      <x:c r="A86" s="19" t="str">
        <x:v>ERP-12</x:v>
      </x:c>
      <x:c r="B86" s="19" t="n">
        <x:v>4</x:v>
      </x:c>
      <x:c r="C86" s="19" t="str">
        <x:v>会计凭证</x:v>
      </x:c>
      <x:c r="D86" s="19" t="str">
        <x:v>验证会计影响</x:v>
      </x:c>
      <x:c r="E86" s="19" t="str">
        <x:v>将生产成本分配至产成品和期末在产品；标准成本差异按政策进入存货、销售成本或差异科目。</x:v>
      </x:c>
      <x:c r="F86" s="19" t="str">
        <x:v>由学习者按实际软件填写</x:v>
      </x:c>
      <x:c r="G86" s="19" t="str">
        <x:v>凭证金额、科目和维度正确</x:v>
      </x:c>
      <x:c r="H86" s="20" t="str"/>
      <x:c r="I86" s="20" t="str"/>
      <x:c r="J86" s="20" t="str"/>
      <x:c r="K86" s="20" t="str"/>
      <x:c r="L86" s="20" t="str">
        <x:v>未开始</x:v>
      </x:c>
    </x:row>
    <x:row r="87">
      <x:c r="A87" s="19" t="str">
        <x:v>ERP-12</x:v>
      </x:c>
      <x:c r="B87" s="19" t="n">
        <x:v>5</x:v>
      </x:c>
      <x:c r="C87" s="19" t="str">
        <x:v>子模块结果</x:v>
      </x:c>
      <x:c r="D87" s="19" t="str">
        <x:v>检查模块状态</x:v>
      </x:c>
      <x:c r="E87" s="19" t="str">
        <x:v>在产品、产成品和差异科目获得最终金额，成本模块可关账。</x:v>
      </x:c>
      <x:c r="F87" s="19" t="str">
        <x:v>由学习者按实际软件填写</x:v>
      </x:c>
      <x:c r="G87" s="19" t="str">
        <x:v>完成并保留证据</x:v>
      </x:c>
      <x:c r="H87" s="20" t="str"/>
      <x:c r="I87" s="20" t="str"/>
      <x:c r="J87" s="20" t="str"/>
      <x:c r="K87" s="20" t="str"/>
      <x:c r="L87" s="20" t="str">
        <x:v>未开始</x:v>
      </x:c>
    </x:row>
    <x:row r="88">
      <x:c r="A88" s="19" t="str">
        <x:v>ERP-12</x:v>
      </x:c>
      <x:c r="B88" s="19" t="n">
        <x:v>6</x:v>
      </x:c>
      <x:c r="C88" s="19" t="str">
        <x:v>总账和对账</x:v>
      </x:c>
      <x:c r="D88" s="19" t="str">
        <x:v>完成总账核对</x:v>
      </x:c>
      <x:c r="E88" s="19" t="str">
        <x:v>投入=完工转出+期末在制+异常损失；核对零成本、负成本和异常波动。</x:v>
      </x:c>
      <x:c r="F88" s="19" t="str">
        <x:v>由学习者按实际软件填写</x:v>
      </x:c>
      <x:c r="G88" s="19" t="str">
        <x:v>源单、子模块和GL可勾稽</x:v>
      </x:c>
      <x:c r="H88" s="20" t="str"/>
      <x:c r="I88" s="20" t="str"/>
      <x:c r="J88" s="20" t="str"/>
      <x:c r="K88" s="20" t="str"/>
      <x:c r="L88" s="20" t="str">
        <x:v>未开始</x:v>
      </x:c>
    </x:row>
    <x:row r="89">
      <x:c r="A89" s="19" t="str">
        <x:v>ERP-12</x:v>
      </x:c>
      <x:c r="B89" s="19" t="n">
        <x:v>7</x:v>
      </x:c>
      <x:c r="C89" s="19" t="str">
        <x:v>异常复盘</x:v>
      </x:c>
      <x:c r="D89" s="19" t="str">
        <x:v>总结错误和预防</x:v>
      </x:c>
      <x:c r="E89" s="19" t="str">
        <x:v>工单未关闭、在制数量错误、制造费用未归集、结账顺序错误。</x:v>
      </x:c>
      <x:c r="F89" s="19" t="str">
        <x:v>由学习者按实际软件填写</x:v>
      </x:c>
      <x:c r="G89" s="19" t="str">
        <x:v>完成并保留证据</x:v>
      </x:c>
      <x:c r="H89" s="20" t="str"/>
      <x:c r="I89" s="20" t="str"/>
      <x:c r="J89" s="20" t="str"/>
      <x:c r="K89" s="20" t="str"/>
      <x:c r="L89" s="20" t="str">
        <x:v>未开始</x:v>
      </x:c>
    </x:row>
    <x:row r="90">
      <x:c r="A90" s="19" t="str">
        <x:v>ERP-13</x:v>
      </x:c>
      <x:c r="B90" s="19" t="n">
        <x:v>1</x:v>
      </x:c>
      <x:c r="C90" s="19" t="str">
        <x:v>业务与单据</x:v>
      </x:c>
      <x:c r="D90" s="19" t="str">
        <x:v>理解业务实质</x:v>
      </x:c>
      <x:c r="E90" s="19" t="str">
        <x:v>客户准入、信用审批、销售合同、销售订单SO260401。</x:v>
      </x:c>
      <x:c r="F90" s="19" t="str">
        <x:v>由学习者按实际软件填写</x:v>
      </x:c>
      <x:c r="G90" s="19" t="str">
        <x:v>完成并保留证据</x:v>
      </x:c>
      <x:c r="H90" s="20" t="str"/>
      <x:c r="I90" s="20" t="str"/>
      <x:c r="J90" s="20" t="str"/>
      <x:c r="K90" s="20" t="str"/>
      <x:c r="L90" s="20" t="str">
        <x:v>未开始</x:v>
      </x:c>
    </x:row>
    <x:row r="91">
      <x:c r="A91" s="19" t="str">
        <x:v>ERP-13</x:v>
      </x:c>
      <x:c r="B91" s="19" t="n">
        <x:v>2</x:v>
      </x:c>
      <x:c r="C91" s="19" t="str">
        <x:v>主数据</x:v>
      </x:c>
      <x:c r="D91" s="19" t="str">
        <x:v>确认基础数据</x:v>
      </x:c>
      <x:c r="E91" s="19" t="str">
        <x:v>组织、客户/供应商/物料、科目、税码和期间</x:v>
      </x:c>
      <x:c r="F91" s="19" t="str">
        <x:v>由学习者按实际软件填写</x:v>
      </x:c>
      <x:c r="G91" s="19" t="str">
        <x:v>完成并保留证据</x:v>
      </x:c>
      <x:c r="H91" s="20" t="str"/>
      <x:c r="I91" s="20" t="str"/>
      <x:c r="J91" s="20" t="str"/>
      <x:c r="K91" s="20" t="str"/>
      <x:c r="L91" s="20" t="str">
        <x:v>未开始</x:v>
      </x:c>
    </x:row>
    <x:row r="92">
      <x:c r="A92" s="19" t="str">
        <x:v>ERP-13</x:v>
      </x:c>
      <x:c r="B92" s="19" t="n">
        <x:v>3</x:v>
      </x:c>
      <x:c r="C92" s="19" t="str">
        <x:v>系统操作</x:v>
      </x:c>
      <x:c r="D92" s="19" t="str">
        <x:v>完成系统动作</x:v>
      </x:c>
      <x:c r="E92" s="19" t="str">
        <x:v>创建客户主数据并设置信用额度；销售录入数量、价格、税码、交货和收款条件；系统进行价格和信用检查。</x:v>
      </x:c>
      <x:c r="F92" s="19" t="str">
        <x:v>由学习者按实际软件填写</x:v>
      </x:c>
      <x:c r="G92" s="19" t="str">
        <x:v>完成并保留证据</x:v>
      </x:c>
      <x:c r="H92" s="20" t="str"/>
      <x:c r="I92" s="20" t="str"/>
      <x:c r="J92" s="20" t="str"/>
      <x:c r="K92" s="20" t="str"/>
      <x:c r="L92" s="20" t="str">
        <x:v>未开始</x:v>
      </x:c>
    </x:row>
    <x:row r="93">
      <x:c r="A93" s="19" t="str">
        <x:v>ERP-13</x:v>
      </x:c>
      <x:c r="B93" s="19" t="n">
        <x:v>4</x:v>
      </x:c>
      <x:c r="C93" s="19" t="str">
        <x:v>会计凭证</x:v>
      </x:c>
      <x:c r="D93" s="19" t="str">
        <x:v>验证会计影响</x:v>
      </x:c>
      <x:c r="E93" s="19" t="str">
        <x:v>销售订单通常不直接确认收入或应收。</x:v>
      </x:c>
      <x:c r="F93" s="19" t="str">
        <x:v>由学习者按实际软件填写</x:v>
      </x:c>
      <x:c r="G93" s="19" t="str">
        <x:v>凭证金额、科目和维度正确</x:v>
      </x:c>
      <x:c r="H93" s="20" t="str"/>
      <x:c r="I93" s="20" t="str"/>
      <x:c r="J93" s="20" t="str"/>
      <x:c r="K93" s="20" t="str"/>
      <x:c r="L93" s="20" t="str">
        <x:v>未开始</x:v>
      </x:c>
    </x:row>
    <x:row r="94">
      <x:c r="A94" s="19" t="str">
        <x:v>ERP-13</x:v>
      </x:c>
      <x:c r="B94" s="19" t="n">
        <x:v>5</x:v>
      </x:c>
      <x:c r="C94" s="19" t="str">
        <x:v>子模块结果</x:v>
      </x:c>
      <x:c r="D94" s="19" t="str">
        <x:v>检查模块状态</x:v>
      </x:c>
      <x:c r="E94" s="19" t="str">
        <x:v>形成待交货销售订单并占用信用额度。</x:v>
      </x:c>
      <x:c r="F94" s="19" t="str">
        <x:v>由学习者按实际软件填写</x:v>
      </x:c>
      <x:c r="G94" s="19" t="str">
        <x:v>完成并保留证据</x:v>
      </x:c>
      <x:c r="H94" s="20" t="str"/>
      <x:c r="I94" s="20" t="str"/>
      <x:c r="J94" s="20" t="str"/>
      <x:c r="K94" s="20" t="str"/>
      <x:c r="L94" s="20" t="str">
        <x:v>未开始</x:v>
      </x:c>
    </x:row>
    <x:row r="95">
      <x:c r="A95" s="19" t="str">
        <x:v>ERP-13</x:v>
      </x:c>
      <x:c r="B95" s="19" t="n">
        <x:v>6</x:v>
      </x:c>
      <x:c r="C95" s="19" t="str">
        <x:v>总账和对账</x:v>
      </x:c>
      <x:c r="D95" s="19" t="str">
        <x:v>完成总账核对</x:v>
      </x:c>
      <x:c r="E95" s="19" t="str">
        <x:v>客户主体、税号、价格审批、信用额度、收货地点。</x:v>
      </x:c>
      <x:c r="F95" s="19" t="str">
        <x:v>由学习者按实际软件填写</x:v>
      </x:c>
      <x:c r="G95" s="19" t="str">
        <x:v>源单、子模块和GL可勾稽</x:v>
      </x:c>
      <x:c r="H95" s="20" t="str"/>
      <x:c r="I95" s="20" t="str"/>
      <x:c r="J95" s="20" t="str"/>
      <x:c r="K95" s="20" t="str"/>
      <x:c r="L95" s="20" t="str">
        <x:v>未开始</x:v>
      </x:c>
    </x:row>
    <x:row r="96">
      <x:c r="A96" s="19" t="str">
        <x:v>ERP-13</x:v>
      </x:c>
      <x:c r="B96" s="19" t="n">
        <x:v>7</x:v>
      </x:c>
      <x:c r="C96" s="19" t="str">
        <x:v>异常复盘</x:v>
      </x:c>
      <x:c r="D96" s="19" t="str">
        <x:v>总结错误和预防</x:v>
      </x:c>
      <x:c r="E96" s="19" t="str">
        <x:v>客户重复、开票主体错误、超信用发货、价格条件被手工覆盖。</x:v>
      </x:c>
      <x:c r="F96" s="19" t="str">
        <x:v>由学习者按实际软件填写</x:v>
      </x:c>
      <x:c r="G96" s="19" t="str">
        <x:v>完成并保留证据</x:v>
      </x:c>
      <x:c r="H96" s="20" t="str"/>
      <x:c r="I96" s="20" t="str"/>
      <x:c r="J96" s="20" t="str"/>
      <x:c r="K96" s="20" t="str"/>
      <x:c r="L96" s="20" t="str">
        <x:v>未开始</x:v>
      </x:c>
    </x:row>
    <x:row r="97">
      <x:c r="A97" s="19" t="str">
        <x:v>ERP-14</x:v>
      </x:c>
      <x:c r="B97" s="19" t="n">
        <x:v>1</x:v>
      </x:c>
      <x:c r="C97" s="19" t="str">
        <x:v>业务与单据</x:v>
      </x:c>
      <x:c r="D97" s="19" t="str">
        <x:v>理解业务实质</x:v>
      </x:c>
      <x:c r="E97" s="19" t="str">
        <x:v>交货单、拣货单、销售出库单、物流单、客户签收。</x:v>
      </x:c>
      <x:c r="F97" s="19" t="str">
        <x:v>由学习者按实际软件填写</x:v>
      </x:c>
      <x:c r="G97" s="19" t="str">
        <x:v>完成并保留证据</x:v>
      </x:c>
      <x:c r="H97" s="20" t="str"/>
      <x:c r="I97" s="20" t="str"/>
      <x:c r="J97" s="20" t="str"/>
      <x:c r="K97" s="20" t="str"/>
      <x:c r="L97" s="20" t="str">
        <x:v>未开始</x:v>
      </x:c>
    </x:row>
    <x:row r="98">
      <x:c r="A98" s="19" t="str">
        <x:v>ERP-14</x:v>
      </x:c>
      <x:c r="B98" s="19" t="n">
        <x:v>2</x:v>
      </x:c>
      <x:c r="C98" s="19" t="str">
        <x:v>主数据</x:v>
      </x:c>
      <x:c r="D98" s="19" t="str">
        <x:v>确认基础数据</x:v>
      </x:c>
      <x:c r="E98" s="19" t="str">
        <x:v>组织、客户/供应商/物料、科目、税码和期间</x:v>
      </x:c>
      <x:c r="F98" s="19" t="str">
        <x:v>由学习者按实际软件填写</x:v>
      </x:c>
      <x:c r="G98" s="19" t="str">
        <x:v>完成并保留证据</x:v>
      </x:c>
      <x:c r="H98" s="20" t="str"/>
      <x:c r="I98" s="20" t="str"/>
      <x:c r="J98" s="20" t="str"/>
      <x:c r="K98" s="20" t="str"/>
      <x:c r="L98" s="20" t="str">
        <x:v>未开始</x:v>
      </x:c>
    </x:row>
    <x:row r="99">
      <x:c r="A99" s="19" t="str">
        <x:v>ERP-14</x:v>
      </x:c>
      <x:c r="B99" s="19" t="n">
        <x:v>3</x:v>
      </x:c>
      <x:c r="C99" s="19" t="str">
        <x:v>系统操作</x:v>
      </x:c>
      <x:c r="D99" s="19" t="str">
        <x:v>完成系统动作</x:v>
      </x:c>
      <x:c r="E99" s="19" t="str">
        <x:v>参照销售订单创建交货；仓库拣货并过账出库；系统减少库存；收入确认节点按合同和企业政策判断。</x:v>
      </x:c>
      <x:c r="F99" s="19" t="str">
        <x:v>由学习者按实际软件填写</x:v>
      </x:c>
      <x:c r="G99" s="19" t="str">
        <x:v>完成并保留证据</x:v>
      </x:c>
      <x:c r="H99" s="20" t="str"/>
      <x:c r="I99" s="20" t="str"/>
      <x:c r="J99" s="20" t="str"/>
      <x:c r="K99" s="20" t="str"/>
      <x:c r="L99" s="20" t="str">
        <x:v>未开始</x:v>
      </x:c>
    </x:row>
    <x:row r="100">
      <x:c r="A100" s="19" t="str">
        <x:v>ERP-14</x:v>
      </x:c>
      <x:c r="B100" s="19" t="n">
        <x:v>4</x:v>
      </x:c>
      <x:c r="C100" s="19" t="str">
        <x:v>会计凭证</x:v>
      </x:c>
      <x:c r="D100" s="19" t="str">
        <x:v>验证会计影响</x:v>
      </x:c>
      <x:c r="E100" s="19" t="str">
        <x:v>出库时通常借主营业务成本150,000，贷产成品150,000。收入凭证可能与出库同日或在验收后单独形成。</x:v>
      </x:c>
      <x:c r="F100" s="19" t="str">
        <x:v>由学习者按实际软件填写</x:v>
      </x:c>
      <x:c r="G100" s="19" t="str">
        <x:v>凭证金额、科目和维度正确</x:v>
      </x:c>
      <x:c r="H100" s="20" t="str"/>
      <x:c r="I100" s="20" t="str"/>
      <x:c r="J100" s="20" t="str"/>
      <x:c r="K100" s="20" t="str"/>
      <x:c r="L100" s="20" t="str">
        <x:v>未开始</x:v>
      </x:c>
    </x:row>
    <x:row r="101">
      <x:c r="A101" s="19" t="str">
        <x:v>ERP-14</x:v>
      </x:c>
      <x:c r="B101" s="19" t="n">
        <x:v>5</x:v>
      </x:c>
      <x:c r="C101" s="19" t="str">
        <x:v>子模块结果</x:v>
      </x:c>
      <x:c r="D101" s="19" t="str">
        <x:v>检查模块状态</x:v>
      </x:c>
      <x:c r="E101" s="19" t="str">
        <x:v>产成品减少100台，订单交付状态更新。</x:v>
      </x:c>
      <x:c r="F101" s="19" t="str">
        <x:v>由学习者按实际软件填写</x:v>
      </x:c>
      <x:c r="G101" s="19" t="str">
        <x:v>完成并保留证据</x:v>
      </x:c>
      <x:c r="H101" s="20" t="str"/>
      <x:c r="I101" s="20" t="str"/>
      <x:c r="J101" s="20" t="str"/>
      <x:c r="K101" s="20" t="str"/>
      <x:c r="L101" s="20" t="str">
        <x:v>未开始</x:v>
      </x:c>
    </x:row>
    <x:row r="102">
      <x:c r="A102" s="19" t="str">
        <x:v>ERP-14</x:v>
      </x:c>
      <x:c r="B102" s="19" t="n">
        <x:v>6</x:v>
      </x:c>
      <x:c r="C102" s="19" t="str">
        <x:v>总账和对账</x:v>
      </x:c>
      <x:c r="D102" s="19" t="str">
        <x:v>完成总账核对</x:v>
      </x:c>
      <x:c r="E102" s="19" t="str">
        <x:v>出库数量、批次、签收日期、成本金额和收入事件。</x:v>
      </x:c>
      <x:c r="F102" s="19" t="str">
        <x:v>由学习者按实际软件填写</x:v>
      </x:c>
      <x:c r="G102" s="19" t="str">
        <x:v>源单、子模块和GL可勾稽</x:v>
      </x:c>
      <x:c r="H102" s="20" t="str"/>
      <x:c r="I102" s="20" t="str"/>
      <x:c r="J102" s="20" t="str"/>
      <x:c r="K102" s="20" t="str"/>
      <x:c r="L102" s="20" t="str">
        <x:v>未开始</x:v>
      </x:c>
    </x:row>
    <x:row r="103">
      <x:c r="A103" s="19" t="str">
        <x:v>ERP-14</x:v>
      </x:c>
      <x:c r="B103" s="19" t="n">
        <x:v>7</x:v>
      </x:c>
      <x:c r="C103" s="19" t="str">
        <x:v>异常复盘</x:v>
      </x:c>
      <x:c r="D103" s="19" t="str">
        <x:v>总结错误和预防</x:v>
      </x:c>
      <x:c r="E103" s="19" t="str">
        <x:v>发货未过账、出库无成本、以开票日代替所有收入判断、跨期签收未处理。</x:v>
      </x:c>
      <x:c r="F103" s="19" t="str">
        <x:v>由学习者按实际软件填写</x:v>
      </x:c>
      <x:c r="G103" s="19" t="str">
        <x:v>完成并保留证据</x:v>
      </x:c>
      <x:c r="H103" s="20" t="str"/>
      <x:c r="I103" s="20" t="str"/>
      <x:c r="J103" s="20" t="str"/>
      <x:c r="K103" s="20" t="str"/>
      <x:c r="L103" s="20" t="str">
        <x:v>未开始</x:v>
      </x:c>
    </x:row>
    <x:row r="104">
      <x:c r="A104" s="19" t="str">
        <x:v>ERP-15</x:v>
      </x:c>
      <x:c r="B104" s="19" t="n">
        <x:v>1</x:v>
      </x:c>
      <x:c r="C104" s="19" t="str">
        <x:v>业务与单据</x:v>
      </x:c>
      <x:c r="D104" s="19" t="str">
        <x:v>理解业务实质</x:v>
      </x:c>
      <x:c r="E104" s="19" t="str">
        <x:v>合同、订单、出库单、签收单、收入确认清单、开票申请和发票。</x:v>
      </x:c>
      <x:c r="F104" s="19" t="str">
        <x:v>由学习者按实际软件填写</x:v>
      </x:c>
      <x:c r="G104" s="19" t="str">
        <x:v>完成并保留证据</x:v>
      </x:c>
      <x:c r="H104" s="20" t="str"/>
      <x:c r="I104" s="20" t="str"/>
      <x:c r="J104" s="20" t="str"/>
      <x:c r="K104" s="20" t="str"/>
      <x:c r="L104" s="20" t="str">
        <x:v>未开始</x:v>
      </x:c>
    </x:row>
    <x:row r="105">
      <x:c r="A105" s="19" t="str">
        <x:v>ERP-15</x:v>
      </x:c>
      <x:c r="B105" s="19" t="n">
        <x:v>2</x:v>
      </x:c>
      <x:c r="C105" s="19" t="str">
        <x:v>主数据</x:v>
      </x:c>
      <x:c r="D105" s="19" t="str">
        <x:v>确认基础数据</x:v>
      </x:c>
      <x:c r="E105" s="19" t="str">
        <x:v>组织、客户/供应商/物料、科目、税码和期间</x:v>
      </x:c>
      <x:c r="F105" s="19" t="str">
        <x:v>由学习者按实际软件填写</x:v>
      </x:c>
      <x:c r="G105" s="19" t="str">
        <x:v>完成并保留证据</x:v>
      </x:c>
      <x:c r="H105" s="20" t="str"/>
      <x:c r="I105" s="20" t="str"/>
      <x:c r="J105" s="20" t="str"/>
      <x:c r="K105" s="20" t="str"/>
      <x:c r="L105" s="20" t="str">
        <x:v>未开始</x:v>
      </x:c>
    </x:row>
    <x:row r="106">
      <x:c r="A106" s="19" t="str">
        <x:v>ERP-15</x:v>
      </x:c>
      <x:c r="B106" s="19" t="n">
        <x:v>3</x:v>
      </x:c>
      <x:c r="C106" s="19" t="str">
        <x:v>系统操作</x:v>
      </x:c>
      <x:c r="D106" s="19" t="str">
        <x:v>完成系统动作</x:v>
      </x:c>
      <x:c r="E106" s="19" t="str">
        <x:v>AR依据履约证据确认收入；开票系统生成发票；接口或开票单形成应收和销项税；若收入与开票不同步，使用未开票或合同负债等桥接流程。</x:v>
      </x:c>
      <x:c r="F106" s="19" t="str">
        <x:v>由学习者按实际软件填写</x:v>
      </x:c>
      <x:c r="G106" s="19" t="str">
        <x:v>完成并保留证据</x:v>
      </x:c>
      <x:c r="H106" s="20" t="str"/>
      <x:c r="I106" s="20" t="str"/>
      <x:c r="J106" s="20" t="str"/>
      <x:c r="K106" s="20" t="str"/>
      <x:c r="L106" s="20" t="str">
        <x:v>未开始</x:v>
      </x:c>
    </x:row>
    <x:row r="107">
      <x:c r="A107" s="19" t="str">
        <x:v>ERP-15</x:v>
      </x:c>
      <x:c r="B107" s="19" t="n">
        <x:v>4</x:v>
      </x:c>
      <x:c r="C107" s="19" t="str">
        <x:v>会计凭证</x:v>
      </x:c>
      <x:c r="D107" s="19" t="str">
        <x:v>验证会计影响</x:v>
      </x:c>
      <x:c r="E107" s="19" t="str">
        <x:v>借应收账款226,000；贷主营业务收入200,000；贷应交税费—销项税额26,000。</x:v>
      </x:c>
      <x:c r="F107" s="19" t="str">
        <x:v>由学习者按实际软件填写</x:v>
      </x:c>
      <x:c r="G107" s="19" t="str">
        <x:v>凭证金额、科目和维度正确</x:v>
      </x:c>
      <x:c r="H107" s="20" t="str"/>
      <x:c r="I107" s="20" t="str"/>
      <x:c r="J107" s="20" t="str"/>
      <x:c r="K107" s="20" t="str"/>
      <x:c r="L107" s="20" t="str">
        <x:v>未开始</x:v>
      </x:c>
    </x:row>
    <x:row r="108">
      <x:c r="A108" s="19" t="str">
        <x:v>ERP-15</x:v>
      </x:c>
      <x:c r="B108" s="19" t="n">
        <x:v>5</x:v>
      </x:c>
      <x:c r="C108" s="19" t="str">
        <x:v>子模块结果</x:v>
      </x:c>
      <x:c r="D108" s="19" t="str">
        <x:v>检查模块状态</x:v>
      </x:c>
      <x:c r="E108" s="19" t="str">
        <x:v>客户应收未清项226,000元，销售和开票链路可追溯。</x:v>
      </x:c>
      <x:c r="F108" s="19" t="str">
        <x:v>由学习者按实际软件填写</x:v>
      </x:c>
      <x:c r="G108" s="19" t="str">
        <x:v>完成并保留证据</x:v>
      </x:c>
      <x:c r="H108" s="20" t="str"/>
      <x:c r="I108" s="20" t="str"/>
      <x:c r="J108" s="20" t="str"/>
      <x:c r="K108" s="20" t="str"/>
      <x:c r="L108" s="20" t="str">
        <x:v>未开始</x:v>
      </x:c>
    </x:row>
    <x:row r="109">
      <x:c r="A109" s="19" t="str">
        <x:v>ERP-15</x:v>
      </x:c>
      <x:c r="B109" s="19" t="n">
        <x:v>6</x:v>
      </x:c>
      <x:c r="C109" s="19" t="str">
        <x:v>总账和对账</x:v>
      </x:c>
      <x:c r="D109" s="19" t="str">
        <x:v>完成总账核对</x:v>
      </x:c>
      <x:c r="E109" s="19" t="str">
        <x:v>订单、交付、收入、发票、AR和销项税六方核对。</x:v>
      </x:c>
      <x:c r="F109" s="19" t="str">
        <x:v>由学习者按实际软件填写</x:v>
      </x:c>
      <x:c r="G109" s="19" t="str">
        <x:v>源单、子模块和GL可勾稽</x:v>
      </x:c>
      <x:c r="H109" s="20" t="str"/>
      <x:c r="I109" s="20" t="str"/>
      <x:c r="J109" s="20" t="str"/>
      <x:c r="K109" s="20" t="str"/>
      <x:c r="L109" s="20" t="str">
        <x:v>未开始</x:v>
      </x:c>
    </x:row>
    <x:row r="110">
      <x:c r="A110" s="19" t="str">
        <x:v>ERP-15</x:v>
      </x:c>
      <x:c r="B110" s="19" t="n">
        <x:v>7</x:v>
      </x:c>
      <x:c r="C110" s="19" t="str">
        <x:v>异常复盘</x:v>
      </x:c>
      <x:c r="D110" s="19" t="str">
        <x:v>总结错误和预防</x:v>
      </x:c>
      <x:c r="E110" s="19" t="str">
        <x:v>开票等同收入、重复生成应收、税码错误、发票作废但AR未冲销。</x:v>
      </x:c>
      <x:c r="F110" s="19" t="str">
        <x:v>由学习者按实际软件填写</x:v>
      </x:c>
      <x:c r="G110" s="19" t="str">
        <x:v>完成并保留证据</x:v>
      </x:c>
      <x:c r="H110" s="20" t="str"/>
      <x:c r="I110" s="20" t="str"/>
      <x:c r="J110" s="20" t="str"/>
      <x:c r="K110" s="20" t="str"/>
      <x:c r="L110" s="20" t="str">
        <x:v>未开始</x:v>
      </x:c>
    </x:row>
    <x:row r="111">
      <x:c r="A111" s="19" t="str">
        <x:v>ERP-16</x:v>
      </x:c>
      <x:c r="B111" s="19" t="n">
        <x:v>1</x:v>
      </x:c>
      <x:c r="C111" s="19" t="str">
        <x:v>业务与单据</x:v>
      </x:c>
      <x:c r="D111" s="19" t="str">
        <x:v>理解业务实质</x:v>
      </x:c>
      <x:c r="E111" s="19" t="str">
        <x:v>银行流水、客户付款通知、收款认领单。</x:v>
      </x:c>
      <x:c r="F111" s="19" t="str">
        <x:v>由学习者按实际软件填写</x:v>
      </x:c>
      <x:c r="G111" s="19" t="str">
        <x:v>完成并保留证据</x:v>
      </x:c>
      <x:c r="H111" s="20" t="str"/>
      <x:c r="I111" s="20" t="str"/>
      <x:c r="J111" s="20" t="str"/>
      <x:c r="K111" s="20" t="str"/>
      <x:c r="L111" s="20" t="str">
        <x:v>未开始</x:v>
      </x:c>
    </x:row>
    <x:row r="112">
      <x:c r="A112" s="19" t="str">
        <x:v>ERP-16</x:v>
      </x:c>
      <x:c r="B112" s="19" t="n">
        <x:v>2</x:v>
      </x:c>
      <x:c r="C112" s="19" t="str">
        <x:v>主数据</x:v>
      </x:c>
      <x:c r="D112" s="19" t="str">
        <x:v>确认基础数据</x:v>
      </x:c>
      <x:c r="E112" s="19" t="str">
        <x:v>组织、客户/供应商/物料、科目、税码和期间</x:v>
      </x:c>
      <x:c r="F112" s="19" t="str">
        <x:v>由学习者按实际软件填写</x:v>
      </x:c>
      <x:c r="G112" s="19" t="str">
        <x:v>完成并保留证据</x:v>
      </x:c>
      <x:c r="H112" s="20" t="str"/>
      <x:c r="I112" s="20" t="str"/>
      <x:c r="J112" s="20" t="str"/>
      <x:c r="K112" s="20" t="str"/>
      <x:c r="L112" s="20" t="str">
        <x:v>未开始</x:v>
      </x:c>
    </x:row>
    <x:row r="113">
      <x:c r="A113" s="19" t="str">
        <x:v>ERP-16</x:v>
      </x:c>
      <x:c r="B113" s="19" t="n">
        <x:v>3</x:v>
      </x:c>
      <x:c r="C113" s="19" t="str">
        <x:v>系统操作</x:v>
      </x:c>
      <x:c r="D113" s="19" t="str">
        <x:v>完成系统动作</x:v>
      </x:c>
      <x:c r="E113" s="19" t="str">
        <x:v>银行流水自动导入；系统尝试按金额、账号和备注匹配；AR确认客户和发票；生成收款并清账。</x:v>
      </x:c>
      <x:c r="F113" s="19" t="str">
        <x:v>由学习者按实际软件填写</x:v>
      </x:c>
      <x:c r="G113" s="19" t="str">
        <x:v>完成并保留证据</x:v>
      </x:c>
      <x:c r="H113" s="20" t="str"/>
      <x:c r="I113" s="20" t="str"/>
      <x:c r="J113" s="20" t="str"/>
      <x:c r="K113" s="20" t="str"/>
      <x:c r="L113" s="20" t="str">
        <x:v>未开始</x:v>
      </x:c>
    </x:row>
    <x:row r="114">
      <x:c r="A114" s="19" t="str">
        <x:v>ERP-16</x:v>
      </x:c>
      <x:c r="B114" s="19" t="n">
        <x:v>4</x:v>
      </x:c>
      <x:c r="C114" s="19" t="str">
        <x:v>会计凭证</x:v>
      </x:c>
      <x:c r="D114" s="19" t="str">
        <x:v>验证会计影响</x:v>
      </x:c>
      <x:c r="E114" s="19" t="str">
        <x:v>借银行存款226,000；贷应收账款226,000。</x:v>
      </x:c>
      <x:c r="F114" s="19" t="str">
        <x:v>由学习者按实际软件填写</x:v>
      </x:c>
      <x:c r="G114" s="19" t="str">
        <x:v>凭证金额、科目和维度正确</x:v>
      </x:c>
      <x:c r="H114" s="20" t="str"/>
      <x:c r="I114" s="20" t="str"/>
      <x:c r="J114" s="20" t="str"/>
      <x:c r="K114" s="20" t="str"/>
      <x:c r="L114" s="20" t="str">
        <x:v>未开始</x:v>
      </x:c>
    </x:row>
    <x:row r="115">
      <x:c r="A115" s="19" t="str">
        <x:v>ERP-16</x:v>
      </x:c>
      <x:c r="B115" s="19" t="n">
        <x:v>5</x:v>
      </x:c>
      <x:c r="C115" s="19" t="str">
        <x:v>子模块结果</x:v>
      </x:c>
      <x:c r="D115" s="19" t="str">
        <x:v>检查模块状态</x:v>
      </x:c>
      <x:c r="E115" s="19" t="str">
        <x:v>客户未清项关闭，银行流水被认领。</x:v>
      </x:c>
      <x:c r="F115" s="19" t="str">
        <x:v>由学习者按实际软件填写</x:v>
      </x:c>
      <x:c r="G115" s="19" t="str">
        <x:v>完成并保留证据</x:v>
      </x:c>
      <x:c r="H115" s="20" t="str"/>
      <x:c r="I115" s="20" t="str"/>
      <x:c r="J115" s="20" t="str"/>
      <x:c r="K115" s="20" t="str"/>
      <x:c r="L115" s="20" t="str">
        <x:v>未开始</x:v>
      </x:c>
    </x:row>
    <x:row r="116">
      <x:c r="A116" s="19" t="str">
        <x:v>ERP-16</x:v>
      </x:c>
      <x:c r="B116" s="19" t="n">
        <x:v>6</x:v>
      </x:c>
      <x:c r="C116" s="19" t="str">
        <x:v>总账和对账</x:v>
      </x:c>
      <x:c r="D116" s="19" t="str">
        <x:v>完成总账核对</x:v>
      </x:c>
      <x:c r="E116" s="19" t="str">
        <x:v>付款方、客户、发票、收款日期、差额和清账凭证。</x:v>
      </x:c>
      <x:c r="F116" s="19" t="str">
        <x:v>由学习者按实际软件填写</x:v>
      </x:c>
      <x:c r="G116" s="19" t="str">
        <x:v>源单、子模块和GL可勾稽</x:v>
      </x:c>
      <x:c r="H116" s="20" t="str"/>
      <x:c r="I116" s="20" t="str"/>
      <x:c r="J116" s="20" t="str"/>
      <x:c r="K116" s="20" t="str"/>
      <x:c r="L116" s="20" t="str">
        <x:v>未开始</x:v>
      </x:c>
    </x:row>
    <x:row r="117">
      <x:c r="A117" s="19" t="str">
        <x:v>ERP-16</x:v>
      </x:c>
      <x:c r="B117" s="19" t="n">
        <x:v>7</x:v>
      </x:c>
      <x:c r="C117" s="19" t="str">
        <x:v>异常复盘</x:v>
      </x:c>
      <x:c r="D117" s="19" t="str">
        <x:v>总结错误和预防</x:v>
      </x:c>
      <x:c r="E117" s="19" t="str">
        <x:v>认领到错误客户、长期挂未知收款、收款已记但应收未清、跨公司代付无说明。</x:v>
      </x:c>
      <x:c r="F117" s="19" t="str">
        <x:v>由学习者按实际软件填写</x:v>
      </x:c>
      <x:c r="G117" s="19" t="str">
        <x:v>完成并保留证据</x:v>
      </x:c>
      <x:c r="H117" s="20" t="str"/>
      <x:c r="I117" s="20" t="str"/>
      <x:c r="J117" s="20" t="str"/>
      <x:c r="K117" s="20" t="str"/>
      <x:c r="L117" s="20" t="str">
        <x:v>未开始</x:v>
      </x:c>
    </x:row>
    <x:row r="118">
      <x:c r="A118" s="19" t="str">
        <x:v>ERP-17</x:v>
      </x:c>
      <x:c r="B118" s="19" t="n">
        <x:v>1</x:v>
      </x:c>
      <x:c r="C118" s="19" t="str">
        <x:v>业务与单据</x:v>
      </x:c>
      <x:c r="D118" s="19" t="str">
        <x:v>理解业务实质</x:v>
      </x:c>
      <x:c r="E118" s="19" t="str">
        <x:v>出差申请、行程、发票、支付记录、报销单、审批记录。</x:v>
      </x:c>
      <x:c r="F118" s="19" t="str">
        <x:v>由学习者按实际软件填写</x:v>
      </x:c>
      <x:c r="G118" s="19" t="str">
        <x:v>完成并保留证据</x:v>
      </x:c>
      <x:c r="H118" s="20" t="str"/>
      <x:c r="I118" s="20" t="str"/>
      <x:c r="J118" s="20" t="str"/>
      <x:c r="K118" s="20" t="str"/>
      <x:c r="L118" s="20" t="str">
        <x:v>未开始</x:v>
      </x:c>
    </x:row>
    <x:row r="119">
      <x:c r="A119" s="19" t="str">
        <x:v>ERP-17</x:v>
      </x:c>
      <x:c r="B119" s="19" t="n">
        <x:v>2</x:v>
      </x:c>
      <x:c r="C119" s="19" t="str">
        <x:v>主数据</x:v>
      </x:c>
      <x:c r="D119" s="19" t="str">
        <x:v>确认基础数据</x:v>
      </x:c>
      <x:c r="E119" s="19" t="str">
        <x:v>组织、客户/供应商/物料、科目、税码和期间</x:v>
      </x:c>
      <x:c r="F119" s="19" t="str">
        <x:v>由学习者按实际软件填写</x:v>
      </x:c>
      <x:c r="G119" s="19" t="str">
        <x:v>完成并保留证据</x:v>
      </x:c>
      <x:c r="H119" s="20" t="str"/>
      <x:c r="I119" s="20" t="str"/>
      <x:c r="J119" s="20" t="str"/>
      <x:c r="K119" s="20" t="str"/>
      <x:c r="L119" s="20" t="str">
        <x:v>未开始</x:v>
      </x:c>
    </x:row>
    <x:row r="120">
      <x:c r="A120" s="19" t="str">
        <x:v>ERP-17</x:v>
      </x:c>
      <x:c r="B120" s="19" t="n">
        <x:v>3</x:v>
      </x:c>
      <x:c r="C120" s="19" t="str">
        <x:v>系统操作</x:v>
      </x:c>
      <x:c r="D120" s="19" t="str">
        <x:v>完成系统动作</x:v>
      </x:c>
      <x:c r="E120" s="19" t="str">
        <x:v>员工在OA提交；OCR提取并验真查重；部门确认业务；财务核验主体、期间、标准、税务和费用归属；生成费用及员工应付款；资金付款后核销。</x:v>
      </x:c>
      <x:c r="F120" s="19" t="str">
        <x:v>由学习者按实际软件填写</x:v>
      </x:c>
      <x:c r="G120" s="19" t="str">
        <x:v>完成并保留证据</x:v>
      </x:c>
      <x:c r="H120" s="20" t="str"/>
      <x:c r="I120" s="20" t="str"/>
      <x:c r="J120" s="20" t="str"/>
      <x:c r="K120" s="20" t="str"/>
      <x:c r="L120" s="20" t="str">
        <x:v>未开始</x:v>
      </x:c>
    </x:row>
    <x:row r="121">
      <x:c r="A121" s="19" t="str">
        <x:v>ERP-17</x:v>
      </x:c>
      <x:c r="B121" s="19" t="n">
        <x:v>4</x:v>
      </x:c>
      <x:c r="C121" s="19" t="str">
        <x:v>会计凭证</x:v>
      </x:c>
      <x:c r="D121" s="19" t="str">
        <x:v>验证会计影响</x:v>
      </x:c>
      <x:c r="E121" s="19" t="str">
        <x:v>借销售费用及可抵扣进项税额（按合法凭证和用途判断），贷其他应付款—员工；付款时借其他应付款、贷银行存款。</x:v>
      </x:c>
      <x:c r="F121" s="19" t="str">
        <x:v>由学习者按实际软件填写</x:v>
      </x:c>
      <x:c r="G121" s="19" t="str">
        <x:v>凭证金额、科目和维度正确</x:v>
      </x:c>
      <x:c r="H121" s="20" t="str"/>
      <x:c r="I121" s="20" t="str"/>
      <x:c r="J121" s="20" t="str"/>
      <x:c r="K121" s="20" t="str"/>
      <x:c r="L121" s="20" t="str">
        <x:v>未开始</x:v>
      </x:c>
    </x:row>
    <x:row r="122">
      <x:c r="A122" s="19" t="str">
        <x:v>ERP-17</x:v>
      </x:c>
      <x:c r="B122" s="19" t="n">
        <x:v>5</x:v>
      </x:c>
      <x:c r="C122" s="19" t="str">
        <x:v>子模块结果</x:v>
      </x:c>
      <x:c r="D122" s="19" t="str">
        <x:v>检查模块状态</x:v>
      </x:c>
      <x:c r="E122" s="19" t="str">
        <x:v>费用进入销售成本中心，员工往来清零。</x:v>
      </x:c>
      <x:c r="F122" s="19" t="str">
        <x:v>由学习者按实际软件填写</x:v>
      </x:c>
      <x:c r="G122" s="19" t="str">
        <x:v>完成并保留证据</x:v>
      </x:c>
      <x:c r="H122" s="20" t="str"/>
      <x:c r="I122" s="20" t="str"/>
      <x:c r="J122" s="20" t="str"/>
      <x:c r="K122" s="20" t="str"/>
      <x:c r="L122" s="20" t="str">
        <x:v>未开始</x:v>
      </x:c>
    </x:row>
    <x:row r="123">
      <x:c r="A123" s="19" t="str">
        <x:v>ERP-17</x:v>
      </x:c>
      <x:c r="B123" s="19" t="n">
        <x:v>6</x:v>
      </x:c>
      <x:c r="C123" s="19" t="str">
        <x:v>总账和对账</x:v>
      </x:c>
      <x:c r="D123" s="19" t="str">
        <x:v>完成总账核对</x:v>
      </x:c>
      <x:c r="E123" s="19" t="str">
        <x:v>行程与票据、重复报销、成本中心、预算、付款主体。</x:v>
      </x:c>
      <x:c r="F123" s="19" t="str">
        <x:v>由学习者按实际软件填写</x:v>
      </x:c>
      <x:c r="G123" s="19" t="str">
        <x:v>源单、子模块和GL可勾稽</x:v>
      </x:c>
      <x:c r="H123" s="20" t="str"/>
      <x:c r="I123" s="20" t="str"/>
      <x:c r="J123" s="20" t="str"/>
      <x:c r="K123" s="20" t="str"/>
      <x:c r="L123" s="20" t="str">
        <x:v>未开始</x:v>
      </x:c>
    </x:row>
    <x:row r="124">
      <x:c r="A124" s="19" t="str">
        <x:v>ERP-17</x:v>
      </x:c>
      <x:c r="B124" s="19" t="n">
        <x:v>7</x:v>
      </x:c>
      <x:c r="C124" s="19" t="str">
        <x:v>异常复盘</x:v>
      </x:c>
      <x:c r="D124" s="19" t="str">
        <x:v>总结错误和预防</x:v>
      </x:c>
      <x:c r="E124" s="19" t="str">
        <x:v>发票真实但无业务、全部税额机械抵扣、费用部门错误、付款后未核销。</x:v>
      </x:c>
      <x:c r="F124" s="19" t="str">
        <x:v>由学习者按实际软件填写</x:v>
      </x:c>
      <x:c r="G124" s="19" t="str">
        <x:v>完成并保留证据</x:v>
      </x:c>
      <x:c r="H124" s="20" t="str"/>
      <x:c r="I124" s="20" t="str"/>
      <x:c r="J124" s="20" t="str"/>
      <x:c r="K124" s="20" t="str"/>
      <x:c r="L124" s="20" t="str">
        <x:v>未开始</x:v>
      </x:c>
    </x:row>
    <x:row r="125">
      <x:c r="A125" s="19" t="str">
        <x:v>ERP-18</x:v>
      </x:c>
      <x:c r="B125" s="19" t="n">
        <x:v>1</x:v>
      </x:c>
      <x:c r="C125" s="19" t="str">
        <x:v>业务与单据</x:v>
      </x:c>
      <x:c r="D125" s="19" t="str">
        <x:v>理解业务实质</x:v>
      </x:c>
      <x:c r="E125" s="19" t="str">
        <x:v>合同、发票、验收单、资产申请、使用部门和保管人确认。</x:v>
      </x:c>
      <x:c r="F125" s="19" t="str">
        <x:v>由学习者按实际软件填写</x:v>
      </x:c>
      <x:c r="G125" s="19" t="str">
        <x:v>完成并保留证据</x:v>
      </x:c>
      <x:c r="H125" s="20" t="str"/>
      <x:c r="I125" s="20" t="str"/>
      <x:c r="J125" s="20" t="str"/>
      <x:c r="K125" s="20" t="str"/>
      <x:c r="L125" s="20" t="str">
        <x:v>未开始</x:v>
      </x:c>
    </x:row>
    <x:row r="126">
      <x:c r="A126" s="19" t="str">
        <x:v>ERP-18</x:v>
      </x:c>
      <x:c r="B126" s="19" t="n">
        <x:v>2</x:v>
      </x:c>
      <x:c r="C126" s="19" t="str">
        <x:v>主数据</x:v>
      </x:c>
      <x:c r="D126" s="19" t="str">
        <x:v>确认基础数据</x:v>
      </x:c>
      <x:c r="E126" s="19" t="str">
        <x:v>组织、客户/供应商/物料、科目、税码和期间</x:v>
      </x:c>
      <x:c r="F126" s="19" t="str">
        <x:v>由学习者按实际软件填写</x:v>
      </x:c>
      <x:c r="G126" s="19" t="str">
        <x:v>完成并保留证据</x:v>
      </x:c>
      <x:c r="H126" s="20" t="str"/>
      <x:c r="I126" s="20" t="str"/>
      <x:c r="J126" s="20" t="str"/>
      <x:c r="K126" s="20" t="str"/>
      <x:c r="L126" s="20" t="str">
        <x:v>未开始</x:v>
      </x:c>
    </x:row>
    <x:row r="127">
      <x:c r="A127" s="19" t="str">
        <x:v>ERP-18</x:v>
      </x:c>
      <x:c r="B127" s="19" t="n">
        <x:v>3</x:v>
      </x:c>
      <x:c r="C127" s="19" t="str">
        <x:v>系统操作</x:v>
      </x:c>
      <x:c r="D127" s="19" t="str">
        <x:v>完成系统动作</x:v>
      </x:c>
      <x:c r="E127" s="19" t="str">
        <x:v>AP录入资产采购发票；资产会计创建卡片并选择类别、成本中心、折旧年限和残值；5月运行折旧并复核日志。</x:v>
      </x:c>
      <x:c r="F127" s="19" t="str">
        <x:v>由学习者按实际软件填写</x:v>
      </x:c>
      <x:c r="G127" s="19" t="str">
        <x:v>完成并保留证据</x:v>
      </x:c>
      <x:c r="H127" s="20" t="str"/>
      <x:c r="I127" s="20" t="str"/>
      <x:c r="J127" s="20" t="str"/>
      <x:c r="K127" s="20" t="str"/>
      <x:c r="L127" s="20" t="str">
        <x:v>未开始</x:v>
      </x:c>
    </x:row>
    <x:row r="128">
      <x:c r="A128" s="19" t="str">
        <x:v>ERP-18</x:v>
      </x:c>
      <x:c r="B128" s="19" t="n">
        <x:v>4</x:v>
      </x:c>
      <x:c r="C128" s="19" t="str">
        <x:v>会计凭证</x:v>
      </x:c>
      <x:c r="D128" s="19" t="str">
        <x:v>验证会计影响</x:v>
      </x:c>
      <x:c r="E128" s="19" t="str">
        <x:v>购入：借固定资产500,000、进项税65,000，贷应付账款565,000；5月折旧7,916.67元，借制造费用或相关费用，贷累计折旧。</x:v>
      </x:c>
      <x:c r="F128" s="19" t="str">
        <x:v>由学习者按实际软件填写</x:v>
      </x:c>
      <x:c r="G128" s="19" t="str">
        <x:v>凭证金额、科目和维度正确</x:v>
      </x:c>
      <x:c r="H128" s="20" t="str"/>
      <x:c r="I128" s="20" t="str"/>
      <x:c r="J128" s="20" t="str"/>
      <x:c r="K128" s="20" t="str"/>
      <x:c r="L128" s="20" t="str">
        <x:v>未开始</x:v>
      </x:c>
    </x:row>
    <x:row r="129">
      <x:c r="A129" s="19" t="str">
        <x:v>ERP-18</x:v>
      </x:c>
      <x:c r="B129" s="19" t="n">
        <x:v>5</x:v>
      </x:c>
      <x:c r="C129" s="19" t="str">
        <x:v>子模块结果</x:v>
      </x:c>
      <x:c r="D129" s="19" t="str">
        <x:v>检查模块状态</x:v>
      </x:c>
      <x:c r="E129" s="19" t="str">
        <x:v>资产卡片与GL原值一致，折旧进入使用部门。</x:v>
      </x:c>
      <x:c r="F129" s="19" t="str">
        <x:v>由学习者按实际软件填写</x:v>
      </x:c>
      <x:c r="G129" s="19" t="str">
        <x:v>完成并保留证据</x:v>
      </x:c>
      <x:c r="H129" s="20" t="str"/>
      <x:c r="I129" s="20" t="str"/>
      <x:c r="J129" s="20" t="str"/>
      <x:c r="K129" s="20" t="str"/>
      <x:c r="L129" s="20" t="str">
        <x:v>未开始</x:v>
      </x:c>
    </x:row>
    <x:row r="130">
      <x:c r="A130" s="19" t="str">
        <x:v>ERP-18</x:v>
      </x:c>
      <x:c r="B130" s="19" t="n">
        <x:v>6</x:v>
      </x:c>
      <x:c r="C130" s="19" t="str">
        <x:v>总账和对账</x:v>
      </x:c>
      <x:c r="D130" s="19" t="str">
        <x:v>完成总账核对</x:v>
      </x:c>
      <x:c r="E130" s="19" t="str">
        <x:v>在用日期、资本化金额、卡片数量、折旧范围、部门和处置状态。</x:v>
      </x:c>
      <x:c r="F130" s="19" t="str">
        <x:v>由学习者按实际软件填写</x:v>
      </x:c>
      <x:c r="G130" s="19" t="str">
        <x:v>源单、子模块和GL可勾稽</x:v>
      </x:c>
      <x:c r="H130" s="20" t="str"/>
      <x:c r="I130" s="20" t="str"/>
      <x:c r="J130" s="20" t="str"/>
      <x:c r="K130" s="20" t="str"/>
      <x:c r="L130" s="20" t="str">
        <x:v>未开始</x:v>
      </x:c>
    </x:row>
    <x:row r="131">
      <x:c r="A131" s="19" t="str">
        <x:v>ERP-18</x:v>
      </x:c>
      <x:c r="B131" s="19" t="n">
        <x:v>7</x:v>
      </x:c>
      <x:c r="C131" s="19" t="str">
        <x:v>异常复盘</x:v>
      </x:c>
      <x:c r="D131" s="19" t="str">
        <x:v>总结错误和预防</x:v>
      </x:c>
      <x:c r="E131" s="19" t="str">
        <x:v>已使用未转固、重复卡片、费用资本化、资产类别和折旧部门错误。</x:v>
      </x:c>
      <x:c r="F131" s="19" t="str">
        <x:v>由学习者按实际软件填写</x:v>
      </x:c>
      <x:c r="G131" s="19" t="str">
        <x:v>完成并保留证据</x:v>
      </x:c>
      <x:c r="H131" s="20" t="str"/>
      <x:c r="I131" s="20" t="str"/>
      <x:c r="J131" s="20" t="str"/>
      <x:c r="K131" s="20" t="str"/>
      <x:c r="L131" s="20" t="str">
        <x:v>未开始</x:v>
      </x:c>
    </x:row>
    <x:row r="132">
      <x:c r="A132" s="19" t="str">
        <x:v>ERP-19</x:v>
      </x:c>
      <x:c r="B132" s="19" t="n">
        <x:v>1</x:v>
      </x:c>
      <x:c r="C132" s="19" t="str">
        <x:v>业务与单据</x:v>
      </x:c>
      <x:c r="D132" s="19" t="str">
        <x:v>理解业务实质</x:v>
      </x:c>
      <x:c r="E132" s="19" t="str">
        <x:v>月结日历、模块状态表、对账底稿、试算平衡表、报表校验表。</x:v>
      </x:c>
      <x:c r="F132" s="19" t="str">
        <x:v>由学习者按实际软件填写</x:v>
      </x:c>
      <x:c r="G132" s="19" t="str">
        <x:v>完成并保留证据</x:v>
      </x:c>
      <x:c r="H132" s="20" t="str"/>
      <x:c r="I132" s="20" t="str"/>
      <x:c r="J132" s="20" t="str"/>
      <x:c r="K132" s="20" t="str"/>
      <x:c r="L132" s="20" t="str">
        <x:v>未开始</x:v>
      </x:c>
    </x:row>
    <x:row r="133">
      <x:c r="A133" s="19" t="str">
        <x:v>ERP-19</x:v>
      </x:c>
      <x:c r="B133" s="19" t="n">
        <x:v>2</x:v>
      </x:c>
      <x:c r="C133" s="19" t="str">
        <x:v>主数据</x:v>
      </x:c>
      <x:c r="D133" s="19" t="str">
        <x:v>确认基础数据</x:v>
      </x:c>
      <x:c r="E133" s="19" t="str">
        <x:v>组织、客户/供应商/物料、科目、税码和期间</x:v>
      </x:c>
      <x:c r="F133" s="19" t="str">
        <x:v>由学习者按实际软件填写</x:v>
      </x:c>
      <x:c r="G133" s="19" t="str">
        <x:v>完成并保留证据</x:v>
      </x:c>
      <x:c r="H133" s="20" t="str"/>
      <x:c r="I133" s="20" t="str"/>
      <x:c r="J133" s="20" t="str"/>
      <x:c r="K133" s="20" t="str"/>
      <x:c r="L133" s="20" t="str">
        <x:v>未开始</x:v>
      </x:c>
    </x:row>
    <x:row r="134">
      <x:c r="A134" s="19" t="str">
        <x:v>ERP-19</x:v>
      </x:c>
      <x:c r="B134" s="19" t="n">
        <x:v>3</x:v>
      </x:c>
      <x:c r="C134" s="19" t="str">
        <x:v>系统操作</x:v>
      </x:c>
      <x:c r="D134" s="19" t="str">
        <x:v>完成系统动作</x:v>
      </x:c>
      <x:c r="E134" s="19" t="str">
        <x:v>按依赖顺序完成截止、接口、AP、AR、库存、生产、成本、FA、薪酬、银行和税务；执行模块对账；记录并批准差异；完成GL结转和期间关闭。</x:v>
      </x:c>
      <x:c r="F134" s="19" t="str">
        <x:v>由学习者按实际软件填写</x:v>
      </x:c>
      <x:c r="G134" s="19" t="str">
        <x:v>完成并保留证据</x:v>
      </x:c>
      <x:c r="H134" s="20" t="str"/>
      <x:c r="I134" s="20" t="str"/>
      <x:c r="J134" s="20" t="str"/>
      <x:c r="K134" s="20" t="str"/>
      <x:c r="L134" s="20" t="str">
        <x:v>未开始</x:v>
      </x:c>
    </x:row>
    <x:row r="135">
      <x:c r="A135" s="19" t="str">
        <x:v>ERP-19</x:v>
      </x:c>
      <x:c r="B135" s="19" t="n">
        <x:v>4</x:v>
      </x:c>
      <x:c r="C135" s="19" t="str">
        <x:v>会计凭证</x:v>
      </x:c>
      <x:c r="D135" s="19" t="str">
        <x:v>验证会计影响</x:v>
      </x:c>
      <x:c r="E135" s="19" t="str">
        <x:v>包括预提、摊销、税费、成本结转和损益结转等月结凭证，必须有计算底稿和审批。</x:v>
      </x:c>
      <x:c r="F135" s="19" t="str">
        <x:v>由学习者按实际软件填写</x:v>
      </x:c>
      <x:c r="G135" s="19" t="str">
        <x:v>凭证金额、科目和维度正确</x:v>
      </x:c>
      <x:c r="H135" s="20" t="str"/>
      <x:c r="I135" s="20" t="str"/>
      <x:c r="J135" s="20" t="str"/>
      <x:c r="K135" s="20" t="str"/>
      <x:c r="L135" s="20" t="str">
        <x:v>未开始</x:v>
      </x:c>
    </x:row>
    <x:row r="136">
      <x:c r="A136" s="19" t="str">
        <x:v>ERP-19</x:v>
      </x:c>
      <x:c r="B136" s="19" t="n">
        <x:v>5</x:v>
      </x:c>
      <x:c r="C136" s="19" t="str">
        <x:v>子模块结果</x:v>
      </x:c>
      <x:c r="D136" s="19" t="str">
        <x:v>检查模块状态</x:v>
      </x:c>
      <x:c r="E136" s="19" t="str">
        <x:v>子模块与GL一致，报表勾稽通过，期间关闭。</x:v>
      </x:c>
      <x:c r="F136" s="19" t="str">
        <x:v>由学习者按实际软件填写</x:v>
      </x:c>
      <x:c r="G136" s="19" t="str">
        <x:v>完成并保留证据</x:v>
      </x:c>
      <x:c r="H136" s="20" t="str"/>
      <x:c r="I136" s="20" t="str"/>
      <x:c r="J136" s="20" t="str"/>
      <x:c r="K136" s="20" t="str"/>
      <x:c r="L136" s="20" t="str">
        <x:v>未开始</x:v>
      </x:c>
    </x:row>
    <x:row r="137">
      <x:c r="A137" s="19" t="str">
        <x:v>ERP-19</x:v>
      </x:c>
      <x:c r="B137" s="19" t="n">
        <x:v>6</x:v>
      </x:c>
      <x:c r="C137" s="19" t="str">
        <x:v>总账和对账</x:v>
      </x:c>
      <x:c r="D137" s="19" t="str">
        <x:v>完成总账核对</x:v>
      </x:c>
      <x:c r="E137" s="19" t="str">
        <x:v>未过账单据、接口失败、异常余额、模块差异、报表映射和现金流。</x:v>
      </x:c>
      <x:c r="F137" s="19" t="str">
        <x:v>由学习者按实际软件填写</x:v>
      </x:c>
      <x:c r="G137" s="19" t="str">
        <x:v>源单、子模块和GL可勾稽</x:v>
      </x:c>
      <x:c r="H137" s="20" t="str"/>
      <x:c r="I137" s="20" t="str"/>
      <x:c r="J137" s="20" t="str"/>
      <x:c r="K137" s="20" t="str"/>
      <x:c r="L137" s="20" t="str">
        <x:v>未开始</x:v>
      </x:c>
    </x:row>
    <x:row r="138">
      <x:c r="A138" s="19" t="str">
        <x:v>ERP-19</x:v>
      </x:c>
      <x:c r="B138" s="19" t="n">
        <x:v>7</x:v>
      </x:c>
      <x:c r="C138" s="19" t="str">
        <x:v>异常复盘</x:v>
      </x:c>
      <x:c r="D138" s="19" t="str">
        <x:v>总结错误和预防</x:v>
      </x:c>
      <x:c r="E138" s="19" t="str">
        <x:v>成本未结先关GL、只看借贷平衡、差异无解释、随意反结账。</x:v>
      </x:c>
      <x:c r="F138" s="19" t="str">
        <x:v>由学习者按实际软件填写</x:v>
      </x:c>
      <x:c r="G138" s="19" t="str">
        <x:v>完成并保留证据</x:v>
      </x:c>
      <x:c r="H138" s="20" t="str"/>
      <x:c r="I138" s="20" t="str"/>
      <x:c r="J138" s="20" t="str"/>
      <x:c r="K138" s="20" t="str"/>
      <x:c r="L138" s="20" t="str">
        <x:v>未开始</x:v>
      </x:c>
    </x:row>
    <x:row r="139">
      <x:c r="A139" s="19" t="str">
        <x:v>ERP-20</x:v>
      </x:c>
      <x:c r="B139" s="19" t="n">
        <x:v>1</x:v>
      </x:c>
      <x:c r="C139" s="19" t="str">
        <x:v>业务与单据</x:v>
      </x:c>
      <x:c r="D139" s="19" t="str">
        <x:v>理解业务实质</x:v>
      </x:c>
      <x:c r="E139" s="19" t="str">
        <x:v>错误单据、接口日志、期间状态、调整审批和影响分析。</x:v>
      </x:c>
      <x:c r="F139" s="19" t="str">
        <x:v>由学习者按实际软件填写</x:v>
      </x:c>
      <x:c r="G139" s="19" t="str">
        <x:v>完成并保留证据</x:v>
      </x:c>
      <x:c r="H139" s="20" t="str"/>
      <x:c r="I139" s="20" t="str"/>
      <x:c r="J139" s="20" t="str"/>
      <x:c r="K139" s="20" t="str"/>
      <x:c r="L139" s="20" t="str">
        <x:v>未开始</x:v>
      </x:c>
    </x:row>
    <x:row r="140">
      <x:c r="A140" s="19" t="str">
        <x:v>ERP-20</x:v>
      </x:c>
      <x:c r="B140" s="19" t="n">
        <x:v>2</x:v>
      </x:c>
      <x:c r="C140" s="19" t="str">
        <x:v>主数据</x:v>
      </x:c>
      <x:c r="D140" s="19" t="str">
        <x:v>确认基础数据</x:v>
      </x:c>
      <x:c r="E140" s="19" t="str">
        <x:v>组织、客户/供应商/物料、科目、税码和期间</x:v>
      </x:c>
      <x:c r="F140" s="19" t="str">
        <x:v>由学习者按实际软件填写</x:v>
      </x:c>
      <x:c r="G140" s="19" t="str">
        <x:v>完成并保留证据</x:v>
      </x:c>
      <x:c r="H140" s="20" t="str"/>
      <x:c r="I140" s="20" t="str"/>
      <x:c r="J140" s="20" t="str"/>
      <x:c r="K140" s="20" t="str"/>
      <x:c r="L140" s="20" t="str">
        <x:v>未开始</x:v>
      </x:c>
    </x:row>
    <x:row r="141">
      <x:c r="A141" s="19" t="str">
        <x:v>ERP-20</x:v>
      </x:c>
      <x:c r="B141" s="19" t="n">
        <x:v>3</x:v>
      </x:c>
      <x:c r="C141" s="19" t="str">
        <x:v>系统操作</x:v>
      </x:c>
      <x:c r="D141" s="19" t="str">
        <x:v>完成系统动作</x:v>
      </x:c>
      <x:c r="E141" s="19" t="str">
        <x:v>先判断业务源单、接口还是会计判断错误；源单错误在源模块按规则冲销重做；接口重复则锁定批次并冲销重复记录；只有独立会计判断才使用手工GL凭证。</x:v>
      </x:c>
      <x:c r="F141" s="19" t="str">
        <x:v>由学习者按实际软件填写</x:v>
      </x:c>
      <x:c r="G141" s="19" t="str">
        <x:v>完成并保留证据</x:v>
      </x:c>
      <x:c r="H141" s="20" t="str"/>
      <x:c r="I141" s="20" t="str"/>
      <x:c r="J141" s="20" t="str"/>
      <x:c r="K141" s="20" t="str"/>
      <x:c r="L141" s="20" t="str">
        <x:v>未开始</x:v>
      </x:c>
    </x:row>
    <x:row r="142">
      <x:c r="A142" s="19" t="str">
        <x:v>ERP-20</x:v>
      </x:c>
      <x:c r="B142" s="19" t="n">
        <x:v>4</x:v>
      </x:c>
      <x:c r="C142" s="19" t="str">
        <x:v>会计凭证</x:v>
      </x:c>
      <x:c r="D142" s="19" t="str">
        <x:v>验证会计影响</x:v>
      </x:c>
      <x:c r="E142" s="19" t="str">
        <x:v>冲销重复凭证后按正确期间重做；跨期是否重开期间取决于重要性、报告状态和公司权限政策。</x:v>
      </x:c>
      <x:c r="F142" s="19" t="str">
        <x:v>由学习者按实际软件填写</x:v>
      </x:c>
      <x:c r="G142" s="19" t="str">
        <x:v>凭证金额、科目和维度正确</x:v>
      </x:c>
      <x:c r="H142" s="20" t="str"/>
      <x:c r="I142" s="20" t="str"/>
      <x:c r="J142" s="20" t="str"/>
      <x:c r="K142" s="20" t="str"/>
      <x:c r="L142" s="20" t="str">
        <x:v>未开始</x:v>
      </x:c>
    </x:row>
    <x:row r="143">
      <x:c r="A143" s="19" t="str">
        <x:v>ERP-20</x:v>
      </x:c>
      <x:c r="B143" s="19" t="n">
        <x:v>5</x:v>
      </x:c>
      <x:c r="C143" s="19" t="str">
        <x:v>子模块结果</x:v>
      </x:c>
      <x:c r="D143" s="19" t="str">
        <x:v>检查模块状态</x:v>
      </x:c>
      <x:c r="E143" s="19" t="str">
        <x:v>业务单据、子模块和GL保持一致，调整留有完整审计轨迹。</x:v>
      </x:c>
      <x:c r="F143" s="19" t="str">
        <x:v>由学习者按实际软件填写</x:v>
      </x:c>
      <x:c r="G143" s="19" t="str">
        <x:v>完成并保留证据</x:v>
      </x:c>
      <x:c r="H143" s="20" t="str"/>
      <x:c r="I143" s="20" t="str"/>
      <x:c r="J143" s="20" t="str"/>
      <x:c r="K143" s="20" t="str"/>
      <x:c r="L143" s="20" t="str">
        <x:v>未开始</x:v>
      </x:c>
    </x:row>
    <x:row r="144">
      <x:c r="A144" s="19" t="str">
        <x:v>ERP-20</x:v>
      </x:c>
      <x:c r="B144" s="19" t="n">
        <x:v>6</x:v>
      </x:c>
      <x:c r="C144" s="19" t="str">
        <x:v>总账和对账</x:v>
      </x:c>
      <x:c r="D144" s="19" t="str">
        <x:v>完成总账核对</x:v>
      </x:c>
      <x:c r="E144" s="19" t="str">
        <x:v>冲销与原凭证关联、接口记录数、期间、模块余额及报表影响。</x:v>
      </x:c>
      <x:c r="F144" s="19" t="str">
        <x:v>由学习者按实际软件填写</x:v>
      </x:c>
      <x:c r="G144" s="19" t="str">
        <x:v>源单、子模块和GL可勾稽</x:v>
      </x:c>
      <x:c r="H144" s="20" t="str"/>
      <x:c r="I144" s="20" t="str"/>
      <x:c r="J144" s="20" t="str"/>
      <x:c r="K144" s="20" t="str"/>
      <x:c r="L144" s="20" t="str">
        <x:v>未开始</x:v>
      </x:c>
    </x:row>
    <x:row r="145">
      <x:c r="A145" s="19" t="str">
        <x:v>ERP-20</x:v>
      </x:c>
      <x:c r="B145" s="19" t="n">
        <x:v>7</x:v>
      </x:c>
      <x:c r="C145" s="19" t="str">
        <x:v>异常复盘</x:v>
      </x:c>
      <x:c r="D145" s="19" t="str">
        <x:v>总结错误和预防</x:v>
      </x:c>
      <x:c r="E145" s="19" t="str">
        <x:v>直接在GL调平、删除日志、重复重跑、未经批准反结账。</x:v>
      </x:c>
      <x:c r="F145" s="19" t="str">
        <x:v>由学习者按实际软件填写</x:v>
      </x:c>
      <x:c r="G145" s="19" t="str">
        <x:v>完成并保留证据</x:v>
      </x:c>
      <x:c r="H145" s="20" t="str"/>
      <x:c r="I145" s="20" t="str"/>
      <x:c r="J145" s="20" t="str"/>
      <x:c r="K145" s="20" t="str"/>
      <x:c r="L145" s="20" t="str">
        <x:v>未开始</x:v>
      </x:c>
    </x:row>
  </x:sheetData>
  <x:mergeCells>
    <x:mergeCell ref="A1:L1"/>
    <x:mergeCell ref="A2:L2"/>
  </x:mergeCells>
  <x:conditionalFormatting sqref="L6:L145">
    <x:cfRule type="containsText" dxfId="6" priority="1" operator="containsText" text="已掌握"/>
    <x:cfRule type="containsText" dxfId="7" priority="2" operator="containsText" text="未开始"/>
    <x:cfRule type="containsText" dxfId="8" priority="3" operator="containsText" text="待复练"/>
  </x:conditionalFormatting>
  <x:dataValidations count="1">
    <x:dataValidation type="list" sqref="L6:L145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cca2c7a13c432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36" hidden="0" customWidth="1"/>
    <x:col min="4" max="4" width="25" hidden="0" customWidth="1"/>
    <x:col min="5" max="5" width="14" hidden="0" customWidth="1"/>
    <x:col min="6" max="6" width="52" hidden="0" customWidth="1"/>
    <x:col min="7" max="7" width="36" hidden="0" customWidth="1"/>
    <x:col min="8" max="8" width="30" hidden="0" customWidth="1"/>
    <x:col min="9" max="9" width="18" hidden="0" customWidth="1"/>
    <x:col min="10" max="10" width="38" hidden="0" customWidth="1"/>
    <x:col min="11" max="11" width="30" hidden="0" customWidth="1"/>
    <x:col min="12" max="12" width="11" hidden="0" customWidth="1"/>
  </x:cols>
  <x:sheetData>
    <x:row r="1" ht="30" customHeight="1">
      <x:c r="A1" s="2" t="str">
        <x:v>业务事件与凭证科目影响</x:v>
      </x:c>
    </x:row>
    <x:row r="2" ht="24" customHeight="1">
      <x:c r="A2" s="4" t="str">
        <x:v>分录为案例示范；实际科目和触发点取决于企业政策及系统配置</x:v>
      </x:c>
    </x:row>
    <x:row r="5" ht="34" customHeight="1">
      <x:c r="A5" s="10" t="str">
        <x:v>案例编号</x:v>
      </x:c>
      <x:c r="B5" s="10" t="str">
        <x:v>业务事件</x:v>
      </x:c>
      <x:c r="C5" s="10" t="str">
        <x:v>来源单据</x:v>
      </x:c>
      <x:c r="D5" s="10" t="str">
        <x:v>凭证来源</x:v>
      </x:c>
      <x:c r="E5" s="10" t="str">
        <x:v>是否必然入账</x:v>
      </x:c>
      <x:c r="F5" s="10" t="str">
        <x:v>示例分录</x:v>
      </x:c>
      <x:c r="G5" s="10" t="str">
        <x:v>关键辅助核算</x:v>
      </x:c>
      <x:c r="H5" s="10" t="str">
        <x:v>冲销方式</x:v>
      </x:c>
      <x:c r="I5" s="10" t="str">
        <x:v>子模块</x:v>
      </x:c>
      <x:c r="J5" s="10" t="str">
        <x:v>核对报表</x:v>
      </x:c>
      <x:c r="K5" s="10" t="str">
        <x:v>判断提示</x:v>
      </x:c>
      <x:c r="L5" s="10" t="str">
        <x:v>复核状态</x:v>
      </x:c>
    </x:row>
    <x:row r="6">
      <x:c r="A6" s="19" t="str">
        <x:v>ERP-01</x:v>
      </x:c>
      <x:c r="B6" s="19" t="str">
        <x:v>新增芯片供应商</x:v>
      </x:c>
      <x:c r="C6" s="19" t="str">
        <x:v>供应商准入表、营业执照、开户资料、纳税人信息、廉洁承诺、采购审批。</x:v>
      </x:c>
      <x:c r="D6" s="19" t="str">
        <x:v>自动/接口/手工取决于系统设计</x:v>
      </x:c>
      <x:c r="E6" s="19" t="str">
        <x:v>通常否</x:v>
      </x:c>
      <x:c r="F6" s="19" t="str">
        <x:v>创建主数据不产生会计分录。</x:v>
      </x:c>
      <x:c r="G6" s="19" t="str">
        <x:v>公司、客户/供应商、物料、成本中心、项目、税码</x:v>
      </x:c>
      <x:c r="H6" s="19" t="str">
        <x:v>优先从原单据执行可追溯冲销</x:v>
      </x:c>
      <x:c r="I6" s="19" t="str">
        <x:v>主数据与P2P</x:v>
      </x:c>
      <x:c r="J6" s="19" t="str">
        <x:v>检查一户一码、账户变更日志、创建人与付款人职责分离。</x:v>
      </x:c>
      <x:c r="K6" s="19" t="str">
        <x:v>先确认真实业务，再判断会计事件</x:v>
      </x:c>
      <x:c r="L6" s="19" t="str">
        <x:v>未开始</x:v>
      </x:c>
    </x:row>
    <x:row r="7">
      <x:c r="A7" s="19" t="str">
        <x:v>ERP-02</x:v>
      </x:c>
      <x:c r="B7" s="19" t="str">
        <x:v>采购1,000颗控制芯片</x:v>
      </x:c>
      <x:c r="C7" s="19" t="str">
        <x:v>采购申请、比价记录、合同、采购订单PO450001。</x:v>
      </x:c>
      <x:c r="D7" s="19" t="str">
        <x:v>自动/接口/手工取决于系统设计</x:v>
      </x:c>
      <x:c r="E7" s="19" t="str">
        <x:v>通常否</x:v>
      </x:c>
      <x:c r="F7" s="19" t="str">
        <x:v>采购订单是承诺性单据，通常不直接形成会计分录。</x:v>
      </x:c>
      <x:c r="G7" s="19" t="str">
        <x:v>公司、客户/供应商、物料、成本中心、项目、税码</x:v>
      </x:c>
      <x:c r="H7" s="19" t="str">
        <x:v>优先从原单据执行可追溯冲销</x:v>
      </x:c>
      <x:c r="I7" s="19" t="str">
        <x:v>采购</x:v>
      </x:c>
      <x:c r="J7" s="19" t="str">
        <x:v>将合同、PO和审批金额勾稽；检查是否超预算或拆单绕审批。</x:v>
      </x:c>
      <x:c r="K7" s="19" t="str">
        <x:v>先确认真实业务，再判断会计事件</x:v>
      </x:c>
      <x:c r="L7" s="19" t="str">
        <x:v>未开始</x:v>
      </x:c>
    </x:row>
    <x:row r="8">
      <x:c r="A8" s="19" t="str">
        <x:v>ERP-03</x:v>
      </x:c>
      <x:c r="B8" s="19" t="str">
        <x:v>原材料收货入库</x:v>
      </x:c>
      <x:c r="C8" s="19" t="str">
        <x:v>送货单、收货单、质检单、采购入库单GR500001。</x:v>
      </x:c>
      <x:c r="D8" s="19" t="str">
        <x:v>自动/接口/手工取决于系统设计</x:v>
      </x:c>
      <x:c r="E8" s="19" t="str">
        <x:v>通常是或需判断</x:v>
      </x:c>
      <x:c r="F8" s="19" t="str">
        <x:v>借：原材料 60,000；贷：应付暂估或GR/IR 60,000。不同ERP可能在收货或期末暂估时入账。</x:v>
      </x:c>
      <x:c r="G8" s="19" t="str">
        <x:v>公司、客户/供应商、物料、成本中心、项目、税码</x:v>
      </x:c>
      <x:c r="H8" s="19" t="str">
        <x:v>优先从原单据执行可追溯冲销</x:v>
      </x:c>
      <x:c r="I8" s="19" t="str">
        <x:v>采购与库存</x:v>
      </x:c>
      <x:c r="J8" s="19" t="str">
        <x:v>核对收货数量、质检状态、库存地点、批次和会计凭证号。</x:v>
      </x:c>
      <x:c r="K8" s="19" t="str">
        <x:v>先确认真实业务，再判断会计事件</x:v>
      </x:c>
      <x:c r="L8" s="19" t="str">
        <x:v>未开始</x:v>
      </x:c>
    </x:row>
    <x:row r="9">
      <x:c r="A9" s="19" t="str">
        <x:v>ERP-04</x:v>
      </x:c>
      <x:c r="B9" s="19" t="str">
        <x:v>月末未到票暂估</x:v>
      </x:c>
      <x:c r="C9" s="19" t="str">
        <x:v>未开票收货清单、PO历史、入库单、暂估复核表。</x:v>
      </x:c>
      <x:c r="D9" s="19" t="str">
        <x:v>自动/接口/手工取决于系统设计</x:v>
      </x:c>
      <x:c r="E9" s="19" t="str">
        <x:v>通常是或需判断</x:v>
      </x:c>
      <x:c r="F9" s="19" t="str">
        <x:v>若收货时未记价值：借原材料60,000，贷应付暂估60,000；若收货已自动入账，月末只复核，不重复做账。暂估通常不确认进项税。</x:v>
      </x:c>
      <x:c r="G9" s="19" t="str">
        <x:v>公司、客户/供应商、物料、成本中心、项目、税码</x:v>
      </x:c>
      <x:c r="H9" s="19" t="str">
        <x:v>优先从原单据执行可追溯冲销</x:v>
      </x:c>
      <x:c r="I9" s="19" t="str">
        <x:v>AP与月结</x:v>
      </x:c>
      <x:c r="J9" s="19" t="str">
        <x:v>暂估台账合计与GL暂估科目、收货未开票报表一致。</x:v>
      </x:c>
      <x:c r="K9" s="19" t="str">
        <x:v>先确认真实业务，再判断会计事件</x:v>
      </x:c>
      <x:c r="L9" s="19" t="str">
        <x:v>未开始</x:v>
      </x:c>
    </x:row>
    <x:row r="10">
      <x:c r="A10" s="19" t="str">
        <x:v>ERP-05</x:v>
      </x:c>
      <x:c r="B10" s="19" t="str">
        <x:v>次月收到供应商发票并确认应付</x:v>
      </x:c>
      <x:c r="C10" s="19" t="str">
        <x:v>数电发票、PO、收货单、质检入库单、价格变更审批。</x:v>
      </x:c>
      <x:c r="D10" s="19" t="str">
        <x:v>自动/接口/手工取决于系统设计</x:v>
      </x:c>
      <x:c r="E10" s="19" t="str">
        <x:v>通常是或需判断</x:v>
      </x:c>
      <x:c r="F10" s="19" t="str">
        <x:v>借：应付暂估或GR/IR 60,000，借：原材料或采购价格差异1,200，借：应交税费—应交增值税（进项税额）7,956；贷：应付账款69,156。具体差异去向取决于存货状态和成本政策。</x:v>
      </x:c>
      <x:c r="G10" s="19" t="str">
        <x:v>公司、客户/供应商、物料、成本中心、项目、税码</x:v>
      </x:c>
      <x:c r="H10" s="19" t="str">
        <x:v>优先从原单据执行可追溯冲销</x:v>
      </x:c>
      <x:c r="I10" s="19" t="str">
        <x:v>AP</x:v>
      </x:c>
      <x:c r="J10" s="19" t="str">
        <x:v>核对发票状态、PO历史、暂估余额、应付未清项和进项税台账。</x:v>
      </x:c>
      <x:c r="K10" s="19" t="str">
        <x:v>先确认真实业务，再判断会计事件</x:v>
      </x:c>
      <x:c r="L10" s="19" t="str">
        <x:v>未开始</x:v>
      </x:c>
    </x:row>
    <x:row r="11">
      <x:c r="A11" s="19" t="str">
        <x:v>ERP-06</x:v>
      </x:c>
      <x:c r="B11" s="19" t="str">
        <x:v>处理采购价格差异</x:v>
      </x:c>
      <x:c r="C11" s="19" t="str">
        <x:v>供应商调价函、采购补充审批、发票匹配差异报告。</x:v>
      </x:c>
      <x:c r="D11" s="19" t="str">
        <x:v>自动/接口/手工取决于系统设计</x:v>
      </x:c>
      <x:c r="E11" s="19" t="str">
        <x:v>通常是或需判断</x:v>
      </x:c>
      <x:c r="F11" s="19" t="str">
        <x:v>库存尚存时通常调整存货；已耗用部分可进入生产成本或主营业务成本；标准成本企业可能进入采购价格差异。</x:v>
      </x:c>
      <x:c r="G11" s="19" t="str">
        <x:v>公司、客户/供应商、物料、成本中心、项目、税码</x:v>
      </x:c>
      <x:c r="H11" s="19" t="str">
        <x:v>优先从原单据执行可追溯冲销</x:v>
      </x:c>
      <x:c r="I11" s="19" t="str">
        <x:v>AP与成本</x:v>
      </x:c>
      <x:c r="J11" s="19" t="str">
        <x:v>查看差异科目余额、异常单价及后续成本结转。</x:v>
      </x:c>
      <x:c r="K11" s="19" t="str">
        <x:v>先确认真实业务，再判断会计事件</x:v>
      </x:c>
      <x:c r="L11" s="19" t="str">
        <x:v>未开始</x:v>
      </x:c>
    </x:row>
    <x:row r="12">
      <x:c r="A12" s="19" t="str">
        <x:v>ERP-07</x:v>
      </x:c>
      <x:c r="B12" s="19" t="str">
        <x:v>支付并核销供应商货款</x:v>
      </x:c>
      <x:c r="C12" s="19" t="str">
        <x:v>付款申请、到期应付清单、审批记录、银行回单。</x:v>
      </x:c>
      <x:c r="D12" s="19" t="str">
        <x:v>自动/接口/手工取决于系统设计</x:v>
      </x:c>
      <x:c r="E12" s="19" t="str">
        <x:v>通常是或需判断</x:v>
      </x:c>
      <x:c r="F12" s="19" t="str">
        <x:v>借：应付账款69,156；贷：银行存款69,156。</x:v>
      </x:c>
      <x:c r="G12" s="19" t="str">
        <x:v>公司、客户/供应商、物料、成本中心、项目、税码</x:v>
      </x:c>
      <x:c r="H12" s="19" t="str">
        <x:v>优先从原单据执行可追溯冲销</x:v>
      </x:c>
      <x:c r="I12" s="19" t="str">
        <x:v>资金与AP</x:v>
      </x:c>
      <x:c r="J12" s="19" t="str">
        <x:v>付款户名、账号、金额、银行状态、清账日期和剩余未清项。</x:v>
      </x:c>
      <x:c r="K12" s="19" t="str">
        <x:v>先确认真实业务，再判断会计事件</x:v>
      </x:c>
      <x:c r="L12" s="19" t="str">
        <x:v>未开始</x:v>
      </x:c>
    </x:row>
    <x:row r="13">
      <x:c r="A13" s="19" t="str">
        <x:v>ERP-08</x:v>
      </x:c>
      <x:c r="B13" s="19" t="str">
        <x:v>生产订单领料</x:v>
      </x:c>
      <x:c r="C13" s="19" t="str">
        <x:v>生产订单、BOM、领料单、仓库出库单。</x:v>
      </x:c>
      <x:c r="D13" s="19" t="str">
        <x:v>自动/接口/手工取决于系统设计</x:v>
      </x:c>
      <x:c r="E13" s="19" t="str">
        <x:v>通常是或需判断</x:v>
      </x:c>
      <x:c r="F13" s="19" t="str">
        <x:v>借：生产成本—直接材料120,000；贷：原材料120,000。</x:v>
      </x:c>
      <x:c r="G13" s="19" t="str">
        <x:v>公司、客户/供应商、物料、成本中心、项目、税码</x:v>
      </x:c>
      <x:c r="H13" s="19" t="str">
        <x:v>优先从原单据执行可追溯冲销</x:v>
      </x:c>
      <x:c r="I13" s="19" t="str">
        <x:v>生产与库存</x:v>
      </x:c>
      <x:c r="J13" s="19" t="str">
        <x:v>领料工单、物料、批次、数量、计量单位及负库存。</x:v>
      </x:c>
      <x:c r="K13" s="19" t="str">
        <x:v>先确认真实业务，再判断会计事件</x:v>
      </x:c>
      <x:c r="L13" s="19" t="str">
        <x:v>未开始</x:v>
      </x:c>
    </x:row>
    <x:row r="14">
      <x:c r="A14" s="19" t="str">
        <x:v>ERP-09</x:v>
      </x:c>
      <x:c r="B14" s="19" t="str">
        <x:v>生产退料和超领</x:v>
      </x:c>
      <x:c r="C14" s="19" t="str">
        <x:v>退料单、补料单、报废原因、车间审批。</x:v>
      </x:c>
      <x:c r="D14" s="19" t="str">
        <x:v>自动/接口/手工取决于系统设计</x:v>
      </x:c>
      <x:c r="E14" s="19" t="str">
        <x:v>通常是或需判断</x:v>
      </x:c>
      <x:c r="F14" s="19" t="str">
        <x:v>退料：借原材料、贷生产成本；补领：借生产成本、贷原材料。异常报废是否进入当期损益需结合原因和政策判断。</x:v>
      </x:c>
      <x:c r="G14" s="19" t="str">
        <x:v>公司、客户/供应商、物料、成本中心、项目、税码</x:v>
      </x:c>
      <x:c r="H14" s="19" t="str">
        <x:v>优先从原单据执行可追溯冲销</x:v>
      </x:c>
      <x:c r="I14" s="19" t="str">
        <x:v>生产与库存</x:v>
      </x:c>
      <x:c r="J14" s="19" t="str">
        <x:v>BOM标准用量与实际用量差异、报废率和责任原因。</x:v>
      </x:c>
      <x:c r="K14" s="19" t="str">
        <x:v>先确认真实业务，再判断会计事件</x:v>
      </x:c>
      <x:c r="L14" s="19" t="str">
        <x:v>未开始</x:v>
      </x:c>
    </x:row>
    <x:row r="15">
      <x:c r="A15" s="19" t="str">
        <x:v>ERP-10</x:v>
      </x:c>
      <x:c r="B15" s="19" t="str">
        <x:v>人工和制造费用归集</x:v>
      </x:c>
      <x:c r="C15" s="19" t="str">
        <x:v>工资汇总、考勤工时、折旧清单、水电分摊、成本中心报表。</x:v>
      </x:c>
      <x:c r="D15" s="19" t="str">
        <x:v>自动/接口/手工取决于系统设计</x:v>
      </x:c>
      <x:c r="E15" s="19" t="str">
        <x:v>通常是或需判断</x:v>
      </x:c>
      <x:c r="F15" s="19" t="str">
        <x:v>借生产成本—直接人工80,000、制造费用120,000；贷应付职工薪酬130,000、累计折旧40,000、应付账款或银行30,000。随后按分配规则将制造费用转入产品成本。</x:v>
      </x:c>
      <x:c r="G15" s="19" t="str">
        <x:v>公司、客户/供应商、物料、成本中心、项目、税码</x:v>
      </x:c>
      <x:c r="H15" s="19" t="str">
        <x:v>优先从原单据执行可追溯冲销</x:v>
      </x:c>
      <x:c r="I15" s="19" t="str">
        <x:v>薪酬与成本</x:v>
      </x:c>
      <x:c r="J15" s="19" t="str">
        <x:v>工资人数及总额、成本中心映射、制造费用科目余额和未分配金额。</x:v>
      </x:c>
      <x:c r="K15" s="19" t="str">
        <x:v>先确认真实业务，再判断会计事件</x:v>
      </x:c>
      <x:c r="L15" s="19" t="str">
        <x:v>未开始</x:v>
      </x:c>
    </x:row>
    <x:row r="16">
      <x:c r="A16" s="19" t="str">
        <x:v>ERP-11</x:v>
      </x:c>
      <x:c r="B16" s="19" t="str">
        <x:v>完工入库</x:v>
      </x:c>
      <x:c r="C16" s="19" t="str">
        <x:v>报工单、完工检验单、生产入库单、在制盘点。</x:v>
      </x:c>
      <x:c r="D16" s="19" t="str">
        <x:v>自动/接口/手工取决于系统设计</x:v>
      </x:c>
      <x:c r="E16" s="19" t="str">
        <x:v>通常是或需判断</x:v>
      </x:c>
      <x:c r="F16" s="19" t="str">
        <x:v>按企业核算方式借产成品、贷生产成本；初始金额可为标准成本，月末结算后再调整。</x:v>
      </x:c>
      <x:c r="G16" s="19" t="str">
        <x:v>公司、客户/供应商、物料、成本中心、项目、税码</x:v>
      </x:c>
      <x:c r="H16" s="19" t="str">
        <x:v>优先从原单据执行可追溯冲销</x:v>
      </x:c>
      <x:c r="I16" s="19" t="str">
        <x:v>生产与库存</x:v>
      </x:c>
      <x:c r="J16" s="19" t="str">
        <x:v>完工数量、合格数量、报废数量、工单状态及生产入库凭证。</x:v>
      </x:c>
      <x:c r="K16" s="19" t="str">
        <x:v>先确认真实业务，再判断会计事件</x:v>
      </x:c>
      <x:c r="L16" s="19" t="str">
        <x:v>未开始</x:v>
      </x:c>
    </x:row>
    <x:row r="17">
      <x:c r="A17" s="19" t="str">
        <x:v>ERP-12</x:v>
      </x:c>
      <x:c r="B17" s="19" t="str">
        <x:v>月末产品成本结算</x:v>
      </x:c>
      <x:c r="C17" s="19" t="str">
        <x:v>工单成本明细、在制数量、BOM、工时、制造费用分配表。</x:v>
      </x:c>
      <x:c r="D17" s="19" t="str">
        <x:v>自动/接口/手工取决于系统设计</x:v>
      </x:c>
      <x:c r="E17" s="19" t="str">
        <x:v>通常是或需判断</x:v>
      </x:c>
      <x:c r="F17" s="19" t="str">
        <x:v>将生产成本分配至产成品和期末在产品；标准成本差异按政策进入存货、销售成本或差异科目。</x:v>
      </x:c>
      <x:c r="G17" s="19" t="str">
        <x:v>公司、客户/供应商、物料、成本中心、项目、税码</x:v>
      </x:c>
      <x:c r="H17" s="19" t="str">
        <x:v>优先从原单据执行可追溯冲销</x:v>
      </x:c>
      <x:c r="I17" s="19" t="str">
        <x:v>成本</x:v>
      </x:c>
      <x:c r="J17" s="19" t="str">
        <x:v>投入=完工转出+期末在制+异常损失；核对零成本、负成本和异常波动。</x:v>
      </x:c>
      <x:c r="K17" s="19" t="str">
        <x:v>先确认真实业务，再判断会计事件</x:v>
      </x:c>
      <x:c r="L17" s="19" t="str">
        <x:v>未开始</x:v>
      </x:c>
    </x:row>
    <x:row r="18">
      <x:c r="A18" s="19" t="str">
        <x:v>ERP-13</x:v>
      </x:c>
      <x:c r="B18" s="19" t="str">
        <x:v>创建客户和销售订单</x:v>
      </x:c>
      <x:c r="C18" s="19" t="str">
        <x:v>客户准入、信用审批、销售合同、销售订单SO260401。</x:v>
      </x:c>
      <x:c r="D18" s="19" t="str">
        <x:v>自动/接口/手工取决于系统设计</x:v>
      </x:c>
      <x:c r="E18" s="19" t="str">
        <x:v>通常否</x:v>
      </x:c>
      <x:c r="F18" s="19" t="str">
        <x:v>销售订单通常不直接确认收入或应收。</x:v>
      </x:c>
      <x:c r="G18" s="19" t="str">
        <x:v>公司、客户/供应商、物料、成本中心、项目、税码</x:v>
      </x:c>
      <x:c r="H18" s="19" t="str">
        <x:v>优先从原单据执行可追溯冲销</x:v>
      </x:c>
      <x:c r="I18" s="19" t="str">
        <x:v>销售与AR</x:v>
      </x:c>
      <x:c r="J18" s="19" t="str">
        <x:v>客户主体、税号、价格审批、信用额度、收货地点。</x:v>
      </x:c>
      <x:c r="K18" s="19" t="str">
        <x:v>先确认真实业务，再判断会计事件</x:v>
      </x:c>
      <x:c r="L18" s="19" t="str">
        <x:v>未开始</x:v>
      </x:c>
    </x:row>
    <x:row r="19">
      <x:c r="A19" s="19" t="str">
        <x:v>ERP-14</x:v>
      </x:c>
      <x:c r="B19" s="19" t="str">
        <x:v>发货和销售出库</x:v>
      </x:c>
      <x:c r="C19" s="19" t="str">
        <x:v>交货单、拣货单、销售出库单、物流单、客户签收。</x:v>
      </x:c>
      <x:c r="D19" s="19" t="str">
        <x:v>自动/接口/手工取决于系统设计</x:v>
      </x:c>
      <x:c r="E19" s="19" t="str">
        <x:v>通常是或需判断</x:v>
      </x:c>
      <x:c r="F19" s="19" t="str">
        <x:v>出库时通常借主营业务成本150,000，贷产成品150,000。收入凭证可能与出库同日或在验收后单独形成。</x:v>
      </x:c>
      <x:c r="G19" s="19" t="str">
        <x:v>公司、客户/供应商、物料、成本中心、项目、税码</x:v>
      </x:c>
      <x:c r="H19" s="19" t="str">
        <x:v>优先从原单据执行可追溯冲销</x:v>
      </x:c>
      <x:c r="I19" s="19" t="str">
        <x:v>销售与库存</x:v>
      </x:c>
      <x:c r="J19" s="19" t="str">
        <x:v>出库数量、批次、签收日期、成本金额和收入事件。</x:v>
      </x:c>
      <x:c r="K19" s="19" t="str">
        <x:v>先确认真实业务，再判断会计事件</x:v>
      </x:c>
      <x:c r="L19" s="19" t="str">
        <x:v>未开始</x:v>
      </x:c>
    </x:row>
    <x:row r="20">
      <x:c r="A20" s="19" t="str">
        <x:v>ERP-15</x:v>
      </x:c>
      <x:c r="B20" s="19" t="str">
        <x:v>确认收入并开票</x:v>
      </x:c>
      <x:c r="C20" s="19" t="str">
        <x:v>合同、订单、出库单、签收单、收入确认清单、开票申请和发票。</x:v>
      </x:c>
      <x:c r="D20" s="19" t="str">
        <x:v>自动/接口/手工取决于系统设计</x:v>
      </x:c>
      <x:c r="E20" s="19" t="str">
        <x:v>通常是或需判断</x:v>
      </x:c>
      <x:c r="F20" s="19" t="str">
        <x:v>借应收账款226,000；贷主营业务收入200,000；贷应交税费—销项税额26,000。</x:v>
      </x:c>
      <x:c r="G20" s="19" t="str">
        <x:v>公司、客户/供应商、物料、成本中心、项目、税码</x:v>
      </x:c>
      <x:c r="H20" s="19" t="str">
        <x:v>优先从原单据执行可追溯冲销</x:v>
      </x:c>
      <x:c r="I20" s="19" t="str">
        <x:v>销售、AR与税务</x:v>
      </x:c>
      <x:c r="J20" s="19" t="str">
        <x:v>订单、交付、收入、发票、AR和销项税六方核对。</x:v>
      </x:c>
      <x:c r="K20" s="19" t="str">
        <x:v>先确认真实业务，再判断会计事件</x:v>
      </x:c>
      <x:c r="L20" s="19" t="str">
        <x:v>未开始</x:v>
      </x:c>
    </x:row>
    <x:row r="21">
      <x:c r="A21" s="19" t="str">
        <x:v>ERP-16</x:v>
      </x:c>
      <x:c r="B21" s="19" t="str">
        <x:v>客户收款和核销</x:v>
      </x:c>
      <x:c r="C21" s="19" t="str">
        <x:v>银行流水、客户付款通知、收款认领单。</x:v>
      </x:c>
      <x:c r="D21" s="19" t="str">
        <x:v>自动/接口/手工取决于系统设计</x:v>
      </x:c>
      <x:c r="E21" s="19" t="str">
        <x:v>通常是或需判断</x:v>
      </x:c>
      <x:c r="F21" s="19" t="str">
        <x:v>借银行存款226,000；贷应收账款226,000。</x:v>
      </x:c>
      <x:c r="G21" s="19" t="str">
        <x:v>公司、客户/供应商、物料、成本中心、项目、税码</x:v>
      </x:c>
      <x:c r="H21" s="19" t="str">
        <x:v>优先从原单据执行可追溯冲销</x:v>
      </x:c>
      <x:c r="I21" s="19" t="str">
        <x:v>资金与AR</x:v>
      </x:c>
      <x:c r="J21" s="19" t="str">
        <x:v>付款方、客户、发票、收款日期、差额和清账凭证。</x:v>
      </x:c>
      <x:c r="K21" s="19" t="str">
        <x:v>先确认真实业务，再判断会计事件</x:v>
      </x:c>
      <x:c r="L21" s="19" t="str">
        <x:v>未开始</x:v>
      </x:c>
    </x:row>
    <x:row r="22">
      <x:c r="A22" s="19" t="str">
        <x:v>ERP-17</x:v>
      </x:c>
      <x:c r="B22" s="19" t="str">
        <x:v>员工差旅费报销</x:v>
      </x:c>
      <x:c r="C22" s="19" t="str">
        <x:v>出差申请、行程、发票、支付记录、报销单、审批记录。</x:v>
      </x:c>
      <x:c r="D22" s="19" t="str">
        <x:v>自动/接口/手工取决于系统设计</x:v>
      </x:c>
      <x:c r="E22" s="19" t="str">
        <x:v>通常是或需判断</x:v>
      </x:c>
      <x:c r="F22" s="19" t="str">
        <x:v>借销售费用及可抵扣进项税额（按合法凭证和用途判断），贷其他应付款—员工；付款时借其他应付款、贷银行存款。</x:v>
      </x:c>
      <x:c r="G22" s="19" t="str">
        <x:v>公司、客户/供应商、物料、成本中心、项目、税码</x:v>
      </x:c>
      <x:c r="H22" s="19" t="str">
        <x:v>优先从原单据执行可追溯冲销</x:v>
      </x:c>
      <x:c r="I22" s="19" t="str">
        <x:v>OA与费用</x:v>
      </x:c>
      <x:c r="J22" s="19" t="str">
        <x:v>行程与票据、重复报销、成本中心、预算、付款主体。</x:v>
      </x:c>
      <x:c r="K22" s="19" t="str">
        <x:v>先确认真实业务，再判断会计事件</x:v>
      </x:c>
      <x:c r="L22" s="19" t="str">
        <x:v>未开始</x:v>
      </x:c>
    </x:row>
    <x:row r="23">
      <x:c r="A23" s="19" t="str">
        <x:v>ERP-18</x:v>
      </x:c>
      <x:c r="B23" s="19" t="str">
        <x:v>新增检测设备并计提折旧</x:v>
      </x:c>
      <x:c r="C23" s="19" t="str">
        <x:v>合同、发票、验收单、资产申请、使用部门和保管人确认。</x:v>
      </x:c>
      <x:c r="D23" s="19" t="str">
        <x:v>自动/接口/手工取决于系统设计</x:v>
      </x:c>
      <x:c r="E23" s="19" t="str">
        <x:v>通常否</x:v>
      </x:c>
      <x:c r="F23" s="19" t="str">
        <x:v>购入：借固定资产500,000、进项税65,000，贷应付账款565,000；5月折旧7,916.67元，借制造费用或相关费用，贷累计折旧。</x:v>
      </x:c>
      <x:c r="G23" s="19" t="str">
        <x:v>公司、客户/供应商、物料、成本中心、项目、税码</x:v>
      </x:c>
      <x:c r="H23" s="19" t="str">
        <x:v>优先从原单据执行可追溯冲销</x:v>
      </x:c>
      <x:c r="I23" s="19" t="str">
        <x:v>FA</x:v>
      </x:c>
      <x:c r="J23" s="19" t="str">
        <x:v>在用日期、资本化金额、卡片数量、折旧范围、部门和处置状态。</x:v>
      </x:c>
      <x:c r="K23" s="19" t="str">
        <x:v>先确认真实业务，再判断会计事件</x:v>
      </x:c>
      <x:c r="L23" s="19" t="str">
        <x:v>未开始</x:v>
      </x:c>
    </x:row>
    <x:row r="24">
      <x:c r="A24" s="19" t="str">
        <x:v>ERP-19</x:v>
      </x:c>
      <x:c r="B24" s="19" t="str">
        <x:v>完成模块对账、报表和月结</x:v>
      </x:c>
      <x:c r="C24" s="19" t="str">
        <x:v>月结日历、模块状态表、对账底稿、试算平衡表、报表校验表。</x:v>
      </x:c>
      <x:c r="D24" s="19" t="str">
        <x:v>自动/接口/手工取决于系统设计</x:v>
      </x:c>
      <x:c r="E24" s="19" t="str">
        <x:v>通常是或需判断</x:v>
      </x:c>
      <x:c r="F24" s="19" t="str">
        <x:v>包括预提、摊销、税费、成本结转和损益结转等月结凭证，必须有计算底稿和审批。</x:v>
      </x:c>
      <x:c r="G24" s="19" t="str">
        <x:v>公司、客户/供应商、物料、成本中心、项目、税码</x:v>
      </x:c>
      <x:c r="H24" s="19" t="str">
        <x:v>优先从原单据执行可追溯冲销</x:v>
      </x:c>
      <x:c r="I24" s="19" t="str">
        <x:v>GL与月结</x:v>
      </x:c>
      <x:c r="J24" s="19" t="str">
        <x:v>未过账单据、接口失败、异常余额、模块差异、报表映射和现金流。</x:v>
      </x:c>
      <x:c r="K24" s="19" t="str">
        <x:v>先确认真实业务，再判断会计事件</x:v>
      </x:c>
      <x:c r="L24" s="19" t="str">
        <x:v>未开始</x:v>
      </x:c>
    </x:row>
    <x:row r="25">
      <x:c r="A25" s="19" t="str">
        <x:v>ERP-20</x:v>
      </x:c>
      <x:c r="B25" s="19" t="str">
        <x:v>发现错误后的调整</x:v>
      </x:c>
      <x:c r="C25" s="19" t="str">
        <x:v>错误单据、接口日志、期间状态、调整审批和影响分析。</x:v>
      </x:c>
      <x:c r="D25" s="19" t="str">
        <x:v>自动/接口/手工取决于系统设计</x:v>
      </x:c>
      <x:c r="E25" s="19" t="str">
        <x:v>通常是或需判断</x:v>
      </x:c>
      <x:c r="F25" s="19" t="str">
        <x:v>冲销重复凭证后按正确期间重做；跨期是否重开期间取决于重要性、报告状态和公司权限政策。</x:v>
      </x:c>
      <x:c r="G25" s="19" t="str">
        <x:v>公司、客户/供应商、物料、成本中心、项目、税码</x:v>
      </x:c>
      <x:c r="H25" s="19" t="str">
        <x:v>优先从原单据执行可追溯冲销</x:v>
      </x:c>
      <x:c r="I25" s="19" t="str">
        <x:v>异常处理</x:v>
      </x:c>
      <x:c r="J25" s="19" t="str">
        <x:v>冲销与原凭证关联、接口记录数、期间、模块余额及报表影响。</x:v>
      </x:c>
      <x:c r="K25" s="19" t="str">
        <x:v>先确认真实业务，再判断会计事件</x:v>
      </x:c>
      <x:c r="L25" s="19" t="str">
        <x:v>未开始</x:v>
      </x:c>
    </x:row>
  </x:sheetData>
  <x:mergeCells>
    <x:mergeCell ref="A1:L1"/>
    <x:mergeCell ref="A2:L2"/>
  </x:mergeCells>
  <x:conditionalFormatting sqref="L6:L25">
    <x:cfRule type="containsText" dxfId="9" priority="1" operator="containsText" text="已掌握"/>
    <x:cfRule type="containsText" dxfId="10" priority="2" operator="containsText" text="未开始"/>
    <x:cfRule type="containsText" dxfId="11" priority="3" operator="containsText" text="待复练"/>
  </x:conditionalFormatting>
  <x:dataValidations count="1">
    <x:dataValidation type="list" sqref="L6:L25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8d8f55fda4435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0" hidden="0" customWidth="1"/>
    <x:col min="5" max="5" width="34" hidden="0" customWidth="1"/>
    <x:col min="6" max="6" width="38" hidden="0" customWidth="1"/>
    <x:col min="7" max="7" width="42" hidden="0" customWidth="1"/>
    <x:col min="8" max="8" width="24" hidden="0" customWidth="1"/>
    <x:col min="9" max="9" width="16" hidden="0" customWidth="1"/>
    <x:col min="10" max="10" width="16" hidden="0" customWidth="1"/>
    <x:col min="11" max="11" width="14" hidden="0" customWidth="1"/>
    <x:col min="12" max="12" width="11" hidden="0" customWidth="1"/>
  </x:cols>
  <x:sheetData>
    <x:row r="1" ht="30" customHeight="1">
      <x:c r="A1" s="2" t="str">
        <x:v>ERP子模块与总账核对矩阵</x:v>
      </x:c>
    </x:row>
    <x:row r="2" ht="24" customHeight="1">
      <x:c r="A2" s="4" t="str">
        <x:v>先统一组织、币种、截止日、过账状态和科目范围，再比较余额</x:v>
      </x:c>
    </x:row>
    <x:row r="5" ht="34" customHeight="1">
      <x:c r="A5" s="10" t="str">
        <x:v>子模块</x:v>
      </x:c>
      <x:c r="B5" s="10" t="str">
        <x:v>GL范围</x:v>
      </x:c>
      <x:c r="C5" s="10" t="str">
        <x:v>子模块报表</x:v>
      </x:c>
      <x:c r="D5" s="10" t="str">
        <x:v>总账依据</x:v>
      </x:c>
      <x:c r="E5" s="10" t="str">
        <x:v>统一口径</x:v>
      </x:c>
      <x:c r="F5" s="10" t="str">
        <x:v>常见差异</x:v>
      </x:c>
      <x:c r="G5" s="10" t="str">
        <x:v>排查路径</x:v>
      </x:c>
      <x:c r="H5" s="10" t="str">
        <x:v>责任</x:v>
      </x:c>
      <x:c r="I5" s="10" t="str">
        <x:v>本月子模块金额</x:v>
      </x:c>
      <x:c r="J5" s="10" t="str">
        <x:v>本月GL金额</x:v>
      </x:c>
      <x:c r="K5" s="10" t="str">
        <x:v>差异</x:v>
      </x:c>
      <x:c r="L5" s="10" t="str">
        <x:v>复核状态</x:v>
      </x:c>
    </x:row>
    <x:row r="6">
      <x:c r="A6" s="19" t="str">
        <x:v>AR</x:v>
      </x:c>
      <x:c r="B6" s="19" t="str">
        <x:v>应收账款、合同资产、合同负债相关明细</x:v>
      </x:c>
      <x:c r="C6" s="19" t="str">
        <x:v>客户余额表、未清项、账龄、收款认领表</x:v>
      </x:c>
      <x:c r="D6" s="19" t="str">
        <x:v>科目余额表及客户辅助账</x:v>
      </x:c>
      <x:c r="E6" s="19" t="str">
        <x:v>同公司、币种、客户、截止日和过账状态</x:v>
      </x:c>
      <x:c r="F6" s="19" t="str">
        <x:v>未过账开票、手工直接记AR控制科目、接口失败、核销日期错</x:v>
      </x:c>
      <x:c r="G6" s="19" t="str">
        <x:v>先按公司和币种锁定差额，再按客户、单据状态及接口批次追踪</x:v>
      </x:c>
      <x:c r="H6" s="19" t="str">
        <x:v>AR负责人编制，总账复核</x:v>
      </x:c>
      <x:c r="I6" s="22" t="n">
        <x:v>0</x:v>
      </x:c>
      <x:c r="J6" s="22" t="n">
        <x:v>0</x:v>
      </x:c>
      <x:c r="K6" s="23" t="n">
        <x:f>I6-J6</x:f>
        <x:v>0</x:v>
      </x:c>
      <x:c r="L6" s="19" t="str">
        <x:v>未开始</x:v>
      </x:c>
    </x:row>
    <x:row r="7">
      <x:c r="A7" s="19" t="str">
        <x:v>AP</x:v>
      </x:c>
      <x:c r="B7" s="19" t="str">
        <x:v>应付账款、暂估、预付款</x:v>
      </x:c>
      <x:c r="C7" s="19" t="str">
        <x:v>供应商余额、未清项、收货未开票、付款未核销</x:v>
      </x:c>
      <x:c r="D7" s="19" t="str">
        <x:v>科目余额表及供应商辅助账</x:v>
      </x:c>
      <x:c r="E7" s="19" t="str">
        <x:v>区分财务应付与业务暂估</x:v>
      </x:c>
      <x:c r="F7" s="19" t="str">
        <x:v>发票未过账、付款未清账、暂估口径不同、直接总账凭证</x:v>
      </x:c>
      <x:c r="G7" s="19" t="str">
        <x:v>分财务应付和暂估两层核对，再查供应商和单据链</x:v>
      </x:c>
      <x:c r="H7" s="19" t="str">
        <x:v>AP编制，总账复核</x:v>
      </x:c>
      <x:c r="I7" s="22" t="n">
        <x:v>0</x:v>
      </x:c>
      <x:c r="J7" s="22" t="n">
        <x:v>0</x:v>
      </x:c>
      <x:c r="K7" s="23" t="n">
        <x:f>I7-J7</x:f>
        <x:v>0</x:v>
      </x:c>
      <x:c r="L7" s="19" t="str">
        <x:v>未开始</x:v>
      </x:c>
    </x:row>
    <x:row r="8">
      <x:c r="A8" s="19" t="str">
        <x:v>Inventory</x:v>
      </x:c>
      <x:c r="B8" s="19" t="str">
        <x:v>原材料、在产品、产成品、发出商品</x:v>
      </x:c>
      <x:c r="C8" s="19" t="str">
        <x:v>库存余额、存货核算余额、收发存</x:v>
      </x:c>
      <x:c r="D8" s="19" t="str">
        <x:v>存货科目余额</x:v>
      </x:c>
      <x:c r="E8" s="19" t="str">
        <x:v>数量截止、价值期间和组织范围一致</x:v>
      </x:c>
      <x:c r="F8" s="19" t="str">
        <x:v>未记账单据、负库存、价格未取到、跨期补单、手工记存货</x:v>
      </x:c>
      <x:c r="G8" s="19" t="str">
        <x:v>先查数量再查单价和价值，最后查凭证生成</x:v>
      </x:c>
      <x:c r="H8" s="19" t="str">
        <x:v>成本会计编制，总账复核</x:v>
      </x:c>
      <x:c r="I8" s="22" t="n">
        <x:v>0</x:v>
      </x:c>
      <x:c r="J8" s="22" t="n">
        <x:v>0</x:v>
      </x:c>
      <x:c r="K8" s="23" t="n">
        <x:f>I8-J8</x:f>
        <x:v>0</x:v>
      </x:c>
      <x:c r="L8" s="19" t="str">
        <x:v>未开始</x:v>
      </x:c>
    </x:row>
    <x:row r="9">
      <x:c r="A9" s="19" t="str">
        <x:v>Cost</x:v>
      </x:c>
      <x:c r="B9" s="19" t="str">
        <x:v>生产成本、制造费用、主营业务成本</x:v>
      </x:c>
      <x:c r="C9" s="19" t="str">
        <x:v>工单成本、在产品、完工成本、差异分析</x:v>
      </x:c>
      <x:c r="D9" s="19" t="str">
        <x:v>成本及损益科目</x:v>
      </x:c>
      <x:c r="E9" s="19" t="str">
        <x:v>工单范围、成本中心、分配规则和结算状态一致</x:v>
      </x:c>
      <x:c r="F9" s="19" t="str">
        <x:v>工单未关闭、报工遗漏、费用未归集、分配规则错</x:v>
      </x:c>
      <x:c r="G9" s="19" t="str">
        <x:v>查未结工单、零成本工单、异常单位成本和分配日志</x:v>
      </x:c>
      <x:c r="H9" s="19" t="str">
        <x:v>成本会计编制，主管复核</x:v>
      </x:c>
      <x:c r="I9" s="22" t="n">
        <x:v>0</x:v>
      </x:c>
      <x:c r="J9" s="22" t="n">
        <x:v>0</x:v>
      </x:c>
      <x:c r="K9" s="23" t="n">
        <x:f>I9-J9</x:f>
        <x:v>0</x:v>
      </x:c>
      <x:c r="L9" s="19" t="str">
        <x:v>未开始</x:v>
      </x:c>
    </x:row>
    <x:row r="10">
      <x:c r="A10" s="19" t="str">
        <x:v>FA</x:v>
      </x:c>
      <x:c r="B10" s="19" t="str">
        <x:v>固定资产、累计折旧、减值、处置损益</x:v>
      </x:c>
      <x:c r="C10" s="19" t="str">
        <x:v>资产价值表、折旧运行日志、资产变动表</x:v>
      </x:c>
      <x:c r="D10" s="19" t="str">
        <x:v>固定资产相关科目</x:v>
      </x:c>
      <x:c r="E10" s="19" t="str">
        <x:v>资产类别、公司、期间、折旧范围一致</x:v>
      </x:c>
      <x:c r="F10" s="19" t="str">
        <x:v>卡片未过账、折旧未跑、直接GL、处置未同步</x:v>
      </x:c>
      <x:c r="G10" s="19" t="str">
        <x:v>按资产类别对账，再追卡片、折旧运行和凭证号</x:v>
      </x:c>
      <x:c r="H10" s="19" t="str">
        <x:v>资产会计编制，总账复核</x:v>
      </x:c>
      <x:c r="I10" s="22" t="n">
        <x:v>0</x:v>
      </x:c>
      <x:c r="J10" s="22" t="n">
        <x:v>0</x:v>
      </x:c>
      <x:c r="K10" s="23" t="n">
        <x:f>I10-J10</x:f>
        <x:v>0</x:v>
      </x:c>
      <x:c r="L10" s="19" t="str">
        <x:v>未开始</x:v>
      </x:c>
    </x:row>
    <x:row r="11">
      <x:c r="A11" s="19" t="str">
        <x:v>Payroll</x:v>
      </x:c>
      <x:c r="B11" s="19" t="str">
        <x:v>应付职工薪酬及费用成本科目</x:v>
      </x:c>
      <x:c r="C11" s="19" t="str">
        <x:v>工资汇总、社保个税、银行发薪表</x:v>
      </x:c>
      <x:c r="D11" s="19" t="str">
        <x:v>薪酬明细科目和费用</x:v>
      </x:c>
      <x:c r="E11" s="19" t="str">
        <x:v>人员范围、薪资期间、发放批次一致</x:v>
      </x:c>
      <x:c r="F11" s="19" t="str">
        <x:v>离职人员未清、接口漏行、部门映射错、付款未核销</x:v>
      </x:c>
      <x:c r="G11" s="19" t="str">
        <x:v>先核人数和总额，再核薪酬项目、成本中心和银行批次</x:v>
      </x:c>
      <x:c r="H11" s="19" t="str">
        <x:v>薪酬编制，总账复核</x:v>
      </x:c>
      <x:c r="I11" s="22" t="n">
        <x:v>0</x:v>
      </x:c>
      <x:c r="J11" s="22" t="n">
        <x:v>0</x:v>
      </x:c>
      <x:c r="K11" s="23" t="n">
        <x:f>I11-J11</x:f>
        <x:v>0</x:v>
      </x:c>
      <x:c r="L11" s="19" t="str">
        <x:v>未开始</x:v>
      </x:c>
    </x:row>
    <x:row r="12">
      <x:c r="A12" s="19" t="str">
        <x:v>Bank</x:v>
      </x:c>
      <x:c r="B12" s="19" t="str">
        <x:v>银行存款、其他货币资金</x:v>
      </x:c>
      <x:c r="C12" s="19" t="str">
        <x:v>资金流水、支付批次、银行余额调节表</x:v>
      </x:c>
      <x:c r="D12" s="19" t="str">
        <x:v>银行科目及账户辅助账</x:v>
      </x:c>
      <x:c r="E12" s="19" t="str">
        <x:v>账户、币种、交易日期和价值日明确</x:v>
      </x:c>
      <x:c r="F12" s="19" t="str">
        <x:v>回单未回传、失败付款已过账、手续费漏记、未知收款</x:v>
      </x:c>
      <x:c r="G12" s="19" t="str">
        <x:v>逐账户调节，按银行流水号与ERP单据号匹配</x:v>
      </x:c>
      <x:c r="H12" s="19" t="str">
        <x:v>资金编制，总账复核</x:v>
      </x:c>
      <x:c r="I12" s="22" t="n">
        <x:v>0</x:v>
      </x:c>
      <x:c r="J12" s="22" t="n">
        <x:v>0</x:v>
      </x:c>
      <x:c r="K12" s="23" t="n">
        <x:f>I12-J12</x:f>
        <x:v>0</x:v>
      </x:c>
      <x:c r="L12" s="19" t="str">
        <x:v>未开始</x:v>
      </x:c>
    </x:row>
    <x:row r="13">
      <x:c r="A13" s="19" t="str">
        <x:v>Tax</x:v>
      </x:c>
      <x:c r="B13" s="19" t="str">
        <x:v>应交税费各明细</x:v>
      </x:c>
      <x:c r="C13" s="19" t="str">
        <x:v>开票、收票、用途确认、申报底稿</x:v>
      </x:c>
      <x:c r="D13" s="19" t="str">
        <x:v>应交税费明细账</x:v>
      </x:c>
      <x:c r="E13" s="19" t="str">
        <x:v>明确账务口径、发票口径和申报口径差异</x:v>
      </x:c>
      <x:c r="F13" s="19" t="str">
        <x:v>未开票收入、暂估、进项用途、转出、跨期更正</x:v>
      </x:c>
      <x:c r="G13" s="19" t="str">
        <x:v>分销项、进项、转出、缴税逐层搭桥</x:v>
      </x:c>
      <x:c r="H13" s="19" t="str">
        <x:v>税务编制，财务主管复核</x:v>
      </x:c>
      <x:c r="I13" s="22" t="n">
        <x:v>0</x:v>
      </x:c>
      <x:c r="J13" s="22" t="n">
        <x:v>0</x:v>
      </x:c>
      <x:c r="K13" s="23" t="n">
        <x:f>I13-J13</x:f>
        <x:v>0</x:v>
      </x:c>
      <x:c r="L13" s="19" t="str">
        <x:v>未开始</x:v>
      </x:c>
    </x:row>
  </x:sheetData>
  <x:mergeCells>
    <x:mergeCell ref="A1:L1"/>
    <x:mergeCell ref="A2:L2"/>
  </x:mergeCells>
  <x:conditionalFormatting sqref="L6:L13">
    <x:cfRule type="containsText" dxfId="12" priority="1" operator="containsText" text="已掌握"/>
    <x:cfRule type="containsText" dxfId="13" priority="2" operator="containsText" text="未开始"/>
    <x:cfRule type="containsText" dxfId="14" priority="3" operator="containsText" text="待复练"/>
  </x:conditionalFormatting>
  <x:dataValidations count="1">
    <x:dataValidation type="list" sqref="L6:L13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2fc72d9d8b440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5" hidden="0" customWidth="1"/>
    <x:col min="3" max="3" width="45" hidden="0" customWidth="1"/>
    <x:col min="4" max="4" width="12" hidden="0" customWidth="1"/>
    <x:col min="5" max="5" width="18" hidden="0" customWidth="1"/>
    <x:col min="6" max="6" width="38" hidden="0" customWidth="1"/>
    <x:col min="7" max="7" width="34" hidden="0" customWidth="1"/>
    <x:col min="8" max="8" width="18" hidden="0" customWidth="1"/>
    <x:col min="9" max="9" width="14" hidden="0" customWidth="1"/>
    <x:col min="10" max="10" width="11" hidden="0" customWidth="1"/>
    <x:col min="11" max="11" width="14" hidden="0" customWidth="1"/>
    <x:col min="12" max="12" width="32" hidden="0" customWidth="1"/>
    <x:col min="13" max="13" width="14" hidden="0" customWidth="1"/>
  </x:cols>
  <x:sheetData>
    <x:row r="1" ht="30" customHeight="1">
      <x:c r="A1" s="2" t="str">
        <x:v>ERP月结SOP</x:v>
      </x:c>
    </x:row>
    <x:row r="2" ht="24" customHeight="1">
      <x:c r="A2" s="4" t="str">
        <x:v>日期为相对月末；技术上可关账不代表业务和会计已经完整关闭</x:v>
      </x:c>
    </x:row>
    <x:row r="5" ht="34" customHeight="1">
      <x:c r="A5" s="10" t="str">
        <x:v>序号</x:v>
      </x:c>
      <x:c r="B5" s="10" t="str">
        <x:v>阶段</x:v>
      </x:c>
      <x:c r="C5" s="10" t="str">
        <x:v>关键动作</x:v>
      </x:c>
      <x:c r="D5" s="10" t="str">
        <x:v>计划时间</x:v>
      </x:c>
      <x:c r="E5" s="10" t="str">
        <x:v>责任人</x:v>
      </x:c>
      <x:c r="F5" s="10" t="str">
        <x:v>完成证据</x:v>
      </x:c>
      <x:c r="G5" s="10" t="str">
        <x:v>主要风险</x:v>
      </x:c>
      <x:c r="H5" s="10" t="str">
        <x:v>前置任务</x:v>
      </x:c>
      <x:c r="I5" s="10" t="str">
        <x:v>是否阻断后续</x:v>
      </x:c>
      <x:c r="J5" s="10" t="str">
        <x:v>执行状态</x:v>
      </x:c>
      <x:c r="K5" s="10" t="str">
        <x:v>实际完成日</x:v>
      </x:c>
      <x:c r="L5" s="10" t="str">
        <x:v>异常及处理</x:v>
      </x:c>
      <x:c r="M5" s="10" t="str">
        <x:v>复核人</x:v>
      </x:c>
    </x:row>
    <x:row r="6">
      <x:c r="A6" s="19" t="n">
        <x:v>1</x:v>
      </x:c>
      <x:c r="B6" s="19" t="str">
        <x:v>准备</x:v>
      </x:c>
      <x:c r="C6" s="19" t="str">
        <x:v>发布月结日历并确认业务截止</x:v>
      </x:c>
      <x:c r="D6" s="19" t="str">
        <x:v>D-5</x:v>
      </x:c>
      <x:c r="E6" s="19" t="str">
        <x:v>财务主管</x:v>
      </x:c>
      <x:c r="F6" s="19" t="str">
        <x:v>组织范围、关键依赖、责任人和升级路径明确</x:v>
      </x:c>
      <x:c r="G6" s="19" t="str">
        <x:v>遗漏模块或人员变动</x:v>
      </x:c>
      <x:c r="H6" s="19" t="str">
        <x:v>无</x:v>
      </x:c>
      <x:c r="I6" s="19" t="str">
        <x:v>是</x:v>
      </x:c>
      <x:c r="J6" s="20" t="str">
        <x:v>未开始</x:v>
      </x:c>
      <x:c r="K6" s="21"/>
      <x:c r="L6" s="20" t="str"/>
      <x:c r="M6" s="19" t="str">
        <x:v>财务主管</x:v>
      </x:c>
    </x:row>
    <x:row r="7">
      <x:c r="A7" s="19" t="n">
        <x:v>2</x:v>
      </x:c>
      <x:c r="B7" s="19" t="str">
        <x:v>业务截止</x:v>
      </x:c>
      <x:c r="C7" s="19" t="str">
        <x:v>采购、销售、仓库、生产完成本期单据</x:v>
      </x:c>
      <x:c r="D7" s="19" t="str">
        <x:v>D0</x:v>
      </x:c>
      <x:c r="E7" s="19" t="str">
        <x:v>业务负责人</x:v>
      </x:c>
      <x:c r="F7" s="19" t="str">
        <x:v>未审核、草稿、在途、倒签单据形成清单</x:v>
      </x:c>
      <x:c r="G7" s="19" t="str">
        <x:v>跨期、补单</x:v>
      </x:c>
      <x:c r="H7" s="19" t="str">
        <x:v>准备</x:v>
      </x:c>
      <x:c r="I7" s="19" t="str">
        <x:v>是</x:v>
      </x:c>
      <x:c r="J7" s="20" t="str">
        <x:v>未开始</x:v>
      </x:c>
      <x:c r="K7" s="21"/>
      <x:c r="L7" s="20" t="str"/>
      <x:c r="M7" s="19" t="str">
        <x:v>财务主管</x:v>
      </x:c>
    </x:row>
    <x:row r="8">
      <x:c r="A8" s="19" t="n">
        <x:v>3</x:v>
      </x:c>
      <x:c r="B8" s="19" t="str">
        <x:v>接口完整性</x:v>
      </x:c>
      <x:c r="C8" s="19" t="str">
        <x:v>核对OA、WMS、MES、HR、银行和发票接口</x:v>
      </x:c>
      <x:c r="D8" s="19" t="str">
        <x:v>D+1</x:v>
      </x:c>
      <x:c r="E8" s="19" t="str">
        <x:v>总账与IT</x:v>
      </x:c>
      <x:c r="F8" s="19" t="str">
        <x:v>批次记录数、金额、成功数与源系统一致</x:v>
      </x:c>
      <x:c r="G8" s="19" t="str">
        <x:v>漏传、重复、延迟</x:v>
      </x:c>
      <x:c r="H8" s="19" t="str">
        <x:v>业务截止</x:v>
      </x:c>
      <x:c r="I8" s="19" t="str">
        <x:v>是</x:v>
      </x:c>
      <x:c r="J8" s="20" t="str">
        <x:v>未开始</x:v>
      </x:c>
      <x:c r="K8" s="21"/>
      <x:c r="L8" s="20" t="str"/>
      <x:c r="M8" s="19" t="str">
        <x:v>财务主管</x:v>
      </x:c>
    </x:row>
    <x:row r="9">
      <x:c r="A9" s="19" t="n">
        <x:v>4</x:v>
      </x:c>
      <x:c r="B9" s="19" t="str">
        <x:v>采购/AP</x:v>
      </x:c>
      <x:c r="C9" s="19" t="str">
        <x:v>收货暂估、发票匹配、付款核销</x:v>
      </x:c>
      <x:c r="D9" s="19" t="str">
        <x:v>D+2</x:v>
      </x:c>
      <x:c r="E9" s="19" t="str">
        <x:v>AP</x:v>
      </x:c>
      <x:c r="F9" s="19" t="str">
        <x:v>未开票收货和长期暂估已解释</x:v>
      </x:c>
      <x:c r="G9" s="19" t="str">
        <x:v>暂估漏提或重复</x:v>
      </x:c>
      <x:c r="H9" s="19" t="str">
        <x:v>接口完整性</x:v>
      </x:c>
      <x:c r="I9" s="19" t="str">
        <x:v>是</x:v>
      </x:c>
      <x:c r="J9" s="20" t="str">
        <x:v>未开始</x:v>
      </x:c>
      <x:c r="K9" s="21"/>
      <x:c r="L9" s="20" t="str"/>
      <x:c r="M9" s="19" t="str">
        <x:v>财务主管</x:v>
      </x:c>
    </x:row>
    <x:row r="10">
      <x:c r="A10" s="19" t="n">
        <x:v>5</x:v>
      </x:c>
      <x:c r="B10" s="19" t="str">
        <x:v>销售/AR</x:v>
      </x:c>
      <x:c r="C10" s="19" t="str">
        <x:v>交付截止、收入、开票、收款认领</x:v>
      </x:c>
      <x:c r="D10" s="19" t="str">
        <x:v>D+2</x:v>
      </x:c>
      <x:c r="E10" s="19" t="str">
        <x:v>AR</x:v>
      </x:c>
      <x:c r="F10" s="19" t="str">
        <x:v>订单至收款单据链完整，未开票差异可解释</x:v>
      </x:c>
      <x:c r="G10" s="19" t="str">
        <x:v>收入与开票混同</x:v>
      </x:c>
      <x:c r="H10" s="19" t="str">
        <x:v>采购/AP</x:v>
      </x:c>
      <x:c r="I10" s="19" t="str">
        <x:v>是</x:v>
      </x:c>
      <x:c r="J10" s="20" t="str">
        <x:v>未开始</x:v>
      </x:c>
      <x:c r="K10" s="21"/>
      <x:c r="L10" s="20" t="str"/>
      <x:c r="M10" s="19" t="str">
        <x:v>财务主管</x:v>
      </x:c>
    </x:row>
    <x:row r="11">
      <x:c r="A11" s="19" t="n">
        <x:v>6</x:v>
      </x:c>
      <x:c r="B11" s="19" t="str">
        <x:v>库存</x:v>
      </x:c>
      <x:c r="C11" s="19" t="str">
        <x:v>完成所有收发存、盘点和异常数量处理</x:v>
      </x:c>
      <x:c r="D11" s="19" t="str">
        <x:v>D+2</x:v>
      </x:c>
      <x:c r="E11" s="19" t="str">
        <x:v>仓库与成本</x:v>
      </x:c>
      <x:c r="F11" s="19" t="str">
        <x:v>无未审核单据，负库存和零单价有处理结论</x:v>
      </x:c>
      <x:c r="G11" s="19" t="str">
        <x:v>负库存影响计价</x:v>
      </x:c>
      <x:c r="H11" s="19" t="str">
        <x:v>销售/AR</x:v>
      </x:c>
      <x:c r="I11" s="19" t="str">
        <x:v>是</x:v>
      </x:c>
      <x:c r="J11" s="20" t="str">
        <x:v>未开始</x:v>
      </x:c>
      <x:c r="K11" s="21"/>
      <x:c r="L11" s="20" t="str"/>
      <x:c r="M11" s="19" t="str">
        <x:v>财务主管</x:v>
      </x:c>
    </x:row>
    <x:row r="12">
      <x:c r="A12" s="19" t="n">
        <x:v>7</x:v>
      </x:c>
      <x:c r="B12" s="19" t="str">
        <x:v>生产</x:v>
      </x:c>
      <x:c r="C12" s="19" t="str">
        <x:v>完成领退料、报工、完工和在制数量确认</x:v>
      </x:c>
      <x:c r="D12" s="19" t="str">
        <x:v>D+3</x:v>
      </x:c>
      <x:c r="E12" s="19" t="str">
        <x:v>生产与成本</x:v>
      </x:c>
      <x:c r="F12" s="19" t="str">
        <x:v>未关闭工单有合理原因，产量和耗用已复核</x:v>
      </x:c>
      <x:c r="G12" s="19" t="str">
        <x:v>工单漏报</x:v>
      </x:c>
      <x:c r="H12" s="19" t="str">
        <x:v>库存</x:v>
      </x:c>
      <x:c r="I12" s="19" t="str">
        <x:v>是</x:v>
      </x:c>
      <x:c r="J12" s="20" t="str">
        <x:v>未开始</x:v>
      </x:c>
      <x:c r="K12" s="21"/>
      <x:c r="L12" s="20" t="str"/>
      <x:c r="M12" s="19" t="str">
        <x:v>财务主管</x:v>
      </x:c>
    </x:row>
    <x:row r="13">
      <x:c r="A13" s="19" t="n">
        <x:v>8</x:v>
      </x:c>
      <x:c r="B13" s="19" t="str">
        <x:v>存货成本</x:v>
      </x:c>
      <x:c r="C13" s="19" t="str">
        <x:v>核算入库成本、在产品、完工及销售成本</x:v>
      </x:c>
      <x:c r="D13" s="19" t="str">
        <x:v>D+4</x:v>
      </x:c>
      <x:c r="E13" s="19" t="str">
        <x:v>成本会计</x:v>
      </x:c>
      <x:c r="F13" s="19" t="str">
        <x:v>异常单位成本、零成本、差异均已分析</x:v>
      </x:c>
      <x:c r="G13" s="19" t="str">
        <x:v>结账顺序错误</x:v>
      </x:c>
      <x:c r="H13" s="19" t="str">
        <x:v>生产</x:v>
      </x:c>
      <x:c r="I13" s="19" t="str">
        <x:v>是</x:v>
      </x:c>
      <x:c r="J13" s="20" t="str">
        <x:v>未开始</x:v>
      </x:c>
      <x:c r="K13" s="21"/>
      <x:c r="L13" s="20" t="str"/>
      <x:c r="M13" s="19" t="str">
        <x:v>财务主管</x:v>
      </x:c>
    </x:row>
    <x:row r="14">
      <x:c r="A14" s="19" t="n">
        <x:v>9</x:v>
      </x:c>
      <x:c r="B14" s="19" t="str">
        <x:v>FA薪酬资金</x:v>
      </x:c>
      <x:c r="C14" s="19" t="str">
        <x:v>折旧、工资接口、银行调节</x:v>
      </x:c>
      <x:c r="D14" s="19" t="str">
        <x:v>D+4</x:v>
      </x:c>
      <x:c r="E14" s="19" t="str">
        <x:v>各模块会计</x:v>
      </x:c>
      <x:c r="F14" s="19" t="str">
        <x:v>子模块运行成功并生成凭证</x:v>
      </x:c>
      <x:c r="G14" s="19" t="str">
        <x:v>折旧或接口漏跑</x:v>
      </x:c>
      <x:c r="H14" s="19" t="str">
        <x:v>存货成本</x:v>
      </x:c>
      <x:c r="I14" s="19" t="str">
        <x:v>是</x:v>
      </x:c>
      <x:c r="J14" s="20" t="str">
        <x:v>未开始</x:v>
      </x:c>
      <x:c r="K14" s="21"/>
      <x:c r="L14" s="20" t="str"/>
      <x:c r="M14" s="19" t="str">
        <x:v>财务主管</x:v>
      </x:c>
    </x:row>
    <x:row r="15">
      <x:c r="A15" s="19" t="n">
        <x:v>10</x:v>
      </x:c>
      <x:c r="B15" s="19" t="str">
        <x:v>税务及GL</x:v>
      </x:c>
      <x:c r="C15" s="19" t="str">
        <x:v>计提税费、预提摊销、重分类和损益结转</x:v>
      </x:c>
      <x:c r="D15" s="19" t="str">
        <x:v>D+5</x:v>
      </x:c>
      <x:c r="E15" s="19" t="str">
        <x:v>总账与税务</x:v>
      </x:c>
      <x:c r="F15" s="19" t="str">
        <x:v>凭证依据完整，期间及维度正确</x:v>
      </x:c>
      <x:c r="G15" s="19" t="str">
        <x:v>用手工凭证掩盖源单错误</x:v>
      </x:c>
      <x:c r="H15" s="19" t="str">
        <x:v>FA薪酬资金</x:v>
      </x:c>
      <x:c r="I15" s="19" t="str">
        <x:v>是</x:v>
      </x:c>
      <x:c r="J15" s="20" t="str">
        <x:v>未开始</x:v>
      </x:c>
      <x:c r="K15" s="21"/>
      <x:c r="L15" s="20" t="str"/>
      <x:c r="M15" s="19" t="str">
        <x:v>财务主管</x:v>
      </x:c>
    </x:row>
    <x:row r="16">
      <x:c r="A16" s="19" t="n">
        <x:v>11</x:v>
      </x:c>
      <x:c r="B16" s="19" t="str">
        <x:v>模块对账</x:v>
      </x:c>
      <x:c r="C16" s="19" t="str">
        <x:v>AR/AP/存货/成本/FA/薪酬/银行/税务与GL核对</x:v>
      </x:c>
      <x:c r="D16" s="19" t="str">
        <x:v>D+5</x:v>
      </x:c>
      <x:c r="E16" s="19" t="str">
        <x:v>总账</x:v>
      </x:c>
      <x:c r="F16" s="19" t="str">
        <x:v>差异为零或有书面桥接及后续计划</x:v>
      </x:c>
      <x:c r="G16" s="19" t="str">
        <x:v>范围和截止不一致</x:v>
      </x:c>
      <x:c r="H16" s="19" t="str">
        <x:v>税务及GL</x:v>
      </x:c>
      <x:c r="I16" s="19" t="str">
        <x:v>是</x:v>
      </x:c>
      <x:c r="J16" s="20" t="str">
        <x:v>未开始</x:v>
      </x:c>
      <x:c r="K16" s="21"/>
      <x:c r="L16" s="20" t="str"/>
      <x:c r="M16" s="19" t="str">
        <x:v>财务主管</x:v>
      </x:c>
    </x:row>
    <x:row r="17">
      <x:c r="A17" s="19" t="n">
        <x:v>12</x:v>
      </x:c>
      <x:c r="B17" s="19" t="str">
        <x:v>报表与关闭</x:v>
      </x:c>
      <x:c r="C17" s="19" t="str">
        <x:v>试算、报表勾稽、主管复核、关闭期间</x:v>
      </x:c>
      <x:c r="D17" s="19" t="str">
        <x:v>D+6</x:v>
      </x:c>
      <x:c r="E17" s="19" t="str">
        <x:v>财务主管</x:v>
      </x:c>
      <x:c r="F17" s="19" t="str">
        <x:v>报表通过勾稽，未完成事项获正式批准</x:v>
      </x:c>
      <x:c r="G17" s="19" t="str">
        <x:v>过早关账或随意反结账</x:v>
      </x:c>
      <x:c r="H17" s="19" t="str">
        <x:v>模块对账</x:v>
      </x:c>
      <x:c r="I17" s="19" t="str">
        <x:v>最终关闭</x:v>
      </x:c>
      <x:c r="J17" s="20" t="str">
        <x:v>未开始</x:v>
      </x:c>
      <x:c r="K17" s="21"/>
      <x:c r="L17" s="20" t="str"/>
      <x:c r="M17" s="19" t="str">
        <x:v>财务主管</x:v>
      </x:c>
    </x:row>
  </x:sheetData>
  <x:mergeCells>
    <x:mergeCell ref="A1:M1"/>
    <x:mergeCell ref="A2:M2"/>
  </x:mergeCells>
  <x:conditionalFormatting sqref="J6:J17">
    <x:cfRule type="containsText" dxfId="15" priority="1" operator="containsText" text="已掌握"/>
    <x:cfRule type="containsText" dxfId="16" priority="2" operator="containsText" text="未开始"/>
    <x:cfRule type="containsText" dxfId="17" priority="3" operator="containsText" text="待复练"/>
  </x:conditionalFormatting>
  <x:dataValidations count="1">
    <x:dataValidation type="list" sqref="J6:J17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1013a8f1284c1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25" hidden="0" customWidth="1"/>
    <x:col min="4" max="4" width="46" hidden="0" customWidth="1"/>
    <x:col min="5" max="5" width="70" hidden="0" customWidth="1"/>
    <x:col min="6" max="6" width="28" hidden="0" customWidth="1"/>
    <x:col min="7" max="7" width="30" hidden="0" customWidth="1"/>
    <x:col min="8" max="8" width="12" hidden="0" customWidth="1"/>
    <x:col min="9" max="9" width="36" hidden="0" customWidth="1"/>
    <x:col min="10" max="10" width="14" hidden="0" customWidth="1"/>
  </x:cols>
  <x:sheetData>
    <x:row r="1" ht="30" customHeight="1">
      <x:c r="A1" s="2" t="str">
        <x:v>官方学习资源与版本追踪</x:v>
      </x:c>
    </x:row>
    <x:row r="2" ht="24" customHeight="1">
      <x:c r="A2" s="4" t="str">
        <x:v>实际照界面操作前再次核验产品线、版本和企业配置</x:v>
      </x:c>
    </x:row>
    <x:row r="5" ht="34" customHeight="1">
      <x:c r="A5" s="10" t="str">
        <x:v>软件产品</x:v>
      </x:c>
      <x:c r="B5" s="10" t="str">
        <x:v>资料名称</x:v>
      </x:c>
      <x:c r="C5" s="10" t="str">
        <x:v>版本或时间</x:v>
      </x:c>
      <x:c r="D5" s="10" t="str">
        <x:v>适合学习内容</x:v>
      </x:c>
      <x:c r="E5" s="10" t="str">
        <x:v>官方链接</x:v>
      </x:c>
      <x:c r="F5" s="10" t="str">
        <x:v>是否真实界面来源</x:v>
      </x:c>
      <x:c r="G5" s="10" t="str">
        <x:v>版本过时风险</x:v>
      </x:c>
      <x:c r="H5" s="10" t="str">
        <x:v>观看/阅读状态</x:v>
      </x:c>
      <x:c r="I5" s="10" t="str">
        <x:v>个人笔记</x:v>
      </x:c>
      <x:c r="J5" s="10" t="str">
        <x:v>复核日期</x:v>
      </x:c>
    </x:row>
    <x:row r="6">
      <x:c r="A6" s="19" t="str">
        <x:v>SAP S/4HANA Cloud Private Edition</x:v>
      </x:c>
      <x:c r="B6" s="19" t="str">
        <x:v>Create Supplier Invoice Advanced</x:v>
      </x:c>
      <x:c r="C6" s="19" t="str">
        <x:v>2025 FPS01（页面标注2026年2月）</x:v>
      </x:c>
      <x:c r="D6" s="19" t="str">
        <x:v>采购订单参照、收货基础发票校验、供应商发票</x:v>
      </x:c>
      <x:c r="E6" s="19" t="str">
        <x:v>https://help.sap.com/docs/SAP_S4HANA_CLOUD_PE/af9ef57f504840d2b81be8667206d485/f9467657a11a0522e10000000a44147b.html</x:v>
      </x:c>
      <x:c r="F6" s="19" t="str">
        <x:v>只有页面提供版本明确界面时采用</x:v>
      </x:c>
      <x:c r="G6" s="19" t="str">
        <x:v>中到高；按页面版本判断</x:v>
      </x:c>
      <x:c r="H6" s="19" t="str">
        <x:v>未开始</x:v>
      </x:c>
      <x:c r="I6" s="19" t="str"/>
      <x:c r="J6" s="24"/>
    </x:row>
    <x:row r="7">
      <x:c r="A7" s="19" t="str">
        <x:v>SAP S/4HANA</x:v>
      </x:c>
      <x:c r="B7" s="19" t="str">
        <x:v>Important Accounts for Invoice Verification</x:v>
      </x:c>
      <x:c r="C7" s="19" t="str">
        <x:v>在线版本</x:v>
      </x:c>
      <x:c r="D7" s="19" t="str">
        <x:v>供应商、存货、GR/IR、税额、价格差异科目逻辑</x:v>
      </x:c>
      <x:c r="E7" s="19" t="str">
        <x:v>https://help.sap.com/docs/SAP_S4HANA_CLOUD_PE/af9ef57f504840d2b81be8667206d485/2d70b6531de6b64ce10000000a174cb4.html</x:v>
      </x:c>
      <x:c r="F7" s="19" t="str">
        <x:v>只有页面提供版本明确界面时采用</x:v>
      </x:c>
      <x:c r="G7" s="19" t="str">
        <x:v>中到高；按页面版本判断</x:v>
      </x:c>
      <x:c r="H7" s="19" t="str">
        <x:v>未开始</x:v>
      </x:c>
      <x:c r="I7" s="19" t="str"/>
      <x:c r="J7" s="24"/>
    </x:row>
    <x:row r="8">
      <x:c r="A8" s="19" t="str">
        <x:v>SAP S/4HANA</x:v>
      </x:c>
      <x:c r="B8" s="19" t="str">
        <x:v>Invoices for Purchase Orders</x:v>
      </x:c>
      <x:c r="C8" s="19" t="str">
        <x:v>在线版本</x:v>
      </x:c>
      <x:c r="D8" s="19" t="str">
        <x:v>收货与发票先后顺序、价格差异</x:v>
      </x:c>
      <x:c r="E8" s="19" t="str">
        <x:v>https://help.sap.com/docs/SAP_S4HANA_ON-PREMI-SE/af9ef57f504840d2b81be8667206d485/be5eb6531de6b64ce10000000a174cb4.html</x:v>
      </x:c>
      <x:c r="F8" s="19" t="str">
        <x:v>只有页面提供版本明确界面时采用</x:v>
      </x:c>
      <x:c r="G8" s="19" t="str">
        <x:v>中到高；按页面版本判断</x:v>
      </x:c>
      <x:c r="H8" s="19" t="str">
        <x:v>未开始</x:v>
      </x:c>
      <x:c r="I8" s="19" t="str"/>
      <x:c r="J8" s="24"/>
    </x:row>
    <x:row r="9">
      <x:c r="A9" s="19" t="str">
        <x:v>SAP S/4HANA</x:v>
      </x:c>
      <x:c r="B9" s="19" t="str">
        <x:v>Procurement in SAP S/4HANA</x:v>
      </x:c>
      <x:c r="C9" s="19" t="str">
        <x:v>2025.latest</x:v>
      </x:c>
      <x:c r="D9" s="19" t="str">
        <x:v>采购循环与发票匹配</x:v>
      </x:c>
      <x:c r="E9" s="19" t="str">
        <x:v>https://help.sap.com/docs/SAP_S4HANA_CLOUD_PE/af9ef57f504840d2b81be8667206d485/287eb65334e6b54ce10000000a174cb4.html?version=2025.latest</x:v>
      </x:c>
      <x:c r="F9" s="19" t="str">
        <x:v>只有页面提供版本明确界面时采用</x:v>
      </x:c>
      <x:c r="G9" s="19" t="str">
        <x:v>中到高；按页面版本判断</x:v>
      </x:c>
      <x:c r="H9" s="19" t="str">
        <x:v>未开始</x:v>
      </x:c>
      <x:c r="I9" s="19" t="str"/>
      <x:c r="J9" s="24"/>
    </x:row>
    <x:row r="10">
      <x:c r="A10" s="19" t="str">
        <x:v>SAP S/4HANA</x:v>
      </x:c>
      <x:c r="B10" s="19" t="str">
        <x:v>Year End Closing Asset Accounting</x:v>
      </x:c>
      <x:c r="C10" s="19" t="str">
        <x:v>在线版本</x:v>
      </x:c>
      <x:c r="D10" s="19" t="str">
        <x:v>固定资产年度关闭</x:v>
      </x:c>
      <x:c r="E10" s="19" t="str">
        <x:v>https://help.sap.com/docs/SAP_S4HANA_ON-PREMISE/67e323b7117e4c91869c258933f47182/e93fde531ed3424de10000000a174cb4.html</x:v>
      </x:c>
      <x:c r="F10" s="19" t="str">
        <x:v>只有页面提供版本明确界面时采用</x:v>
      </x:c>
      <x:c r="G10" s="19" t="str">
        <x:v>中到高；按页面版本判断</x:v>
      </x:c>
      <x:c r="H10" s="19" t="str">
        <x:v>未开始</x:v>
      </x:c>
      <x:c r="I10" s="19" t="str"/>
      <x:c r="J10" s="24"/>
    </x:row>
    <x:row r="11">
      <x:c r="A11" s="19" t="str">
        <x:v>金蝶云星空</x:v>
      </x:c>
      <x:c r="B11" s="19" t="str">
        <x:v>官方学习成长中心</x:v>
      </x:c>
      <x:c r="C11" s="19" t="str">
        <x:v>企业版学习路径</x:v>
      </x:c>
      <x:c r="D11" s="19" t="str">
        <x:v>总账、应收应付、成本、生产、供应链课程入口</x:v>
      </x:c>
      <x:c r="E11" s="19" t="str">
        <x:v>https://vip.kingdee.com/school/schoolList?cty=path&amp;fl=4941&amp;lang=zh-CN&amp;md=8755%2C8729%2C8758%2C8754%2C8757%2C8730&amp;productLineId=1&amp;sl=4984</x:v>
      </x:c>
      <x:c r="F11" s="19" t="str">
        <x:v>只有页面提供版本明确界面时采用</x:v>
      </x:c>
      <x:c r="G11" s="19" t="str">
        <x:v>中到高；按页面版本判断</x:v>
      </x:c>
      <x:c r="H11" s="19" t="str">
        <x:v>未开始</x:v>
      </x:c>
      <x:c r="I11" s="19" t="str"/>
      <x:c r="J11" s="24"/>
    </x:row>
    <x:row r="12">
      <x:c r="A12" s="19" t="str">
        <x:v>金蝶云星空</x:v>
      </x:c>
      <x:c r="B12" s="19" t="str">
        <x:v>系统结账资料</x:v>
      </x:c>
      <x:c r="C12" s="19" t="str">
        <x:v>社区资料，2022年编辑</x:v>
      </x:c>
      <x:c r="D12" s="19" t="str">
        <x:v>库存、应付、出纳、固定资产、成本、应收、总账结账依赖；使用前需与当前版本核验</x:v>
      </x:c>
      <x:c r="E12" s="19" t="str">
        <x:v>https://vip.kingdee.com/article/372379712616026112?productLineId=1</x:v>
      </x:c>
      <x:c r="F12" s="19" t="str">
        <x:v>只有页面提供版本明确界面时采用</x:v>
      </x:c>
      <x:c r="G12" s="19" t="str">
        <x:v>中到高；按页面版本判断</x:v>
      </x:c>
      <x:c r="H12" s="19" t="str">
        <x:v>未开始</x:v>
      </x:c>
      <x:c r="I12" s="19" t="str"/>
      <x:c r="J12" s="24"/>
    </x:row>
    <x:row r="13">
      <x:c r="A13" s="19" t="str">
        <x:v>金蝶EAS Cloud</x:v>
      </x:c>
      <x:c r="B13" s="19" t="str">
        <x:v>应付模块与其他模块集成</x:v>
      </x:c>
      <x:c r="C13" s="19" t="str">
        <x:v>EAS Cloud 8.6</x:v>
      </x:c>
      <x:c r="D13" s="19" t="str">
        <x:v>采购、库存、存货、总账、出纳与应付集成</x:v>
      </x:c>
      <x:c r="E13" s="19" t="str">
        <x:v>https://vip.kingdee.com/eascloud/help/8.6/FI.web/topics/noname925.html</x:v>
      </x:c>
      <x:c r="F13" s="19" t="str">
        <x:v>只有页面提供版本明确界面时采用</x:v>
      </x:c>
      <x:c r="G13" s="19" t="str">
        <x:v>中到高；按页面版本判断</x:v>
      </x:c>
      <x:c r="H13" s="19" t="str">
        <x:v>未开始</x:v>
      </x:c>
      <x:c r="I13" s="19" t="str"/>
      <x:c r="J13" s="24"/>
    </x:row>
    <x:row r="14">
      <x:c r="A14" s="19" t="str">
        <x:v>用友</x:v>
      </x:c>
      <x:c r="B14" s="19" t="str">
        <x:v>用友BIP官网</x:v>
      </x:c>
      <x:c r="C14" s="19" t="str">
        <x:v>2026年检索</x:v>
      </x:c>
      <x:c r="D14" s="19" t="str">
        <x:v>财务、人力、供应链、采购、制造、资产等业务域</x:v>
      </x:c>
      <x:c r="E14" s="19" t="str">
        <x:v>https://yonyou.com/</x:v>
      </x:c>
      <x:c r="F14" s="19" t="str">
        <x:v>只有页面提供版本明确界面时采用</x:v>
      </x:c>
      <x:c r="G14" s="19" t="str">
        <x:v>中到高；按页面版本判断</x:v>
      </x:c>
      <x:c r="H14" s="19" t="str">
        <x:v>未开始</x:v>
      </x:c>
      <x:c r="I14" s="19" t="str"/>
      <x:c r="J14" s="24"/>
    </x:row>
    <x:row r="15">
      <x:c r="A15" s="19" t="str">
        <x:v>用友</x:v>
      </x:c>
      <x:c r="B15" s="19" t="str">
        <x:v>用友BIP超级版</x:v>
      </x:c>
      <x:c r="C15" s="19" t="str">
        <x:v>2026年检索</x:v>
      </x:c>
      <x:c r="D15" s="19" t="str">
        <x:v>端到端采购、项目及业财一体化能力</x:v>
      </x:c>
      <x:c r="E15" s="19" t="str">
        <x:v>https://yonyou.com/products/premium?withYonyouMenu=&amp;zixun=0</x:v>
      </x:c>
      <x:c r="F15" s="19" t="str">
        <x:v>只有页面提供版本明确界面时采用</x:v>
      </x:c>
      <x:c r="G15" s="19" t="str">
        <x:v>中到高；按页面版本判断</x:v>
      </x:c>
      <x:c r="H15" s="19" t="str">
        <x:v>未开始</x:v>
      </x:c>
      <x:c r="I15" s="19" t="str"/>
      <x:c r="J15" s="24"/>
    </x:row>
  </x:sheetData>
  <x:mergeCells>
    <x:mergeCell ref="A1:J1"/>
    <x:mergeCell ref="A2:J2"/>
  </x:mergeCells>
  <x:conditionalFormatting sqref="H6:H15">
    <x:cfRule type="containsText" dxfId="18" priority="1" operator="containsText" text="已掌握"/>
    <x:cfRule type="containsText" dxfId="19" priority="2" operator="containsText" text="未开始"/>
    <x:cfRule type="containsText" dxfId="20" priority="3" operator="containsText" text="待复练"/>
  </x:conditionalFormatting>
  <x:dataValidations count="1">
    <x:dataValidation type="list" sqref="H6:H15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5874dcd6a34d7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2" hidden="0" customWidth="1"/>
    <x:col min="4" max="4" width="32" hidden="0" customWidth="1"/>
    <x:col min="5" max="5" width="34" hidden="0" customWidth="1"/>
    <x:col min="6" max="6" width="42" hidden="0" customWidth="1"/>
    <x:col min="7" max="7" width="18" hidden="0" customWidth="1"/>
    <x:col min="8" max="8" width="18" hidden="0" customWidth="1"/>
    <x:col min="9" max="9" width="13" hidden="0" customWidth="1"/>
    <x:col min="10" max="10" width="11" hidden="0" customWidth="1"/>
    <x:col min="11" max="11" width="28" hidden="0" customWidth="1"/>
    <x:col min="12" max="12" width="30" hidden="0" customWidth="1"/>
  </x:cols>
  <x:sheetData>
    <x:row r="1" ht="30" customHeight="1">
      <x:c r="A1" s="2" t="str">
        <x:v>个人错题与复练记录</x:v>
      </x:c>
    </x:row>
    <x:row r="2" ht="24" customHeight="1">
      <x:c r="A2" s="4" t="str">
        <x:v>保留错误现象、原因和证据，复练通过后再标记已掌握</x:v>
      </x:c>
    </x:row>
    <x:row r="5" ht="34" customHeight="1">
      <x:c r="A5" s="10" t="str">
        <x:v>记录编号</x:v>
      </x:c>
      <x:c r="B5" s="10" t="str">
        <x:v>日期</x:v>
      </x:c>
      <x:c r="C5" s="10" t="str">
        <x:v>案例编号</x:v>
      </x:c>
      <x:c r="D5" s="10" t="str">
        <x:v>错误现象</x:v>
      </x:c>
      <x:c r="E5" s="10" t="str">
        <x:v>错误原因</x:v>
      </x:c>
      <x:c r="F5" s="10" t="str">
        <x:v>正确逻辑</x:v>
      </x:c>
      <x:c r="G5" s="10" t="str">
        <x:v>是否涉及会计判断</x:v>
      </x:c>
      <x:c r="H5" s="10" t="str">
        <x:v>正确处理层级</x:v>
      </x:c>
      <x:c r="I5" s="10" t="str">
        <x:v>复练日期</x:v>
      </x:c>
      <x:c r="J5" s="10" t="str">
        <x:v>复练结果</x:v>
      </x:c>
      <x:c r="K5" s="10" t="str">
        <x:v>证据位置</x:v>
      </x:c>
      <x:c r="L5" s="10" t="str">
        <x:v>备注</x:v>
      </x:c>
    </x:row>
    <x:row r="6">
      <x:c r="A6" s="19" t="str">
        <x:v>ERR-001</x:v>
      </x:c>
      <x:c r="B6" s="24"/>
      <x:c r="C6" s="19" t="str"/>
      <x:c r="D6" s="19" t="str"/>
      <x:c r="E6" s="19" t="str"/>
      <x:c r="F6" s="19" t="str"/>
      <x:c r="G6" s="19" t="str"/>
      <x:c r="H6" s="19" t="str"/>
      <x:c r="I6" s="24"/>
      <x:c r="J6" s="19" t="str">
        <x:v>未开始</x:v>
      </x:c>
      <x:c r="K6" s="19" t="str"/>
      <x:c r="L6" s="19" t="str"/>
    </x:row>
    <x:row r="7">
      <x:c r="A7" s="19" t="str">
        <x:v>ERR-002</x:v>
      </x:c>
      <x:c r="B7" s="24"/>
      <x:c r="C7" s="19" t="str"/>
      <x:c r="D7" s="19" t="str"/>
      <x:c r="E7" s="19" t="str"/>
      <x:c r="F7" s="19" t="str"/>
      <x:c r="G7" s="19" t="str"/>
      <x:c r="H7" s="19" t="str"/>
      <x:c r="I7" s="24"/>
      <x:c r="J7" s="19" t="str">
        <x:v>未开始</x:v>
      </x:c>
      <x:c r="K7" s="19" t="str"/>
      <x:c r="L7" s="19" t="str"/>
    </x:row>
    <x:row r="8">
      <x:c r="A8" s="19" t="str">
        <x:v>ERR-003</x:v>
      </x:c>
      <x:c r="B8" s="24"/>
      <x:c r="C8" s="19" t="str"/>
      <x:c r="D8" s="19" t="str"/>
      <x:c r="E8" s="19" t="str"/>
      <x:c r="F8" s="19" t="str"/>
      <x:c r="G8" s="19" t="str"/>
      <x:c r="H8" s="19" t="str"/>
      <x:c r="I8" s="24"/>
      <x:c r="J8" s="19" t="str">
        <x:v>未开始</x:v>
      </x:c>
      <x:c r="K8" s="19" t="str"/>
      <x:c r="L8" s="19" t="str"/>
    </x:row>
    <x:row r="9">
      <x:c r="A9" s="19" t="str">
        <x:v>ERR-004</x:v>
      </x:c>
      <x:c r="B9" s="24"/>
      <x:c r="C9" s="19" t="str"/>
      <x:c r="D9" s="19" t="str"/>
      <x:c r="E9" s="19" t="str"/>
      <x:c r="F9" s="19" t="str"/>
      <x:c r="G9" s="19" t="str"/>
      <x:c r="H9" s="19" t="str"/>
      <x:c r="I9" s="24"/>
      <x:c r="J9" s="19" t="str">
        <x:v>未开始</x:v>
      </x:c>
      <x:c r="K9" s="19" t="str"/>
      <x:c r="L9" s="19" t="str"/>
    </x:row>
    <x:row r="10">
      <x:c r="A10" s="19" t="str">
        <x:v>ERR-005</x:v>
      </x:c>
      <x:c r="B10" s="24"/>
      <x:c r="C10" s="19" t="str"/>
      <x:c r="D10" s="19" t="str"/>
      <x:c r="E10" s="19" t="str"/>
      <x:c r="F10" s="19" t="str"/>
      <x:c r="G10" s="19" t="str"/>
      <x:c r="H10" s="19" t="str"/>
      <x:c r="I10" s="24"/>
      <x:c r="J10" s="19" t="str">
        <x:v>未开始</x:v>
      </x:c>
      <x:c r="K10" s="19" t="str"/>
      <x:c r="L10" s="19" t="str"/>
    </x:row>
    <x:row r="11">
      <x:c r="A11" s="19" t="str">
        <x:v>ERR-006</x:v>
      </x:c>
      <x:c r="B11" s="24"/>
      <x:c r="C11" s="19" t="str"/>
      <x:c r="D11" s="19" t="str"/>
      <x:c r="E11" s="19" t="str"/>
      <x:c r="F11" s="19" t="str"/>
      <x:c r="G11" s="19" t="str"/>
      <x:c r="H11" s="19" t="str"/>
      <x:c r="I11" s="24"/>
      <x:c r="J11" s="19" t="str">
        <x:v>未开始</x:v>
      </x:c>
      <x:c r="K11" s="19" t="str"/>
      <x:c r="L11" s="19" t="str"/>
    </x:row>
    <x:row r="12">
      <x:c r="A12" s="19" t="str">
        <x:v>ERR-007</x:v>
      </x:c>
      <x:c r="B12" s="24"/>
      <x:c r="C12" s="19" t="str"/>
      <x:c r="D12" s="19" t="str"/>
      <x:c r="E12" s="19" t="str"/>
      <x:c r="F12" s="19" t="str"/>
      <x:c r="G12" s="19" t="str"/>
      <x:c r="H12" s="19" t="str"/>
      <x:c r="I12" s="24"/>
      <x:c r="J12" s="19" t="str">
        <x:v>未开始</x:v>
      </x:c>
      <x:c r="K12" s="19" t="str"/>
      <x:c r="L12" s="19" t="str"/>
    </x:row>
    <x:row r="13">
      <x:c r="A13" s="19" t="str">
        <x:v>ERR-008</x:v>
      </x:c>
      <x:c r="B13" s="24"/>
      <x:c r="C13" s="19" t="str"/>
      <x:c r="D13" s="19" t="str"/>
      <x:c r="E13" s="19" t="str"/>
      <x:c r="F13" s="19" t="str"/>
      <x:c r="G13" s="19" t="str"/>
      <x:c r="H13" s="19" t="str"/>
      <x:c r="I13" s="24"/>
      <x:c r="J13" s="19" t="str">
        <x:v>未开始</x:v>
      </x:c>
      <x:c r="K13" s="19" t="str"/>
      <x:c r="L13" s="19" t="str"/>
    </x:row>
    <x:row r="14">
      <x:c r="A14" s="19" t="str">
        <x:v>ERR-009</x:v>
      </x:c>
      <x:c r="B14" s="24"/>
      <x:c r="C14" s="19" t="str"/>
      <x:c r="D14" s="19" t="str"/>
      <x:c r="E14" s="19" t="str"/>
      <x:c r="F14" s="19" t="str"/>
      <x:c r="G14" s="19" t="str"/>
      <x:c r="H14" s="19" t="str"/>
      <x:c r="I14" s="24"/>
      <x:c r="J14" s="19" t="str">
        <x:v>未开始</x:v>
      </x:c>
      <x:c r="K14" s="19" t="str"/>
      <x:c r="L14" s="19" t="str"/>
    </x:row>
    <x:row r="15">
      <x:c r="A15" s="19" t="str">
        <x:v>ERR-010</x:v>
      </x:c>
      <x:c r="B15" s="24"/>
      <x:c r="C15" s="19" t="str"/>
      <x:c r="D15" s="19" t="str"/>
      <x:c r="E15" s="19" t="str"/>
      <x:c r="F15" s="19" t="str"/>
      <x:c r="G15" s="19" t="str"/>
      <x:c r="H15" s="19" t="str"/>
      <x:c r="I15" s="24"/>
      <x:c r="J15" s="19" t="str">
        <x:v>未开始</x:v>
      </x:c>
      <x:c r="K15" s="19" t="str"/>
      <x:c r="L15" s="19" t="str"/>
    </x:row>
    <x:row r="16">
      <x:c r="A16" s="19" t="str">
        <x:v>ERR-011</x:v>
      </x:c>
      <x:c r="B16" s="24"/>
      <x:c r="C16" s="19" t="str"/>
      <x:c r="D16" s="19" t="str"/>
      <x:c r="E16" s="19" t="str"/>
      <x:c r="F16" s="19" t="str"/>
      <x:c r="G16" s="19" t="str"/>
      <x:c r="H16" s="19" t="str"/>
      <x:c r="I16" s="24"/>
      <x:c r="J16" s="19" t="str">
        <x:v>未开始</x:v>
      </x:c>
      <x:c r="K16" s="19" t="str"/>
      <x:c r="L16" s="19" t="str"/>
    </x:row>
    <x:row r="17">
      <x:c r="A17" s="19" t="str">
        <x:v>ERR-012</x:v>
      </x:c>
      <x:c r="B17" s="24"/>
      <x:c r="C17" s="19" t="str"/>
      <x:c r="D17" s="19" t="str"/>
      <x:c r="E17" s="19" t="str"/>
      <x:c r="F17" s="19" t="str"/>
      <x:c r="G17" s="19" t="str"/>
      <x:c r="H17" s="19" t="str"/>
      <x:c r="I17" s="24"/>
      <x:c r="J17" s="19" t="str">
        <x:v>未开始</x:v>
      </x:c>
      <x:c r="K17" s="19" t="str"/>
      <x:c r="L17" s="19" t="str"/>
    </x:row>
    <x:row r="18">
      <x:c r="A18" s="19" t="str">
        <x:v>ERR-013</x:v>
      </x:c>
      <x:c r="B18" s="24"/>
      <x:c r="C18" s="19" t="str"/>
      <x:c r="D18" s="19" t="str"/>
      <x:c r="E18" s="19" t="str"/>
      <x:c r="F18" s="19" t="str"/>
      <x:c r="G18" s="19" t="str"/>
      <x:c r="H18" s="19" t="str"/>
      <x:c r="I18" s="24"/>
      <x:c r="J18" s="19" t="str">
        <x:v>未开始</x:v>
      </x:c>
      <x:c r="K18" s="19" t="str"/>
      <x:c r="L18" s="19" t="str"/>
    </x:row>
    <x:row r="19">
      <x:c r="A19" s="19" t="str">
        <x:v>ERR-014</x:v>
      </x:c>
      <x:c r="B19" s="24"/>
      <x:c r="C19" s="19" t="str"/>
      <x:c r="D19" s="19" t="str"/>
      <x:c r="E19" s="19" t="str"/>
      <x:c r="F19" s="19" t="str"/>
      <x:c r="G19" s="19" t="str"/>
      <x:c r="H19" s="19" t="str"/>
      <x:c r="I19" s="24"/>
      <x:c r="J19" s="19" t="str">
        <x:v>未开始</x:v>
      </x:c>
      <x:c r="K19" s="19" t="str"/>
      <x:c r="L19" s="19" t="str"/>
    </x:row>
    <x:row r="20">
      <x:c r="A20" s="19" t="str">
        <x:v>ERR-015</x:v>
      </x:c>
      <x:c r="B20" s="24"/>
      <x:c r="C20" s="19" t="str"/>
      <x:c r="D20" s="19" t="str"/>
      <x:c r="E20" s="19" t="str"/>
      <x:c r="F20" s="19" t="str"/>
      <x:c r="G20" s="19" t="str"/>
      <x:c r="H20" s="19" t="str"/>
      <x:c r="I20" s="24"/>
      <x:c r="J20" s="19" t="str">
        <x:v>未开始</x:v>
      </x:c>
      <x:c r="K20" s="19" t="str"/>
      <x:c r="L20" s="19" t="str"/>
    </x:row>
    <x:row r="21">
      <x:c r="A21" s="19" t="str">
        <x:v>ERR-016</x:v>
      </x:c>
      <x:c r="B21" s="24"/>
      <x:c r="C21" s="19" t="str"/>
      <x:c r="D21" s="19" t="str"/>
      <x:c r="E21" s="19" t="str"/>
      <x:c r="F21" s="19" t="str"/>
      <x:c r="G21" s="19" t="str"/>
      <x:c r="H21" s="19" t="str"/>
      <x:c r="I21" s="24"/>
      <x:c r="J21" s="19" t="str">
        <x:v>未开始</x:v>
      </x:c>
      <x:c r="K21" s="19" t="str"/>
      <x:c r="L21" s="19" t="str"/>
    </x:row>
    <x:row r="22">
      <x:c r="A22" s="19" t="str">
        <x:v>ERR-017</x:v>
      </x:c>
      <x:c r="B22" s="24"/>
      <x:c r="C22" s="19" t="str"/>
      <x:c r="D22" s="19" t="str"/>
      <x:c r="E22" s="19" t="str"/>
      <x:c r="F22" s="19" t="str"/>
      <x:c r="G22" s="19" t="str"/>
      <x:c r="H22" s="19" t="str"/>
      <x:c r="I22" s="24"/>
      <x:c r="J22" s="19" t="str">
        <x:v>未开始</x:v>
      </x:c>
      <x:c r="K22" s="19" t="str"/>
      <x:c r="L22" s="19" t="str"/>
    </x:row>
    <x:row r="23">
      <x:c r="A23" s="19" t="str">
        <x:v>ERR-018</x:v>
      </x:c>
      <x:c r="B23" s="24"/>
      <x:c r="C23" s="19" t="str"/>
      <x:c r="D23" s="19" t="str"/>
      <x:c r="E23" s="19" t="str"/>
      <x:c r="F23" s="19" t="str"/>
      <x:c r="G23" s="19" t="str"/>
      <x:c r="H23" s="19" t="str"/>
      <x:c r="I23" s="24"/>
      <x:c r="J23" s="19" t="str">
        <x:v>未开始</x:v>
      </x:c>
      <x:c r="K23" s="19" t="str"/>
      <x:c r="L23" s="19" t="str"/>
    </x:row>
    <x:row r="24">
      <x:c r="A24" s="19" t="str">
        <x:v>ERR-019</x:v>
      </x:c>
      <x:c r="B24" s="24"/>
      <x:c r="C24" s="19" t="str"/>
      <x:c r="D24" s="19" t="str"/>
      <x:c r="E24" s="19" t="str"/>
      <x:c r="F24" s="19" t="str"/>
      <x:c r="G24" s="19" t="str"/>
      <x:c r="H24" s="19" t="str"/>
      <x:c r="I24" s="24"/>
      <x:c r="J24" s="19" t="str">
        <x:v>未开始</x:v>
      </x:c>
      <x:c r="K24" s="19" t="str"/>
      <x:c r="L24" s="19" t="str"/>
    </x:row>
    <x:row r="25">
      <x:c r="A25" s="19" t="str">
        <x:v>ERR-020</x:v>
      </x:c>
      <x:c r="B25" s="24"/>
      <x:c r="C25" s="19" t="str"/>
      <x:c r="D25" s="19" t="str"/>
      <x:c r="E25" s="19" t="str"/>
      <x:c r="F25" s="19" t="str"/>
      <x:c r="G25" s="19" t="str"/>
      <x:c r="H25" s="19" t="str"/>
      <x:c r="I25" s="24"/>
      <x:c r="J25" s="19" t="str">
        <x:v>未开始</x:v>
      </x:c>
      <x:c r="K25" s="19" t="str"/>
      <x:c r="L25" s="19" t="str"/>
    </x:row>
    <x:row r="26">
      <x:c r="A26" s="19" t="str">
        <x:v>ERR-021</x:v>
      </x:c>
      <x:c r="B26" s="24"/>
      <x:c r="C26" s="19" t="str"/>
      <x:c r="D26" s="19" t="str"/>
      <x:c r="E26" s="19" t="str"/>
      <x:c r="F26" s="19" t="str"/>
      <x:c r="G26" s="19" t="str"/>
      <x:c r="H26" s="19" t="str"/>
      <x:c r="I26" s="24"/>
      <x:c r="J26" s="19" t="str">
        <x:v>未开始</x:v>
      </x:c>
      <x:c r="K26" s="19" t="str"/>
      <x:c r="L26" s="19" t="str"/>
    </x:row>
    <x:row r="27">
      <x:c r="A27" s="19" t="str">
        <x:v>ERR-022</x:v>
      </x:c>
      <x:c r="B27" s="24"/>
      <x:c r="C27" s="19" t="str"/>
      <x:c r="D27" s="19" t="str"/>
      <x:c r="E27" s="19" t="str"/>
      <x:c r="F27" s="19" t="str"/>
      <x:c r="G27" s="19" t="str"/>
      <x:c r="H27" s="19" t="str"/>
      <x:c r="I27" s="24"/>
      <x:c r="J27" s="19" t="str">
        <x:v>未开始</x:v>
      </x:c>
      <x:c r="K27" s="19" t="str"/>
      <x:c r="L27" s="19" t="str"/>
    </x:row>
    <x:row r="28">
      <x:c r="A28" s="19" t="str">
        <x:v>ERR-023</x:v>
      </x:c>
      <x:c r="B28" s="24"/>
      <x:c r="C28" s="19" t="str"/>
      <x:c r="D28" s="19" t="str"/>
      <x:c r="E28" s="19" t="str"/>
      <x:c r="F28" s="19" t="str"/>
      <x:c r="G28" s="19" t="str"/>
      <x:c r="H28" s="19" t="str"/>
      <x:c r="I28" s="24"/>
      <x:c r="J28" s="19" t="str">
        <x:v>未开始</x:v>
      </x:c>
      <x:c r="K28" s="19" t="str"/>
      <x:c r="L28" s="19" t="str"/>
    </x:row>
    <x:row r="29">
      <x:c r="A29" s="19" t="str">
        <x:v>ERR-024</x:v>
      </x:c>
      <x:c r="B29" s="24"/>
      <x:c r="C29" s="19" t="str"/>
      <x:c r="D29" s="19" t="str"/>
      <x:c r="E29" s="19" t="str"/>
      <x:c r="F29" s="19" t="str"/>
      <x:c r="G29" s="19" t="str"/>
      <x:c r="H29" s="19" t="str"/>
      <x:c r="I29" s="24"/>
      <x:c r="J29" s="19" t="str">
        <x:v>未开始</x:v>
      </x:c>
      <x:c r="K29" s="19" t="str"/>
      <x:c r="L29" s="19" t="str"/>
    </x:row>
    <x:row r="30">
      <x:c r="A30" s="19" t="str">
        <x:v>ERR-025</x:v>
      </x:c>
      <x:c r="B30" s="24"/>
      <x:c r="C30" s="19" t="str"/>
      <x:c r="D30" s="19" t="str"/>
      <x:c r="E30" s="19" t="str"/>
      <x:c r="F30" s="19" t="str"/>
      <x:c r="G30" s="19" t="str"/>
      <x:c r="H30" s="19" t="str"/>
      <x:c r="I30" s="24"/>
      <x:c r="J30" s="19" t="str">
        <x:v>未开始</x:v>
      </x:c>
      <x:c r="K30" s="19" t="str"/>
      <x:c r="L30" s="19" t="str"/>
    </x:row>
    <x:row r="31">
      <x:c r="A31" s="19" t="str">
        <x:v>ERR-026</x:v>
      </x:c>
      <x:c r="B31" s="24"/>
      <x:c r="C31" s="19" t="str"/>
      <x:c r="D31" s="19" t="str"/>
      <x:c r="E31" s="19" t="str"/>
      <x:c r="F31" s="19" t="str"/>
      <x:c r="G31" s="19" t="str"/>
      <x:c r="H31" s="19" t="str"/>
      <x:c r="I31" s="24"/>
      <x:c r="J31" s="19" t="str">
        <x:v>未开始</x:v>
      </x:c>
      <x:c r="K31" s="19" t="str"/>
      <x:c r="L31" s="19" t="str"/>
    </x:row>
    <x:row r="32">
      <x:c r="A32" s="19" t="str">
        <x:v>ERR-027</x:v>
      </x:c>
      <x:c r="B32" s="24"/>
      <x:c r="C32" s="19" t="str"/>
      <x:c r="D32" s="19" t="str"/>
      <x:c r="E32" s="19" t="str"/>
      <x:c r="F32" s="19" t="str"/>
      <x:c r="G32" s="19" t="str"/>
      <x:c r="H32" s="19" t="str"/>
      <x:c r="I32" s="24"/>
      <x:c r="J32" s="19" t="str">
        <x:v>未开始</x:v>
      </x:c>
      <x:c r="K32" s="19" t="str"/>
      <x:c r="L32" s="19" t="str"/>
    </x:row>
    <x:row r="33">
      <x:c r="A33" s="19" t="str">
        <x:v>ERR-028</x:v>
      </x:c>
      <x:c r="B33" s="24"/>
      <x:c r="C33" s="19" t="str"/>
      <x:c r="D33" s="19" t="str"/>
      <x:c r="E33" s="19" t="str"/>
      <x:c r="F33" s="19" t="str"/>
      <x:c r="G33" s="19" t="str"/>
      <x:c r="H33" s="19" t="str"/>
      <x:c r="I33" s="24"/>
      <x:c r="J33" s="19" t="str">
        <x:v>未开始</x:v>
      </x:c>
      <x:c r="K33" s="19" t="str"/>
      <x:c r="L33" s="19" t="str"/>
    </x:row>
    <x:row r="34">
      <x:c r="A34" s="19" t="str">
        <x:v>ERR-029</x:v>
      </x:c>
      <x:c r="B34" s="24"/>
      <x:c r="C34" s="19" t="str"/>
      <x:c r="D34" s="19" t="str"/>
      <x:c r="E34" s="19" t="str"/>
      <x:c r="F34" s="19" t="str"/>
      <x:c r="G34" s="19" t="str"/>
      <x:c r="H34" s="19" t="str"/>
      <x:c r="I34" s="24"/>
      <x:c r="J34" s="19" t="str">
        <x:v>未开始</x:v>
      </x:c>
      <x:c r="K34" s="19" t="str"/>
      <x:c r="L34" s="19" t="str"/>
    </x:row>
    <x:row r="35">
      <x:c r="A35" s="19" t="str">
        <x:v>ERR-030</x:v>
      </x:c>
      <x:c r="B35" s="24"/>
      <x:c r="C35" s="19" t="str"/>
      <x:c r="D35" s="19" t="str"/>
      <x:c r="E35" s="19" t="str"/>
      <x:c r="F35" s="19" t="str"/>
      <x:c r="G35" s="19" t="str"/>
      <x:c r="H35" s="19" t="str"/>
      <x:c r="I35" s="24"/>
      <x:c r="J35" s="19" t="str">
        <x:v>未开始</x:v>
      </x:c>
      <x:c r="K35" s="19" t="str"/>
      <x:c r="L35" s="19" t="str"/>
    </x:row>
    <x:row r="36">
      <x:c r="A36" s="19" t="str">
        <x:v>ERR-031</x:v>
      </x:c>
      <x:c r="B36" s="24"/>
      <x:c r="C36" s="19" t="str"/>
      <x:c r="D36" s="19" t="str"/>
      <x:c r="E36" s="19" t="str"/>
      <x:c r="F36" s="19" t="str"/>
      <x:c r="G36" s="19" t="str"/>
      <x:c r="H36" s="19" t="str"/>
      <x:c r="I36" s="24"/>
      <x:c r="J36" s="19" t="str">
        <x:v>未开始</x:v>
      </x:c>
      <x:c r="K36" s="19" t="str"/>
      <x:c r="L36" s="19" t="str"/>
    </x:row>
    <x:row r="37">
      <x:c r="A37" s="19" t="str">
        <x:v>ERR-032</x:v>
      </x:c>
      <x:c r="B37" s="24"/>
      <x:c r="C37" s="19" t="str"/>
      <x:c r="D37" s="19" t="str"/>
      <x:c r="E37" s="19" t="str"/>
      <x:c r="F37" s="19" t="str"/>
      <x:c r="G37" s="19" t="str"/>
      <x:c r="H37" s="19" t="str"/>
      <x:c r="I37" s="24"/>
      <x:c r="J37" s="19" t="str">
        <x:v>未开始</x:v>
      </x:c>
      <x:c r="K37" s="19" t="str"/>
      <x:c r="L37" s="19" t="str"/>
    </x:row>
    <x:row r="38">
      <x:c r="A38" s="19" t="str">
        <x:v>ERR-033</x:v>
      </x:c>
      <x:c r="B38" s="24"/>
      <x:c r="C38" s="19" t="str"/>
      <x:c r="D38" s="19" t="str"/>
      <x:c r="E38" s="19" t="str"/>
      <x:c r="F38" s="19" t="str"/>
      <x:c r="G38" s="19" t="str"/>
      <x:c r="H38" s="19" t="str"/>
      <x:c r="I38" s="24"/>
      <x:c r="J38" s="19" t="str">
        <x:v>未开始</x:v>
      </x:c>
      <x:c r="K38" s="19" t="str"/>
      <x:c r="L38" s="19" t="str"/>
    </x:row>
    <x:row r="39">
      <x:c r="A39" s="19" t="str">
        <x:v>ERR-034</x:v>
      </x:c>
      <x:c r="B39" s="24"/>
      <x:c r="C39" s="19" t="str"/>
      <x:c r="D39" s="19" t="str"/>
      <x:c r="E39" s="19" t="str"/>
      <x:c r="F39" s="19" t="str"/>
      <x:c r="G39" s="19" t="str"/>
      <x:c r="H39" s="19" t="str"/>
      <x:c r="I39" s="24"/>
      <x:c r="J39" s="19" t="str">
        <x:v>未开始</x:v>
      </x:c>
      <x:c r="K39" s="19" t="str"/>
      <x:c r="L39" s="19" t="str"/>
    </x:row>
    <x:row r="40">
      <x:c r="A40" s="19" t="str">
        <x:v>ERR-035</x:v>
      </x:c>
      <x:c r="B40" s="24"/>
      <x:c r="C40" s="19" t="str"/>
      <x:c r="D40" s="19" t="str"/>
      <x:c r="E40" s="19" t="str"/>
      <x:c r="F40" s="19" t="str"/>
      <x:c r="G40" s="19" t="str"/>
      <x:c r="H40" s="19" t="str"/>
      <x:c r="I40" s="24"/>
      <x:c r="J40" s="19" t="str">
        <x:v>未开始</x:v>
      </x:c>
      <x:c r="K40" s="19" t="str"/>
      <x:c r="L40" s="19" t="str"/>
    </x:row>
    <x:row r="41">
      <x:c r="A41" s="19" t="str">
        <x:v>ERR-036</x:v>
      </x:c>
      <x:c r="B41" s="24"/>
      <x:c r="C41" s="19" t="str"/>
      <x:c r="D41" s="19" t="str"/>
      <x:c r="E41" s="19" t="str"/>
      <x:c r="F41" s="19" t="str"/>
      <x:c r="G41" s="19" t="str"/>
      <x:c r="H41" s="19" t="str"/>
      <x:c r="I41" s="24"/>
      <x:c r="J41" s="19" t="str">
        <x:v>未开始</x:v>
      </x:c>
      <x:c r="K41" s="19" t="str"/>
      <x:c r="L41" s="19" t="str"/>
    </x:row>
    <x:row r="42">
      <x:c r="A42" s="19" t="str">
        <x:v>ERR-037</x:v>
      </x:c>
      <x:c r="B42" s="24"/>
      <x:c r="C42" s="19" t="str"/>
      <x:c r="D42" s="19" t="str"/>
      <x:c r="E42" s="19" t="str"/>
      <x:c r="F42" s="19" t="str"/>
      <x:c r="G42" s="19" t="str"/>
      <x:c r="H42" s="19" t="str"/>
      <x:c r="I42" s="24"/>
      <x:c r="J42" s="19" t="str">
        <x:v>未开始</x:v>
      </x:c>
      <x:c r="K42" s="19" t="str"/>
      <x:c r="L42" s="19" t="str"/>
    </x:row>
    <x:row r="43">
      <x:c r="A43" s="19" t="str">
        <x:v>ERR-038</x:v>
      </x:c>
      <x:c r="B43" s="24"/>
      <x:c r="C43" s="19" t="str"/>
      <x:c r="D43" s="19" t="str"/>
      <x:c r="E43" s="19" t="str"/>
      <x:c r="F43" s="19" t="str"/>
      <x:c r="G43" s="19" t="str"/>
      <x:c r="H43" s="19" t="str"/>
      <x:c r="I43" s="24"/>
      <x:c r="J43" s="19" t="str">
        <x:v>未开始</x:v>
      </x:c>
      <x:c r="K43" s="19" t="str"/>
      <x:c r="L43" s="19" t="str"/>
    </x:row>
    <x:row r="44">
      <x:c r="A44" s="19" t="str">
        <x:v>ERR-039</x:v>
      </x:c>
      <x:c r="B44" s="24"/>
      <x:c r="C44" s="19" t="str"/>
      <x:c r="D44" s="19" t="str"/>
      <x:c r="E44" s="19" t="str"/>
      <x:c r="F44" s="19" t="str"/>
      <x:c r="G44" s="19" t="str"/>
      <x:c r="H44" s="19" t="str"/>
      <x:c r="I44" s="24"/>
      <x:c r="J44" s="19" t="str">
        <x:v>未开始</x:v>
      </x:c>
      <x:c r="K44" s="19" t="str"/>
      <x:c r="L44" s="19" t="str"/>
    </x:row>
    <x:row r="45">
      <x:c r="A45" s="19" t="str">
        <x:v>ERR-040</x:v>
      </x:c>
      <x:c r="B45" s="24"/>
      <x:c r="C45" s="19" t="str"/>
      <x:c r="D45" s="19" t="str"/>
      <x:c r="E45" s="19" t="str"/>
      <x:c r="F45" s="19" t="str"/>
      <x:c r="G45" s="19" t="str"/>
      <x:c r="H45" s="19" t="str"/>
      <x:c r="I45" s="24"/>
      <x:c r="J45" s="19" t="str">
        <x:v>未开始</x:v>
      </x:c>
      <x:c r="K45" s="19" t="str"/>
      <x:c r="L45" s="19" t="str"/>
    </x:row>
  </x:sheetData>
  <x:mergeCells>
    <x:mergeCell ref="A1:L1"/>
    <x:mergeCell ref="A2:L2"/>
  </x:mergeCells>
  <x:conditionalFormatting sqref="J6:J45">
    <x:cfRule type="containsText" dxfId="21" priority="1" operator="containsText" text="已掌握"/>
    <x:cfRule type="containsText" dxfId="22" priority="2" operator="containsText" text="未开始"/>
    <x:cfRule type="containsText" dxfId="23" priority="3" operator="containsText" text="待复练"/>
  </x:conditionalFormatting>
  <x:dataValidations count="3">
    <x:dataValidation type="list" sqref="G6:G45">
      <x:formula1>"是,否,不确定"</x:formula1>
    </x:dataValidation>
    <x:dataValidation type="list" sqref="H6:H45">
      <x:formula1>"业务源单,主数据配置,接口批次,子模块,GL会计判断,报表映射"</x:formula1>
    </x:dataValidation>
    <x:dataValidation type="list" sqref="J6:J45">
      <x:formula1>"未开始,学习中,待复练,已掌握,不适用"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a610e2bb9704bcc"/>
  </x:tableParts>
</x:worksheet>
</file>