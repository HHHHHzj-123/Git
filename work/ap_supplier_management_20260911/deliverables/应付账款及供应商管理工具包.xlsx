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16.xml" ContentType="application/vnd.openxmlformats-officedocument.spreadsheetml.table+xml"/>
  <Override PartName="/xl/tables/table7.xml" ContentType="application/vnd.openxmlformats-officedocument.spreadsheetml.table+xml"/>
  <Override PartName="/xl/tables/table15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14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11.xml" ContentType="application/vnd.openxmlformats-officedocument.spreadsheetml.table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-管理看板" sheetId="1" state="visible" r:id="rId3"/>
    <sheet name="01-供应商主数据" sheetId="2" state="visible" r:id="rId4"/>
    <sheet name="02-应付明细" sheetId="3" state="visible" r:id="rId5"/>
    <sheet name="03-GRNI暂估" sheetId="4" state="visible" r:id="rId6"/>
    <sheet name="04-三单匹配" sheetId="5" state="visible" r:id="rId7"/>
    <sheet name="05-付款计划" sheetId="6" state="visible" r:id="rId8"/>
    <sheet name="06-付款审批" sheetId="7" state="visible" r:id="rId9"/>
    <sheet name="07-账户变更" sheetId="8" state="visible" r:id="rId10"/>
    <sheet name="08-供应商对账" sheetId="9" state="visible" r:id="rId11"/>
    <sheet name="09-争议索赔" sheetId="10" state="visible" r:id="rId12"/>
    <sheet name="10-预付跟踪" sheetId="11" state="visible" r:id="rId13"/>
    <sheet name="11-核心指标" sheetId="12" state="visible" r:id="rId14"/>
    <sheet name="12-月末Checklist" sheetId="13" state="visible" r:id="rId15"/>
    <sheet name="13-接手检查" sheetId="14" state="visible" r:id="rId16"/>
    <sheet name="14-风险红旗" sheetId="15" state="visible" r:id="rId17"/>
    <sheet name="15-Issue Log" sheetId="16" state="visible" r:id="rId18"/>
    <sheet name="16-RACI" sheetId="17" state="visible" r:id="rId19"/>
    <sheet name="17-案例库" sheetId="18" state="visible" r:id="rId20"/>
    <sheet name="18-资料来源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<sst xmlns="http://schemas.openxmlformats.org/spreadsheetml/2006/main" count="1699" uniqueCount="1091">
  <si>
    <t xml:space="preserve">应付账款及供应商管理工具包</t>
  </si>
  <si>
    <t xml:space="preserve">案例企业：华辰智造科技有限公司。账龄基准日2026-08-31，黄色区域为人工维护。</t>
  </si>
  <si>
    <t xml:space="preserve">指标</t>
  </si>
  <si>
    <t xml:space="preserve">本期结果</t>
  </si>
  <si>
    <t xml:space="preserve">管理阈值</t>
  </si>
  <si>
    <t xml:space="preserve">主管动作</t>
  </si>
  <si>
    <t xml:space="preserve">应付净余额</t>
  </si>
  <si>
    <t xml:space="preserve">结合采购额</t>
  </si>
  <si>
    <t xml:space="preserve">解释采购与付款变化</t>
  </si>
  <si>
    <t xml:space="preserve">逾期正余额</t>
  </si>
  <si>
    <t xml:space="preserve">逐笔</t>
  </si>
  <si>
    <t xml:space="preserve">区分无争议与争议</t>
  </si>
  <si>
    <t xml:space="preserve">逾期率</t>
  </si>
  <si>
    <t xml:space="preserve">超过阈值专项分析</t>
  </si>
  <si>
    <t xml:space="preserve">未来30天到期</t>
  </si>
  <si>
    <t xml:space="preserve">现金计划</t>
  </si>
  <si>
    <t xml:space="preserve">纳入13周预测</t>
  </si>
  <si>
    <t xml:space="preserve">暂估未到票</t>
  </si>
  <si>
    <t xml:space="preserve">&gt;60天逐笔</t>
  </si>
  <si>
    <t xml:space="preserve">追发票并查真实义务</t>
  </si>
  <si>
    <t xml:space="preserve">争议余额</t>
  </si>
  <si>
    <t xml:space="preserve">付款与索赔分开</t>
  </si>
  <si>
    <t xml:space="preserve">应付负余额</t>
  </si>
  <si>
    <t xml:space="preserve">查预付/超付/串户</t>
  </si>
  <si>
    <t xml:space="preserve">冻结供应商数</t>
  </si>
  <si>
    <t xml:space="preserve">冻结交易与付款</t>
  </si>
  <si>
    <t xml:space="preserve">账户变更待核验</t>
  </si>
  <si>
    <t xml:space="preserve">独立回拨验证</t>
  </si>
  <si>
    <t xml:space="preserve">逾期预付</t>
  </si>
  <si>
    <t xml:space="preserve">追履约或退款</t>
  </si>
  <si>
    <t xml:space="preserve">Open Issue</t>
  </si>
  <si>
    <t xml:space="preserve">Owner、日期、临时控制和Closure</t>
  </si>
  <si>
    <t xml:space="preserve">供应商主数据与准入</t>
  </si>
  <si>
    <t xml:space="preserve">供应商创建、银行账户维护、发票处理和付款职责应分离。</t>
  </si>
  <si>
    <t xml:space="preserve">编码</t>
  </si>
  <si>
    <t xml:space="preserve">供应商名称</t>
  </si>
  <si>
    <t xml:space="preserve">类别</t>
  </si>
  <si>
    <t xml:space="preserve">等级</t>
  </si>
  <si>
    <t xml:space="preserve">纳税人类型</t>
  </si>
  <si>
    <t xml:space="preserve">账期</t>
  </si>
  <si>
    <t xml:space="preserve">额度</t>
  </si>
  <si>
    <t xml:space="preserve">状态</t>
  </si>
  <si>
    <t xml:space="preserve">责任部门</t>
  </si>
  <si>
    <t xml:space="preserve">银行账户</t>
  </si>
  <si>
    <t xml:space="preserve">复评到期日</t>
  </si>
  <si>
    <t xml:space="preserve">说明</t>
  </si>
  <si>
    <t xml:space="preserve">S001</t>
  </si>
  <si>
    <t xml:space="preserve">芯联电子科技有限公司</t>
  </si>
  <si>
    <t xml:space="preserve">芯片/核心料</t>
  </si>
  <si>
    <t xml:space="preserve">A</t>
  </si>
  <si>
    <t xml:space="preserve">一般纳税人</t>
  </si>
  <si>
    <t xml:space="preserve">60天</t>
  </si>
  <si>
    <t xml:space="preserve">正常</t>
  </si>
  <si>
    <t xml:space="preserve">采购一部</t>
  </si>
  <si>
    <t xml:space="preserve">6222****1010</t>
  </si>
  <si>
    <t xml:space="preserve">2026-12-31</t>
  </si>
  <si>
    <t xml:space="preserve">核心供应商，双来源计划</t>
  </si>
  <si>
    <t xml:space="preserve">S002</t>
  </si>
  <si>
    <t xml:space="preserve">东莞精工金属有限公司</t>
  </si>
  <si>
    <t xml:space="preserve">结构件</t>
  </si>
  <si>
    <t xml:space="preserve">45天</t>
  </si>
  <si>
    <t xml:space="preserve">6214****2088</t>
  </si>
  <si>
    <t xml:space="preserve">2026-10-31</t>
  </si>
  <si>
    <t xml:space="preserve">月度对账</t>
  </si>
  <si>
    <t xml:space="preserve">S003</t>
  </si>
  <si>
    <t xml:space="preserve">华南塑胶科技有限公司</t>
  </si>
  <si>
    <t xml:space="preserve">塑胶件</t>
  </si>
  <si>
    <t xml:space="preserve">B</t>
  </si>
  <si>
    <t xml:space="preserve">30天</t>
  </si>
  <si>
    <t xml:space="preserve">关注</t>
  </si>
  <si>
    <t xml:space="preserve">采购二部</t>
  </si>
  <si>
    <t xml:space="preserve">6228****6609</t>
  </si>
  <si>
    <t xml:space="preserve">2026-09-30</t>
  </si>
  <si>
    <t xml:space="preserve">质量扣款争议</t>
  </si>
  <si>
    <t xml:space="preserve">S004</t>
  </si>
  <si>
    <t xml:space="preserve">云启软件服务有限公司</t>
  </si>
  <si>
    <t xml:space="preserve">软件/SaaS</t>
  </si>
  <si>
    <t xml:space="preserve">预付</t>
  </si>
  <si>
    <t xml:space="preserve">IT</t>
  </si>
  <si>
    <t xml:space="preserve">6217****3301</t>
  </si>
  <si>
    <t xml:space="preserve">2027-03-31</t>
  </si>
  <si>
    <t xml:space="preserve">需按服务期摊销</t>
  </si>
  <si>
    <t xml:space="preserve">S005</t>
  </si>
  <si>
    <t xml:space="preserve">迅捷物流有限公司</t>
  </si>
  <si>
    <t xml:space="preserve">物流服务</t>
  </si>
  <si>
    <t xml:space="preserve">月结30天</t>
  </si>
  <si>
    <t xml:space="preserve">物流部</t>
  </si>
  <si>
    <t xml:space="preserve">6214****7788</t>
  </si>
  <si>
    <t xml:space="preserve">2026-11-30</t>
  </si>
  <si>
    <t xml:space="preserve">运费需匹配发运单</t>
  </si>
  <si>
    <t xml:space="preserve">S006</t>
  </si>
  <si>
    <t xml:space="preserve">德信咨询有限公司</t>
  </si>
  <si>
    <t xml:space="preserve">咨询服务</t>
  </si>
  <si>
    <t xml:space="preserve">C</t>
  </si>
  <si>
    <t xml:space="preserve">验收后30天</t>
  </si>
  <si>
    <t xml:space="preserve">总经办</t>
  </si>
  <si>
    <t xml:space="preserve">6222****4502</t>
  </si>
  <si>
    <t xml:space="preserve">2026-09-15</t>
  </si>
  <si>
    <t xml:space="preserve">成果验收后付款</t>
  </si>
  <si>
    <t xml:space="preserve">S007</t>
  </si>
  <si>
    <t xml:space="preserve">力源设备股份有限公司</t>
  </si>
  <si>
    <t xml:space="preserve">生产设备</t>
  </si>
  <si>
    <t xml:space="preserve">30/60/10</t>
  </si>
  <si>
    <t xml:space="preserve">设备部</t>
  </si>
  <si>
    <t xml:space="preserve">6214****8921</t>
  </si>
  <si>
    <t xml:space="preserve">2027-02-28</t>
  </si>
  <si>
    <t xml:space="preserve">预付及验收尾款</t>
  </si>
  <si>
    <t xml:space="preserve">S008</t>
  </si>
  <si>
    <t xml:space="preserve">华南包装有限公司</t>
  </si>
  <si>
    <t xml:space="preserve">包装物</t>
  </si>
  <si>
    <t xml:space="preserve">6217****5551</t>
  </si>
  <si>
    <t xml:space="preserve">价格波动较大</t>
  </si>
  <si>
    <t xml:space="preserve">S009</t>
  </si>
  <si>
    <t xml:space="preserve">绿能电力服务有限公司</t>
  </si>
  <si>
    <t xml:space="preserve">能源</t>
  </si>
  <si>
    <t xml:space="preserve">月结15天</t>
  </si>
  <si>
    <t xml:space="preserve">行政部</t>
  </si>
  <si>
    <t xml:space="preserve">6228****9900</t>
  </si>
  <si>
    <t xml:space="preserve">抄表数据匹配</t>
  </si>
  <si>
    <t xml:space="preserve">S010</t>
  </si>
  <si>
    <t xml:space="preserve">瑞诚劳务服务有限公司</t>
  </si>
  <si>
    <t xml:space="preserve">劳务外包</t>
  </si>
  <si>
    <t xml:space="preserve">HR</t>
  </si>
  <si>
    <t xml:space="preserve">6214****3112</t>
  </si>
  <si>
    <t xml:space="preserve">人员名单和工时验收</t>
  </si>
  <si>
    <t xml:space="preserve">S011</t>
  </si>
  <si>
    <t xml:space="preserve">宏达贸易有限公司</t>
  </si>
  <si>
    <t xml:space="preserve">辅料</t>
  </si>
  <si>
    <t xml:space="preserve">D</t>
  </si>
  <si>
    <t xml:space="preserve">冻结</t>
  </si>
  <si>
    <t xml:space="preserve">6222****7180</t>
  </si>
  <si>
    <t xml:space="preserve">2026-08-31</t>
  </si>
  <si>
    <t xml:space="preserve">银行账户变更异常</t>
  </si>
  <si>
    <t xml:space="preserve">S012</t>
  </si>
  <si>
    <t xml:space="preserve">华辰供应链有限公司</t>
  </si>
  <si>
    <t xml:space="preserve">关联方采购</t>
  </si>
  <si>
    <t xml:space="preserve">供应链</t>
  </si>
  <si>
    <t xml:space="preserve">6217****8116</t>
  </si>
  <si>
    <t xml:space="preserve">需关联交易定价证据</t>
  </si>
  <si>
    <t xml:space="preserve">应付账款未清项</t>
  </si>
  <si>
    <t xml:space="preserve">到期、账龄和状态自动计算。先查实质，再处理负余额。</t>
  </si>
  <si>
    <t xml:space="preserve">应付ID</t>
  </si>
  <si>
    <t xml:space="preserve">供应商编码</t>
  </si>
  <si>
    <t xml:space="preserve">供应商</t>
  </si>
  <si>
    <t xml:space="preserve">业务日</t>
  </si>
  <si>
    <t xml:space="preserve">到期日</t>
  </si>
  <si>
    <t xml:space="preserve">PO</t>
  </si>
  <si>
    <t xml:space="preserve">收货/验收</t>
  </si>
  <si>
    <t xml:space="preserve">发票</t>
  </si>
  <si>
    <t xml:space="preserve">原值</t>
  </si>
  <si>
    <t xml:space="preserve">已付</t>
  </si>
  <si>
    <t xml:space="preserve">余额</t>
  </si>
  <si>
    <t xml:space="preserve">业务状态</t>
  </si>
  <si>
    <t xml:space="preserve">争议</t>
  </si>
  <si>
    <t xml:space="preserve">备注</t>
  </si>
  <si>
    <t xml:space="preserve">逾期天数</t>
  </si>
  <si>
    <t xml:space="preserve">账龄</t>
  </si>
  <si>
    <t xml:space="preserve">到期状态</t>
  </si>
  <si>
    <t xml:space="preserve">AP001</t>
  </si>
  <si>
    <t xml:space="preserve">PO260701</t>
  </si>
  <si>
    <t xml:space="preserve">GR260701</t>
  </si>
  <si>
    <t xml:space="preserve">INV260710</t>
  </si>
  <si>
    <t xml:space="preserve">待付款</t>
  </si>
  <si>
    <t xml:space="preserve">否</t>
  </si>
  <si>
    <t xml:space="preserve">核心料正常到期</t>
  </si>
  <si>
    <t xml:space="preserve">AP002</t>
  </si>
  <si>
    <t xml:space="preserve">PO260818</t>
  </si>
  <si>
    <t xml:space="preserve">GR260818</t>
  </si>
  <si>
    <t xml:space="preserve">已入库未收票</t>
  </si>
  <si>
    <t xml:space="preserve">AP003</t>
  </si>
  <si>
    <t xml:space="preserve">PO260620</t>
  </si>
  <si>
    <t xml:space="preserve">GR260620</t>
  </si>
  <si>
    <t xml:space="preserve">INV260625</t>
  </si>
  <si>
    <t xml:space="preserve">逾期</t>
  </si>
  <si>
    <t xml:space="preserve">部分付款</t>
  </si>
  <si>
    <t xml:space="preserve">AP004</t>
  </si>
  <si>
    <t xml:space="preserve">PO260510</t>
  </si>
  <si>
    <t xml:space="preserve">GR260510</t>
  </si>
  <si>
    <t xml:space="preserve">INV260515</t>
  </si>
  <si>
    <t xml:space="preserve">冻结争议</t>
  </si>
  <si>
    <t xml:space="preserve">是</t>
  </si>
  <si>
    <t xml:space="preserve">质量扣款90,400待确认</t>
  </si>
  <si>
    <t xml:space="preserve">AP005</t>
  </si>
  <si>
    <t xml:space="preserve">PO260801</t>
  </si>
  <si>
    <t xml:space="preserve">SR260801</t>
  </si>
  <si>
    <t xml:space="preserve">INV260801</t>
  </si>
  <si>
    <t xml:space="preserve">预付待摊</t>
  </si>
  <si>
    <t xml:space="preserve">一年期SaaS，非应付余额</t>
  </si>
  <si>
    <t xml:space="preserve">AP006</t>
  </si>
  <si>
    <t xml:space="preserve">PO260731</t>
  </si>
  <si>
    <t xml:space="preserve">SR260731</t>
  </si>
  <si>
    <t xml:space="preserve">INV260805</t>
  </si>
  <si>
    <t xml:space="preserve">部分运单缺失</t>
  </si>
  <si>
    <t xml:space="preserve">AP007</t>
  </si>
  <si>
    <t xml:space="preserve">PO260715</t>
  </si>
  <si>
    <t xml:space="preserve">INV260720</t>
  </si>
  <si>
    <t xml:space="preserve">发票先到未验收</t>
  </si>
  <si>
    <t xml:space="preserve">成果报告未验收</t>
  </si>
  <si>
    <t xml:space="preserve">AP008</t>
  </si>
  <si>
    <t xml:space="preserve">PO260501</t>
  </si>
  <si>
    <t xml:space="preserve">FA260812</t>
  </si>
  <si>
    <t xml:space="preserve">INV260812</t>
  </si>
  <si>
    <t xml:space="preserve">设备尾款</t>
  </si>
  <si>
    <t xml:space="preserve">验收后付50%</t>
  </si>
  <si>
    <t xml:space="preserve">AP009</t>
  </si>
  <si>
    <t xml:space="preserve">PO260825</t>
  </si>
  <si>
    <t xml:space="preserve">GR260825</t>
  </si>
  <si>
    <t xml:space="preserve">INV260827</t>
  </si>
  <si>
    <t xml:space="preserve">AP010</t>
  </si>
  <si>
    <t xml:space="preserve">PO260831</t>
  </si>
  <si>
    <t xml:space="preserve">SR260831</t>
  </si>
  <si>
    <t xml:space="preserve">按抄表暂估</t>
  </si>
  <si>
    <t xml:space="preserve">AP011</t>
  </si>
  <si>
    <t xml:space="preserve">PO260731L</t>
  </si>
  <si>
    <t xml:space="preserve">SR260731L</t>
  </si>
  <si>
    <t xml:space="preserve">INV260805L</t>
  </si>
  <si>
    <t xml:space="preserve">考勤与名单已验收</t>
  </si>
  <si>
    <t xml:space="preserve">AP012</t>
  </si>
  <si>
    <t xml:space="preserve">PO260810</t>
  </si>
  <si>
    <t xml:space="preserve">GR260810</t>
  </si>
  <si>
    <t xml:space="preserve">INV260812M</t>
  </si>
  <si>
    <t xml:space="preserve">付款冻结</t>
  </si>
  <si>
    <t xml:space="preserve">邮件要求改付个人账户</t>
  </si>
  <si>
    <t xml:space="preserve">AP013</t>
  </si>
  <si>
    <t xml:space="preserve">PO260630</t>
  </si>
  <si>
    <t xml:space="preserve">GR260630</t>
  </si>
  <si>
    <t xml:space="preserve">INV260705</t>
  </si>
  <si>
    <t xml:space="preserve">逾期关联方</t>
  </si>
  <si>
    <t xml:space="preserve">需核对定价与抵销</t>
  </si>
  <si>
    <t xml:space="preserve">AP014</t>
  </si>
  <si>
    <t xml:space="preserve">PO250215</t>
  </si>
  <si>
    <t xml:space="preserve">GR250215</t>
  </si>
  <si>
    <t xml:space="preserve">INV250220</t>
  </si>
  <si>
    <t xml:space="preserve">长期挂账</t>
  </si>
  <si>
    <t xml:space="preserve">供应商称已收款，可能错付/错核销</t>
  </si>
  <si>
    <t xml:space="preserve">AP015</t>
  </si>
  <si>
    <t xml:space="preserve">PO260829</t>
  </si>
  <si>
    <t xml:space="preserve">GR260829</t>
  </si>
  <si>
    <t xml:space="preserve">INV260830</t>
  </si>
  <si>
    <t xml:space="preserve">负余额</t>
  </si>
  <si>
    <t xml:space="preserve">付款超过本发票，需查预付或串户</t>
  </si>
  <si>
    <t xml:space="preserve">AP016</t>
  </si>
  <si>
    <t xml:space="preserve">PO260830</t>
  </si>
  <si>
    <t xml:space="preserve">GR260830</t>
  </si>
  <si>
    <t xml:space="preserve">INV260831</t>
  </si>
  <si>
    <t xml:space="preserve">数量价差在容差内</t>
  </si>
  <si>
    <t xml:space="preserve">AP017</t>
  </si>
  <si>
    <t xml:space="preserve">PO260820</t>
  </si>
  <si>
    <t xml:space="preserve">SR260820</t>
  </si>
  <si>
    <t xml:space="preserve">INV260825</t>
  </si>
  <si>
    <t xml:space="preserve">AP018</t>
  </si>
  <si>
    <t xml:space="preserve">PO260831L</t>
  </si>
  <si>
    <t xml:space="preserve">SR260831L</t>
  </si>
  <si>
    <t xml:space="preserve">8月劳务暂估</t>
  </si>
  <si>
    <t xml:space="preserve">已收货未到票与暂估</t>
  </si>
  <si>
    <t xml:space="preserve">超过60天项目必须查明真实义务、发票计划和清理方案。</t>
  </si>
  <si>
    <t xml:space="preserve">GRNI ID</t>
  </si>
  <si>
    <t xml:space="preserve">收货日</t>
  </si>
  <si>
    <t xml:space="preserve">暂估金额</t>
  </si>
  <si>
    <t xml:space="preserve">账龄天数</t>
  </si>
  <si>
    <t xml:space="preserve">预计到票日</t>
  </si>
  <si>
    <t xml:space="preserve">差异/处理</t>
  </si>
  <si>
    <t xml:space="preserve">GRNI-001</t>
  </si>
  <si>
    <t xml:space="preserve">未开始</t>
  </si>
  <si>
    <t xml:space="preserve">GRNI-002</t>
  </si>
  <si>
    <t xml:space="preserve">GRNI-003</t>
  </si>
  <si>
    <t xml:space="preserve">GRNI-004</t>
  </si>
  <si>
    <t xml:space="preserve">GRNI-005</t>
  </si>
  <si>
    <t xml:space="preserve">GRNI-006</t>
  </si>
  <si>
    <t xml:space="preserve">GRNI-007</t>
  </si>
  <si>
    <t xml:space="preserve">GRNI-008</t>
  </si>
  <si>
    <t xml:space="preserve">GRNI-009</t>
  </si>
  <si>
    <t xml:space="preserve">GRNI-010</t>
  </si>
  <si>
    <t xml:space="preserve">GRNI-011</t>
  </si>
  <si>
    <t xml:space="preserve">GRNI-012</t>
  </si>
  <si>
    <t xml:space="preserve">GRNI-013</t>
  </si>
  <si>
    <t xml:space="preserve">GRNI-014</t>
  </si>
  <si>
    <t xml:space="preserve">GRNI-015</t>
  </si>
  <si>
    <t xml:space="preserve">GRNI-016</t>
  </si>
  <si>
    <t xml:space="preserve">GRNI-017</t>
  </si>
  <si>
    <t xml:space="preserve">GRNI-018</t>
  </si>
  <si>
    <t xml:space="preserve">GRNI-019</t>
  </si>
  <si>
    <t xml:space="preserve">GRNI-020</t>
  </si>
  <si>
    <t xml:space="preserve">GRNI-021</t>
  </si>
  <si>
    <t xml:space="preserve">GRNI-022</t>
  </si>
  <si>
    <t xml:space="preserve">GRNI-023</t>
  </si>
  <si>
    <t xml:space="preserve">GRNI-024</t>
  </si>
  <si>
    <t xml:space="preserve">GRNI-025</t>
  </si>
  <si>
    <t xml:space="preserve">GRNI-026</t>
  </si>
  <si>
    <t xml:space="preserve">GRNI-027</t>
  </si>
  <si>
    <t xml:space="preserve">GRNI-028</t>
  </si>
  <si>
    <t xml:space="preserve">GRNI-029</t>
  </si>
  <si>
    <t xml:space="preserve">GRNI-030</t>
  </si>
  <si>
    <t xml:space="preserve">GRNI-031</t>
  </si>
  <si>
    <t xml:space="preserve">GRNI-032</t>
  </si>
  <si>
    <t xml:space="preserve">GRNI-033</t>
  </si>
  <si>
    <t xml:space="preserve">GRNI-034</t>
  </si>
  <si>
    <t xml:space="preserve">GRNI-035</t>
  </si>
  <si>
    <t xml:space="preserve">GRNI-036</t>
  </si>
  <si>
    <t xml:space="preserve">GRNI-037</t>
  </si>
  <si>
    <t xml:space="preserve">GRNI-038</t>
  </si>
  <si>
    <t xml:space="preserve">GRNI-039</t>
  </si>
  <si>
    <t xml:space="preserve">GRNI-040</t>
  </si>
  <si>
    <t xml:space="preserve">PO—收货/验收—发票匹配</t>
  </si>
  <si>
    <t xml:space="preserve">容差是分流规则，不替代真实性判断。</t>
  </si>
  <si>
    <t xml:space="preserve">匹配ID</t>
  </si>
  <si>
    <t xml:space="preserve">PO金额</t>
  </si>
  <si>
    <t xml:space="preserve">收货金额</t>
  </si>
  <si>
    <t xml:space="preserve">发票金额</t>
  </si>
  <si>
    <t xml:space="preserve">匹配结果</t>
  </si>
  <si>
    <t xml:space="preserve">是否争议</t>
  </si>
  <si>
    <t xml:space="preserve">Owner</t>
  </si>
  <si>
    <t xml:space="preserve">差异处理</t>
  </si>
  <si>
    <t xml:space="preserve">MAT-001</t>
  </si>
  <si>
    <t xml:space="preserve">已匹配</t>
  </si>
  <si>
    <t xml:space="preserve">MAT-002</t>
  </si>
  <si>
    <t xml:space="preserve">缺发票</t>
  </si>
  <si>
    <t xml:space="preserve">MAT-003</t>
  </si>
  <si>
    <t xml:space="preserve">MAT-004</t>
  </si>
  <si>
    <t xml:space="preserve">MAT-005</t>
  </si>
  <si>
    <t xml:space="preserve">MAT-006</t>
  </si>
  <si>
    <t xml:space="preserve">MAT-007</t>
  </si>
  <si>
    <t xml:space="preserve">MAT-008</t>
  </si>
  <si>
    <t xml:space="preserve">MAT-009</t>
  </si>
  <si>
    <t xml:space="preserve">MAT-010</t>
  </si>
  <si>
    <t xml:space="preserve">MAT-011</t>
  </si>
  <si>
    <t xml:space="preserve">MAT-012</t>
  </si>
  <si>
    <t xml:space="preserve">MAT-013</t>
  </si>
  <si>
    <t xml:space="preserve">MAT-014</t>
  </si>
  <si>
    <t xml:space="preserve">MAT-015</t>
  </si>
  <si>
    <t xml:space="preserve">MAT-016</t>
  </si>
  <si>
    <t xml:space="preserve">MAT-017</t>
  </si>
  <si>
    <t xml:space="preserve">MAT-018</t>
  </si>
  <si>
    <t xml:space="preserve">未来13周付款计划</t>
  </si>
  <si>
    <t xml:space="preserve">付款优先级同时考虑到期、关键供应、争议、折扣、合规和现金。</t>
  </si>
  <si>
    <t xml:space="preserve">计划ID</t>
  </si>
  <si>
    <t xml:space="preserve">优先级/理由</t>
  </si>
  <si>
    <t xml:space="preserve">计划付款日</t>
  </si>
  <si>
    <t xml:space="preserve">PAY-001</t>
  </si>
  <si>
    <t xml:space="preserve">待排程</t>
  </si>
  <si>
    <t xml:space="preserve">PAY-002</t>
  </si>
  <si>
    <t xml:space="preserve">PAY-003</t>
  </si>
  <si>
    <t xml:space="preserve">PAY-004</t>
  </si>
  <si>
    <t xml:space="preserve">PAY-005</t>
  </si>
  <si>
    <t xml:space="preserve">PAY-006</t>
  </si>
  <si>
    <t xml:space="preserve">PAY-007</t>
  </si>
  <si>
    <t xml:space="preserve">PAY-008</t>
  </si>
  <si>
    <t xml:space="preserve">PAY-009</t>
  </si>
  <si>
    <t xml:space="preserve">PAY-010</t>
  </si>
  <si>
    <t xml:space="preserve">PAY-011</t>
  </si>
  <si>
    <t xml:space="preserve">PAY-012</t>
  </si>
  <si>
    <t xml:space="preserve">PAY-013</t>
  </si>
  <si>
    <t xml:space="preserve">PAY-014</t>
  </si>
  <si>
    <t xml:space="preserve">PAY-015</t>
  </si>
  <si>
    <t xml:space="preserve">PAY-016</t>
  </si>
  <si>
    <t xml:space="preserve">PAY-017</t>
  </si>
  <si>
    <t xml:space="preserve">PAY-018</t>
  </si>
  <si>
    <t xml:space="preserve">PAY-019</t>
  </si>
  <si>
    <t xml:space="preserve">PAY-020</t>
  </si>
  <si>
    <t xml:space="preserve">PAY-021</t>
  </si>
  <si>
    <t xml:space="preserve">PAY-022</t>
  </si>
  <si>
    <t xml:space="preserve">PAY-023</t>
  </si>
  <si>
    <t xml:space="preserve">PAY-024</t>
  </si>
  <si>
    <t xml:space="preserve">PAY-025</t>
  </si>
  <si>
    <t xml:space="preserve">PAY-026</t>
  </si>
  <si>
    <t xml:space="preserve">PAY-027</t>
  </si>
  <si>
    <t xml:space="preserve">PAY-028</t>
  </si>
  <si>
    <t xml:space="preserve">PAY-029</t>
  </si>
  <si>
    <t xml:space="preserve">PAY-030</t>
  </si>
  <si>
    <t xml:space="preserve">PAY-031</t>
  </si>
  <si>
    <t xml:space="preserve">PAY-032</t>
  </si>
  <si>
    <t xml:space="preserve">PAY-033</t>
  </si>
  <si>
    <t xml:space="preserve">PAY-034</t>
  </si>
  <si>
    <t xml:space="preserve">PAY-035</t>
  </si>
  <si>
    <t xml:space="preserve">PAY-036</t>
  </si>
  <si>
    <t xml:space="preserve">PAY-037</t>
  </si>
  <si>
    <t xml:space="preserve">PAY-038</t>
  </si>
  <si>
    <t xml:space="preserve">PAY-039</t>
  </si>
  <si>
    <t xml:space="preserve">PAY-040</t>
  </si>
  <si>
    <t xml:space="preserve">PAY-041</t>
  </si>
  <si>
    <t xml:space="preserve">PAY-042</t>
  </si>
  <si>
    <t xml:space="preserve">PAY-043</t>
  </si>
  <si>
    <t xml:space="preserve">PAY-044</t>
  </si>
  <si>
    <t xml:space="preserve">PAY-045</t>
  </si>
  <si>
    <t xml:space="preserve">PAY-046</t>
  </si>
  <si>
    <t xml:space="preserve">PAY-047</t>
  </si>
  <si>
    <t xml:space="preserve">PAY-048</t>
  </si>
  <si>
    <t xml:space="preserve">PAY-049</t>
  </si>
  <si>
    <t xml:space="preserve">PAY-050</t>
  </si>
  <si>
    <t xml:space="preserve">PAY-051</t>
  </si>
  <si>
    <t xml:space="preserve">PAY-052</t>
  </si>
  <si>
    <t xml:space="preserve">PAY-053</t>
  </si>
  <si>
    <t xml:space="preserve">PAY-054</t>
  </si>
  <si>
    <t xml:space="preserve">PAY-055</t>
  </si>
  <si>
    <t xml:space="preserve">PAY-056</t>
  </si>
  <si>
    <t xml:space="preserve">PAY-057</t>
  </si>
  <si>
    <t xml:space="preserve">PAY-058</t>
  </si>
  <si>
    <t xml:space="preserve">付款审批与执行</t>
  </si>
  <si>
    <t xml:space="preserve">制单、复核、授权和银行执行应适当分离。</t>
  </si>
  <si>
    <t xml:space="preserve">申请号</t>
  </si>
  <si>
    <t xml:space="preserve">付款事由</t>
  </si>
  <si>
    <t xml:space="preserve">金额</t>
  </si>
  <si>
    <t xml:space="preserve">到期/例外依据</t>
  </si>
  <si>
    <t xml:space="preserve">匹配状态</t>
  </si>
  <si>
    <t xml:space="preserve">收款账户</t>
  </si>
  <si>
    <t xml:space="preserve">账户变更标识</t>
  </si>
  <si>
    <t xml:space="preserve">申请人</t>
  </si>
  <si>
    <t xml:space="preserve">审批状态</t>
  </si>
  <si>
    <t xml:space="preserve">网银流水</t>
  </si>
  <si>
    <t xml:space="preserve">退汇/退款</t>
  </si>
  <si>
    <t xml:space="preserve">PA-001</t>
  </si>
  <si>
    <t xml:space="preserve">待审批</t>
  </si>
  <si>
    <t xml:space="preserve">PA-002</t>
  </si>
  <si>
    <t xml:space="preserve">PA-003</t>
  </si>
  <si>
    <t xml:space="preserve">PA-004</t>
  </si>
  <si>
    <t xml:space="preserve">PA-005</t>
  </si>
  <si>
    <t xml:space="preserve">PA-006</t>
  </si>
  <si>
    <t xml:space="preserve">PA-007</t>
  </si>
  <si>
    <t xml:space="preserve">PA-008</t>
  </si>
  <si>
    <t xml:space="preserve">PA-009</t>
  </si>
  <si>
    <t xml:space="preserve">PA-010</t>
  </si>
  <si>
    <t xml:space="preserve">PA-011</t>
  </si>
  <si>
    <t xml:space="preserve">PA-012</t>
  </si>
  <si>
    <t xml:space="preserve">PA-013</t>
  </si>
  <si>
    <t xml:space="preserve">PA-014</t>
  </si>
  <si>
    <t xml:space="preserve">PA-015</t>
  </si>
  <si>
    <t xml:space="preserve">PA-016</t>
  </si>
  <si>
    <t xml:space="preserve">PA-017</t>
  </si>
  <si>
    <t xml:space="preserve">PA-018</t>
  </si>
  <si>
    <t xml:space="preserve">PA-019</t>
  </si>
  <si>
    <t xml:space="preserve">PA-020</t>
  </si>
  <si>
    <t xml:space="preserve">PA-021</t>
  </si>
  <si>
    <t xml:space="preserve">PA-022</t>
  </si>
  <si>
    <t xml:space="preserve">PA-023</t>
  </si>
  <si>
    <t xml:space="preserve">PA-024</t>
  </si>
  <si>
    <t xml:space="preserve">PA-025</t>
  </si>
  <si>
    <t xml:space="preserve">PA-026</t>
  </si>
  <si>
    <t xml:space="preserve">PA-027</t>
  </si>
  <si>
    <t xml:space="preserve">PA-028</t>
  </si>
  <si>
    <t xml:space="preserve">PA-029</t>
  </si>
  <si>
    <t xml:space="preserve">PA-030</t>
  </si>
  <si>
    <t xml:space="preserve">PA-031</t>
  </si>
  <si>
    <t xml:space="preserve">PA-032</t>
  </si>
  <si>
    <t xml:space="preserve">PA-033</t>
  </si>
  <si>
    <t xml:space="preserve">PA-034</t>
  </si>
  <si>
    <t xml:space="preserve">PA-035</t>
  </si>
  <si>
    <t xml:space="preserve">PA-036</t>
  </si>
  <si>
    <t xml:space="preserve">PA-037</t>
  </si>
  <si>
    <t xml:space="preserve">PA-038</t>
  </si>
  <si>
    <t xml:space="preserve">PA-039</t>
  </si>
  <si>
    <t xml:space="preserve">PA-040</t>
  </si>
  <si>
    <t xml:space="preserve">PA-041</t>
  </si>
  <si>
    <t xml:space="preserve">PA-042</t>
  </si>
  <si>
    <t xml:space="preserve">PA-043</t>
  </si>
  <si>
    <t xml:space="preserve">PA-044</t>
  </si>
  <si>
    <t xml:space="preserve">PA-045</t>
  </si>
  <si>
    <t xml:space="preserve">PA-046</t>
  </si>
  <si>
    <t xml:space="preserve">PA-047</t>
  </si>
  <si>
    <t xml:space="preserve">PA-048</t>
  </si>
  <si>
    <t xml:space="preserve">PA-049</t>
  </si>
  <si>
    <t xml:space="preserve">PA-050</t>
  </si>
  <si>
    <t xml:space="preserve">供应商银行账户变更</t>
  </si>
  <si>
    <t xml:space="preserve">禁止仅按变更邮件内的联系方式核验。</t>
  </si>
  <si>
    <t xml:space="preserve">变更ID</t>
  </si>
  <si>
    <t xml:space="preserve">原账户</t>
  </si>
  <si>
    <t xml:space="preserve">新账户</t>
  </si>
  <si>
    <t xml:space="preserve">申请日期</t>
  </si>
  <si>
    <t xml:space="preserve">申请渠道</t>
  </si>
  <si>
    <t xml:space="preserve">独立回拨</t>
  </si>
  <si>
    <t xml:space="preserve">复核人</t>
  </si>
  <si>
    <t xml:space="preserve">批准日</t>
  </si>
  <si>
    <t xml:space="preserve">临时控制</t>
  </si>
  <si>
    <t xml:space="preserve">BC-001</t>
  </si>
  <si>
    <t xml:space="preserve">个人账户6222****9918</t>
  </si>
  <si>
    <t xml:space="preserve">2026-08-28</t>
  </si>
  <si>
    <t xml:space="preserve">邮件</t>
  </si>
  <si>
    <t xml:space="preserve">未完成</t>
  </si>
  <si>
    <t xml:space="preserve">资金主管</t>
  </si>
  <si>
    <t xml:space="preserve">待核验</t>
  </si>
  <si>
    <t xml:space="preserve">冻结付款</t>
  </si>
  <si>
    <t xml:space="preserve">BC-002</t>
  </si>
  <si>
    <t xml:space="preserve">BC-003</t>
  </si>
  <si>
    <t xml:space="preserve">BC-004</t>
  </si>
  <si>
    <t xml:space="preserve">BC-005</t>
  </si>
  <si>
    <t xml:space="preserve">BC-006</t>
  </si>
  <si>
    <t xml:space="preserve">BC-007</t>
  </si>
  <si>
    <t xml:space="preserve">BC-008</t>
  </si>
  <si>
    <t xml:space="preserve">BC-009</t>
  </si>
  <si>
    <t xml:space="preserve">BC-010</t>
  </si>
  <si>
    <t xml:space="preserve">BC-011</t>
  </si>
  <si>
    <t xml:space="preserve">BC-012</t>
  </si>
  <si>
    <t xml:space="preserve">BC-013</t>
  </si>
  <si>
    <t xml:space="preserve">BC-014</t>
  </si>
  <si>
    <t xml:space="preserve">BC-015</t>
  </si>
  <si>
    <t xml:space="preserve">BC-016</t>
  </si>
  <si>
    <t xml:space="preserve">BC-017</t>
  </si>
  <si>
    <t xml:space="preserve">BC-018</t>
  </si>
  <si>
    <t xml:space="preserve">BC-019</t>
  </si>
  <si>
    <t xml:space="preserve">BC-020</t>
  </si>
  <si>
    <t xml:space="preserve">BC-021</t>
  </si>
  <si>
    <t xml:space="preserve">BC-022</t>
  </si>
  <si>
    <t xml:space="preserve">BC-023</t>
  </si>
  <si>
    <t xml:space="preserve">BC-024</t>
  </si>
  <si>
    <t xml:space="preserve">BC-025</t>
  </si>
  <si>
    <t xml:space="preserve">BC-026</t>
  </si>
  <si>
    <t xml:space="preserve">BC-027</t>
  </si>
  <si>
    <t xml:space="preserve">BC-028</t>
  </si>
  <si>
    <t xml:space="preserve">BC-029</t>
  </si>
  <si>
    <t xml:space="preserve">BC-030</t>
  </si>
  <si>
    <t xml:space="preserve">BC-031</t>
  </si>
  <si>
    <t xml:space="preserve">BC-032</t>
  </si>
  <si>
    <t xml:space="preserve">BC-033</t>
  </si>
  <si>
    <t xml:space="preserve">BC-034</t>
  </si>
  <si>
    <t xml:space="preserve">BC-035</t>
  </si>
  <si>
    <t xml:space="preserve">BC-036</t>
  </si>
  <si>
    <t xml:space="preserve">BC-037</t>
  </si>
  <si>
    <t xml:space="preserve">BC-038</t>
  </si>
  <si>
    <t xml:space="preserve">BC-039</t>
  </si>
  <si>
    <t xml:space="preserve">BC-040</t>
  </si>
  <si>
    <t xml:space="preserve">供应商余额对账</t>
  </si>
  <si>
    <t xml:space="preserve">差异不能只写“时间差”，必须定位单据和关闭动作。</t>
  </si>
  <si>
    <t xml:space="preserve">对账ID</t>
  </si>
  <si>
    <t xml:space="preserve">账面余额</t>
  </si>
  <si>
    <t xml:space="preserve">对账单余额</t>
  </si>
  <si>
    <t xml:space="preserve">差异</t>
  </si>
  <si>
    <t xml:space="preserve">差异类型</t>
  </si>
  <si>
    <t xml:space="preserve">处理动作</t>
  </si>
  <si>
    <t xml:space="preserve">Closure证据</t>
  </si>
  <si>
    <t xml:space="preserve">REC-001</t>
  </si>
  <si>
    <t xml:space="preserve">REC-002</t>
  </si>
  <si>
    <t xml:space="preserve">REC-003</t>
  </si>
  <si>
    <t xml:space="preserve">REC-004</t>
  </si>
  <si>
    <t xml:space="preserve">REC-005</t>
  </si>
  <si>
    <t xml:space="preserve">REC-006</t>
  </si>
  <si>
    <t xml:space="preserve">REC-007</t>
  </si>
  <si>
    <t xml:space="preserve">REC-008</t>
  </si>
  <si>
    <t xml:space="preserve">REC-009</t>
  </si>
  <si>
    <t xml:space="preserve">REC-010</t>
  </si>
  <si>
    <t xml:space="preserve">REC-011</t>
  </si>
  <si>
    <t xml:space="preserve">REC-012</t>
  </si>
  <si>
    <t xml:space="preserve">供应商争议与索赔</t>
  </si>
  <si>
    <t xml:space="preserve">无争议部分和争议部分分开管理。</t>
  </si>
  <si>
    <t xml:space="preserve">争议ID</t>
  </si>
  <si>
    <t xml:space="preserve">争议金额</t>
  </si>
  <si>
    <t xml:space="preserve">事项</t>
  </si>
  <si>
    <t xml:space="preserve">供应商主张</t>
  </si>
  <si>
    <t xml:space="preserve">公司判断</t>
  </si>
  <si>
    <t xml:space="preserve">合同依据</t>
  </si>
  <si>
    <t xml:space="preserve">下一步</t>
  </si>
  <si>
    <t xml:space="preserve">截止日</t>
  </si>
  <si>
    <t xml:space="preserve">会计/付款影响</t>
  </si>
  <si>
    <t xml:space="preserve">DIS-001</t>
  </si>
  <si>
    <t xml:space="preserve">Open</t>
  </si>
  <si>
    <t xml:space="preserve">DIS-002</t>
  </si>
  <si>
    <t xml:space="preserve">DIS-003</t>
  </si>
  <si>
    <t xml:space="preserve">DIS-004</t>
  </si>
  <si>
    <t xml:space="preserve">DIS-005</t>
  </si>
  <si>
    <t xml:space="preserve">DIS-006</t>
  </si>
  <si>
    <t xml:space="preserve">DIS-007</t>
  </si>
  <si>
    <t xml:space="preserve">DIS-008</t>
  </si>
  <si>
    <t xml:space="preserve">DIS-009</t>
  </si>
  <si>
    <t xml:space="preserve">DIS-010</t>
  </si>
  <si>
    <t xml:space="preserve">DIS-011</t>
  </si>
  <si>
    <t xml:space="preserve">DIS-012</t>
  </si>
  <si>
    <t xml:space="preserve">DIS-013</t>
  </si>
  <si>
    <t xml:space="preserve">DIS-014</t>
  </si>
  <si>
    <t xml:space="preserve">DIS-015</t>
  </si>
  <si>
    <t xml:space="preserve">DIS-016</t>
  </si>
  <si>
    <t xml:space="preserve">DIS-017</t>
  </si>
  <si>
    <t xml:space="preserve">DIS-018</t>
  </si>
  <si>
    <t xml:space="preserve">DIS-019</t>
  </si>
  <si>
    <t xml:space="preserve">DIS-020</t>
  </si>
  <si>
    <t xml:space="preserve">DIS-021</t>
  </si>
  <si>
    <t xml:space="preserve">DIS-022</t>
  </si>
  <si>
    <t xml:space="preserve">DIS-023</t>
  </si>
  <si>
    <t xml:space="preserve">DIS-024</t>
  </si>
  <si>
    <t xml:space="preserve">DIS-025</t>
  </si>
  <si>
    <t xml:space="preserve">DIS-026</t>
  </si>
  <si>
    <t xml:space="preserve">DIS-027</t>
  </si>
  <si>
    <t xml:space="preserve">DIS-028</t>
  </si>
  <si>
    <t xml:space="preserve">DIS-029</t>
  </si>
  <si>
    <t xml:space="preserve">DIS-030</t>
  </si>
  <si>
    <t xml:space="preserve">DIS-031</t>
  </si>
  <si>
    <t xml:space="preserve">DIS-032</t>
  </si>
  <si>
    <t xml:space="preserve">DIS-033</t>
  </si>
  <si>
    <t xml:space="preserve">DIS-034</t>
  </si>
  <si>
    <t xml:space="preserve">DIS-035</t>
  </si>
  <si>
    <t xml:space="preserve">DIS-036</t>
  </si>
  <si>
    <t xml:space="preserve">DIS-037</t>
  </si>
  <si>
    <t xml:space="preserve">DIS-038</t>
  </si>
  <si>
    <t xml:space="preserve">DIS-039</t>
  </si>
  <si>
    <t xml:space="preserve">DIS-040</t>
  </si>
  <si>
    <t xml:space="preserve">预付款与履约跟踪</t>
  </si>
  <si>
    <t xml:space="preserve">预付后必须跟踪交付、里程碑、担保和退款权。</t>
  </si>
  <si>
    <t xml:space="preserve">预付ID</t>
  </si>
  <si>
    <t xml:space="preserve">合同/PO</t>
  </si>
  <si>
    <t xml:space="preserve">预付日</t>
  </si>
  <si>
    <t xml:space="preserve">约定交付日</t>
  </si>
  <si>
    <t xml:space="preserve">履约状态</t>
  </si>
  <si>
    <t xml:space="preserve">处理</t>
  </si>
  <si>
    <t xml:space="preserve">ADV-001</t>
  </si>
  <si>
    <t xml:space="preserve">SaaS已开通，按期摊销</t>
  </si>
  <si>
    <t xml:space="preserve">ADV-002</t>
  </si>
  <si>
    <t xml:space="preserve">设备已验收，转入设备结算</t>
  </si>
  <si>
    <t xml:space="preserve">ADV-003</t>
  </si>
  <si>
    <t xml:space="preserve">PO260601</t>
  </si>
  <si>
    <t xml:space="preserve">供应商账户异常，未交货</t>
  </si>
  <si>
    <t xml:space="preserve">冻结新增预付并追款</t>
  </si>
  <si>
    <t xml:space="preserve">ADV-004</t>
  </si>
  <si>
    <t xml:space="preserve">ADV-005</t>
  </si>
  <si>
    <t xml:space="preserve">ADV-006</t>
  </si>
  <si>
    <t xml:space="preserve">ADV-007</t>
  </si>
  <si>
    <t xml:space="preserve">ADV-008</t>
  </si>
  <si>
    <t xml:space="preserve">ADV-009</t>
  </si>
  <si>
    <t xml:space="preserve">ADV-010</t>
  </si>
  <si>
    <t xml:space="preserve">ADV-011</t>
  </si>
  <si>
    <t xml:space="preserve">ADV-012</t>
  </si>
  <si>
    <t xml:space="preserve">ADV-013</t>
  </si>
  <si>
    <t xml:space="preserve">ADV-014</t>
  </si>
  <si>
    <t xml:space="preserve">ADV-015</t>
  </si>
  <si>
    <t xml:space="preserve">ADV-016</t>
  </si>
  <si>
    <t xml:space="preserve">ADV-017</t>
  </si>
  <si>
    <t xml:space="preserve">ADV-018</t>
  </si>
  <si>
    <t xml:space="preserve">ADV-019</t>
  </si>
  <si>
    <t xml:space="preserve">ADV-020</t>
  </si>
  <si>
    <t xml:space="preserve">ADV-021</t>
  </si>
  <si>
    <t xml:space="preserve">ADV-022</t>
  </si>
  <si>
    <t xml:space="preserve">ADV-023</t>
  </si>
  <si>
    <t xml:space="preserve">ADV-024</t>
  </si>
  <si>
    <t xml:space="preserve">ADV-025</t>
  </si>
  <si>
    <t xml:space="preserve">ADV-026</t>
  </si>
  <si>
    <t xml:space="preserve">ADV-027</t>
  </si>
  <si>
    <t xml:space="preserve">ADV-028</t>
  </si>
  <si>
    <t xml:space="preserve">ADV-029</t>
  </si>
  <si>
    <t xml:space="preserve">ADV-030</t>
  </si>
  <si>
    <t xml:space="preserve">ADV-031</t>
  </si>
  <si>
    <t xml:space="preserve">ADV-032</t>
  </si>
  <si>
    <t xml:space="preserve">ADV-033</t>
  </si>
  <si>
    <t xml:space="preserve">ADV-034</t>
  </si>
  <si>
    <t xml:space="preserve">ADV-035</t>
  </si>
  <si>
    <t xml:space="preserve">ADV-036</t>
  </si>
  <si>
    <t xml:space="preserve">ADV-037</t>
  </si>
  <si>
    <t xml:space="preserve">ADV-038</t>
  </si>
  <si>
    <t xml:space="preserve">ADV-039</t>
  </si>
  <si>
    <t xml:space="preserve">ADV-040</t>
  </si>
  <si>
    <t xml:space="preserve">应付与供应商核心指标</t>
  </si>
  <si>
    <t xml:space="preserve">指标是下钻入口，不是最终结论。</t>
  </si>
  <si>
    <t xml:space="preserve">定义</t>
  </si>
  <si>
    <t xml:space="preserve">管理意义</t>
  </si>
  <si>
    <t xml:space="preserve">恶化原因</t>
  </si>
  <si>
    <t xml:space="preserve">下钻方向</t>
  </si>
  <si>
    <t xml:space="preserve">应付余额</t>
  </si>
  <si>
    <t xml:space="preserve">期末应付未清项合计</t>
  </si>
  <si>
    <t xml:space="preserve">衡量无息经营融资与到期义务</t>
  </si>
  <si>
    <t xml:space="preserve">余额下降可能是采购下降、提前付款或漏记；上升可能是采购增长、延付或暂估积压</t>
  </si>
  <si>
    <t xml:space="preserve">按供应商、采购类别、到期状态、暂估/已票、关联方下钻</t>
  </si>
  <si>
    <t xml:space="preserve">逾期应付率</t>
  </si>
  <si>
    <t xml:space="preserve">逾期余额÷应付余额</t>
  </si>
  <si>
    <t xml:space="preserve">反映履约、信用与供应连续性</t>
  </si>
  <si>
    <t xml:space="preserve">现金短缺、流程堵塞、争议未闭环、付款计划失真</t>
  </si>
  <si>
    <t xml:space="preserve">先分无争议逾期与争议，再看Owner和付款承诺</t>
  </si>
  <si>
    <t xml:space="preserve">未来30天到期额</t>
  </si>
  <si>
    <t xml:space="preserve">未来30天到期的应付余额</t>
  </si>
  <si>
    <t xml:space="preserve">连接付款排程与滚动现金预测</t>
  </si>
  <si>
    <t xml:space="preserve">集中采购、账期缩短或历史延期集中到期</t>
  </si>
  <si>
    <t xml:space="preserve">按日、供应商重要性和资金缺口下钻</t>
  </si>
  <si>
    <t xml:space="preserve">暂估未到票余额/账龄</t>
  </si>
  <si>
    <t xml:space="preserve">已收货验收但未取得发票的估计负债</t>
  </si>
  <si>
    <t xml:space="preserve">检查负债完整性、成本截止和税务资料</t>
  </si>
  <si>
    <t xml:space="preserve">供应商开票慢、收货单未关、暂估未冲或虚假暂估</t>
  </si>
  <si>
    <t xml:space="preserve">按PO/GR、责任采购、30/60/90天、金额差异下钻</t>
  </si>
  <si>
    <t xml:space="preserve">三单匹配例外率</t>
  </si>
  <si>
    <t xml:space="preserve">PO/收货验收/发票不一致项目数或金额占比</t>
  </si>
  <si>
    <t xml:space="preserve">反映采购执行和付款风险</t>
  </si>
  <si>
    <t xml:space="preserve">数量、价格、税率、主体、收货或重复票异常</t>
  </si>
  <si>
    <t xml:space="preserve">按例外类型、采购员、供应商和容差原因下钻</t>
  </si>
  <si>
    <t xml:space="preserve">提前付款比例</t>
  </si>
  <si>
    <t xml:space="preserve">未到期即付款金额÷总付款额</t>
  </si>
  <si>
    <t xml:space="preserve">衡量资金占用和审批纪律</t>
  </si>
  <si>
    <t xml:space="preserve">供应商强势、折扣有利、资金计划失控或关联方倾斜</t>
  </si>
  <si>
    <t xml:space="preserve">核对折扣收益、批准依据和实际交付</t>
  </si>
  <si>
    <t xml:space="preserve">预付账款周转/逾期预付</t>
  </si>
  <si>
    <t xml:space="preserve">预付后长期未收货或未结算的金额</t>
  </si>
  <si>
    <t xml:space="preserve">识别履约和资金风险</t>
  </si>
  <si>
    <t xml:space="preserve">供应商延期、项目取消、验收滞后或舞弊</t>
  </si>
  <si>
    <t xml:space="preserve">按合同里程碑、担保、责任人和追偿状态下钻</t>
  </si>
  <si>
    <t xml:space="preserve">供应商集中度</t>
  </si>
  <si>
    <t xml:space="preserve">前五大供应商采购额/总采购额</t>
  </si>
  <si>
    <t xml:space="preserve">衡量供应连续性与议价风险</t>
  </si>
  <si>
    <t xml:space="preserve">单一来源、技术锁定、关联交易或采购策略变化</t>
  </si>
  <si>
    <t xml:space="preserve">结合替代周期、库存保障、财务健康和质量表现</t>
  </si>
  <si>
    <t xml:space="preserve">重复付款/退款未收回</t>
  </si>
  <si>
    <t xml:space="preserve">重复支付或应收供应商退款余额</t>
  </si>
  <si>
    <t xml:space="preserve">直接反映资金损失与控制失效</t>
  </si>
  <si>
    <t xml:space="preserve">重复发票、拆票、主数据重复、核销错误</t>
  </si>
  <si>
    <t xml:space="preserve">查发票号、金额、银行账户、付款批次和审批日志</t>
  </si>
  <si>
    <t xml:space="preserve">应付月末检查清单</t>
  </si>
  <si>
    <t xml:space="preserve">每项必须有执行证据、复核和关闭标准。</t>
  </si>
  <si>
    <t xml:space="preserve">明确动作</t>
  </si>
  <si>
    <t xml:space="preserve">责任人</t>
  </si>
  <si>
    <t xml:space="preserve">期限</t>
  </si>
  <si>
    <t xml:space="preserve">证据</t>
  </si>
  <si>
    <t xml:space="preserve">关闭标准</t>
  </si>
  <si>
    <t xml:space="preserve">完成状态</t>
  </si>
  <si>
    <t xml:space="preserve">复核日</t>
  </si>
  <si>
    <t xml:space="preserve">冻结本月应付子模块期间，确认最后收货、发票和付款批次已完成</t>
  </si>
  <si>
    <t xml:space="preserve">AP主管</t>
  </si>
  <si>
    <t xml:space="preserve">D+1</t>
  </si>
  <si>
    <t xml:space="preserve">关闭通知、系统期间截图</t>
  </si>
  <si>
    <t xml:space="preserve">禁止未授权回写</t>
  </si>
  <si>
    <t xml:space="preserve">取得采购在途、已收货未入账、服务已验收未开票清单并完成截止性测试</t>
  </si>
  <si>
    <t xml:space="preserve">总账/AP</t>
  </si>
  <si>
    <t xml:space="preserve">D+2</t>
  </si>
  <si>
    <t xml:space="preserve">PO、GR、验收、暂估底稿</t>
  </si>
  <si>
    <t xml:space="preserve">所有重大负债均记录</t>
  </si>
  <si>
    <t xml:space="preserve">逐项复核暂估新增、冲销和60天以上未到票，并确定Owner及期限</t>
  </si>
  <si>
    <t xml:space="preserve">财务主管</t>
  </si>
  <si>
    <t xml:space="preserve">D+3</t>
  </si>
  <si>
    <t xml:space="preserve">GRNI账龄、采购回复</t>
  </si>
  <si>
    <t xml:space="preserve">长期项进入Issue Log</t>
  </si>
  <si>
    <t xml:space="preserve">完成AP明细与总账、供应商对账单及付款后事项核对</t>
  </si>
  <si>
    <t xml:space="preserve">AP</t>
  </si>
  <si>
    <t xml:space="preserve">对账底稿、差异说明</t>
  </si>
  <si>
    <t xml:space="preserve">差异为零或获批未决</t>
  </si>
  <si>
    <t xml:space="preserve">扫描应付负余额、借方余额、无供应商明细、非贸易项目及关联方余额</t>
  </si>
  <si>
    <t xml:space="preserve">总账</t>
  </si>
  <si>
    <t xml:space="preserve">异常余额清单</t>
  </si>
  <si>
    <t xml:space="preserve">按实质调账或重分类</t>
  </si>
  <si>
    <t xml:space="preserve">核对进项发票、入账、用途和抵扣管理，识别不得抵扣或待转出事项</t>
  </si>
  <si>
    <t xml:space="preserve">税务/AP</t>
  </si>
  <si>
    <t xml:space="preserve">D+4</t>
  </si>
  <si>
    <t xml:space="preserve">发票平台及税务台账</t>
  </si>
  <si>
    <t xml:space="preserve">账票用途一致</t>
  </si>
  <si>
    <t xml:space="preserve">更新未来13周付款预测，区分法定/合同到期、关键供应、折扣和争议款</t>
  </si>
  <si>
    <t xml:space="preserve">资金/AP</t>
  </si>
  <si>
    <t xml:space="preserve">付款计划、现金预测</t>
  </si>
  <si>
    <t xml:space="preserve">资金缺口已升级</t>
  </si>
  <si>
    <t xml:space="preserve">复核大额、异常账户变更、第三方付款、拆分付款和重复支付预警</t>
  </si>
  <si>
    <t xml:space="preserve">审批链和银行回单</t>
  </si>
  <si>
    <t xml:space="preserve">异常均有独立验证</t>
  </si>
  <si>
    <t xml:space="preserve">形成Top供应商、逾期、GRNI、争议、预付和Issue管理报告</t>
  </si>
  <si>
    <t xml:space="preserve">D+5</t>
  </si>
  <si>
    <t xml:space="preserve">月度管理包</t>
  </si>
  <si>
    <t xml:space="preserve">Owner、日期、金额和Closure明确</t>
  </si>
  <si>
    <t xml:space="preserve">新财务主管接手检查</t>
  </si>
  <si>
    <t xml:space="preserve">记录资料、事实、临时控制和历史责任边界。</t>
  </si>
  <si>
    <t xml:space="preserve">阶段</t>
  </si>
  <si>
    <t xml:space="preserve">检查动作</t>
  </si>
  <si>
    <t xml:space="preserve">发现/证据</t>
  </si>
  <si>
    <t xml:space="preserve">第一周</t>
  </si>
  <si>
    <t xml:space="preserve">供应商主数据和权限</t>
  </si>
  <si>
    <t xml:space="preserve">导出主数据、银行变更日志和权限矩阵</t>
  </si>
  <si>
    <t xml:space="preserve">AP与GL</t>
  </si>
  <si>
    <t xml:space="preserve">重做子模块总账对账</t>
  </si>
  <si>
    <t xml:space="preserve">GRNI</t>
  </si>
  <si>
    <t xml:space="preserve">扫描60/90天以上暂估</t>
  </si>
  <si>
    <t xml:space="preserve">负余额和预付</t>
  </si>
  <si>
    <t xml:space="preserve">穿透银行及未清项</t>
  </si>
  <si>
    <t xml:space="preserve">第一月</t>
  </si>
  <si>
    <t xml:space="preserve">付款批次</t>
  </si>
  <si>
    <t xml:space="preserve">抽查大额、账户变更、第三方和退汇</t>
  </si>
  <si>
    <t xml:space="preserve">供应商真实性</t>
  </si>
  <si>
    <t xml:space="preserve">抽查同账户、关联关系和休眠重启</t>
  </si>
  <si>
    <t xml:space="preserve">逾期与中小企业款项</t>
  </si>
  <si>
    <t xml:space="preserve">区分无争议到期与争议</t>
  </si>
  <si>
    <t xml:space="preserve">历史Issue边界</t>
  </si>
  <si>
    <t xml:space="preserve">形成基准日问题清单并书面汇报</t>
  </si>
  <si>
    <t xml:space="preserve">采购付款风险红旗</t>
  </si>
  <si>
    <t xml:space="preserve">发现红旗后先控制风险，再核实和升级。</t>
  </si>
  <si>
    <t xml:space="preserve">控制</t>
  </si>
  <si>
    <t xml:space="preserve">风险</t>
  </si>
  <si>
    <t xml:space="preserve">控制动作</t>
  </si>
  <si>
    <t xml:space="preserve">主数据创建与付款分离</t>
  </si>
  <si>
    <t xml:space="preserve">采购员创建供应商并可改银行账户、发起付款</t>
  </si>
  <si>
    <t xml:space="preserve">供应商创建、银行变更、发票处理和付款权限分离；定期复核日志</t>
  </si>
  <si>
    <t xml:space="preserve">主数据审批、变更日志、权限矩阵</t>
  </si>
  <si>
    <t xml:space="preserve">银行账户独立回拨验证</t>
  </si>
  <si>
    <t xml:space="preserve">仅凭邮件更换收款账户</t>
  </si>
  <si>
    <t xml:space="preserve">使用合同留存联系人或公开电话独立确认，禁止按变更邮件内号码验证</t>
  </si>
  <si>
    <t xml:space="preserve">回拨记录、录音/邮件、双人复核</t>
  </si>
  <si>
    <t xml:space="preserve">三单匹配与容差审批</t>
  </si>
  <si>
    <t xml:space="preserve">无PO、无收货或价格数量差异仍付款</t>
  </si>
  <si>
    <t xml:space="preserve">系统匹配PO、收货/验收与发票；超容差由采购和业务批准</t>
  </si>
  <si>
    <t xml:space="preserve">匹配报告、例外审批</t>
  </si>
  <si>
    <t xml:space="preserve">重复发票和付款控制</t>
  </si>
  <si>
    <t xml:space="preserve">同票不同格式、拆分或跨主体重复支付</t>
  </si>
  <si>
    <t xml:space="preserve">按发票号码、销方税号、金额、日期及银行账号组合查重</t>
  </si>
  <si>
    <t xml:space="preserve">重复检测日志、退款跟踪</t>
  </si>
  <si>
    <t xml:space="preserve">付款批次职责分离</t>
  </si>
  <si>
    <t xml:space="preserve">制单人可审批并网银放款</t>
  </si>
  <si>
    <t xml:space="preserve">制单、复核、授权和银行U盾分离；批次总额与明细核对</t>
  </si>
  <si>
    <t xml:space="preserve">付款申请、网银日志</t>
  </si>
  <si>
    <t xml:space="preserve">截止性与暂估控制</t>
  </si>
  <si>
    <t xml:space="preserve">用到票时间代替收货验收时间确认负债</t>
  </si>
  <si>
    <t xml:space="preserve">月末从GR、在途、服务验收和后续发票反向检查</t>
  </si>
  <si>
    <t xml:space="preserve">截止测试、GRNI清单</t>
  </si>
  <si>
    <t xml:space="preserve">供应商利益冲突声明</t>
  </si>
  <si>
    <t xml:space="preserve">员工或关联方隐瞒关系</t>
  </si>
  <si>
    <t xml:space="preserve">准入阶段收集受益所有人和员工关系声明，定期更新</t>
  </si>
  <si>
    <t xml:space="preserve">尽调、关联方清单</t>
  </si>
  <si>
    <t xml:space="preserve">付款优先级透明</t>
  </si>
  <si>
    <t xml:space="preserve">现金紧张时按个人关系插队</t>
  </si>
  <si>
    <t xml:space="preserve">书面规则综合法定到期、生产连续性、违约成本和折扣收益；例外审批</t>
  </si>
  <si>
    <t xml:space="preserve">付款排序表、例外审批</t>
  </si>
  <si>
    <t xml:space="preserve">应付Issue与Closure</t>
  </si>
  <si>
    <t xml:space="preserve">Resolved后仍需验证账务、付款、主数据和流程整改。</t>
  </si>
  <si>
    <t xml:space="preserve">Issue</t>
  </si>
  <si>
    <t xml:space="preserve">问题</t>
  </si>
  <si>
    <t xml:space="preserve">来源</t>
  </si>
  <si>
    <t xml:space="preserve">影响</t>
  </si>
  <si>
    <t xml:space="preserve">会计处理</t>
  </si>
  <si>
    <t xml:space="preserve">管理整改</t>
  </si>
  <si>
    <t xml:space="preserve">ISS-001</t>
  </si>
  <si>
    <t xml:space="preserve">宏达贸易</t>
  </si>
  <si>
    <t xml:space="preserve">改付个人账户且供应商已冻结</t>
  </si>
  <si>
    <t xml:space="preserve">付款前检查</t>
  </si>
  <si>
    <t xml:space="preserve">资金损失/欺诈</t>
  </si>
  <si>
    <t xml:space="preserve">原联系人独立核验并取得合法文件</t>
  </si>
  <si>
    <t xml:space="preserve">冻结付款和账户变更</t>
  </si>
  <si>
    <t xml:space="preserve">保持应付未清</t>
  </si>
  <si>
    <t xml:space="preserve">完善回拨控制</t>
  </si>
  <si>
    <t xml:space="preserve">财务经理</t>
  </si>
  <si>
    <t xml:space="preserve">ISS-002</t>
  </si>
  <si>
    <t xml:space="preserve">华南塑胶</t>
  </si>
  <si>
    <t xml:space="preserve">应付负余额61,000及质量争议</t>
  </si>
  <si>
    <t xml:space="preserve">月结</t>
  </si>
  <si>
    <t xml:space="preserve">列报/资金/争议</t>
  </si>
  <si>
    <t xml:space="preserve">穿透付款、退货和串户</t>
  </si>
  <si>
    <t xml:space="preserve">禁止跨供应商冲抵</t>
  </si>
  <si>
    <t xml:space="preserve">待事实确认后调账</t>
  </si>
  <si>
    <t xml:space="preserve">建立负余额月度扫描</t>
  </si>
  <si>
    <t xml:space="preserve">ISS-003</t>
  </si>
  <si>
    <t xml:space="preserve">东莞精工</t>
  </si>
  <si>
    <t xml:space="preserve">113,000元挂账18个月</t>
  </si>
  <si>
    <t xml:space="preserve">供应商对账</t>
  </si>
  <si>
    <t xml:space="preserve">错账/历史舞弊</t>
  </si>
  <si>
    <t xml:space="preserve">核对银行、批次和对账单</t>
  </si>
  <si>
    <t xml:space="preserve">暂停核销</t>
  </si>
  <si>
    <t xml:space="preserve">证据充分后更正</t>
  </si>
  <si>
    <t xml:space="preserve">年度函证与账龄清理</t>
  </si>
  <si>
    <t xml:space="preserve">In Progress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</si>
  <si>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</si>
  <si>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</si>
  <si>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</si>
  <si>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</si>
  <si>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</si>
  <si>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</si>
  <si>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</si>
  <si>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</si>
  <si>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</si>
  <si>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</si>
  <si>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</si>
  <si>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</si>
  <si>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</si>
  <si>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</si>
  <si>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</si>
  <si>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</si>
  <si>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</si>
  <si>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</si>
  <si>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</si>
  <si>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</si>
  <si>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</si>
  <si>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</si>
  <si>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</si>
  <si>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</si>
  <si>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</si>
  <si>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</si>
  <si>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</si>
  <si>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ISS-031</t>
  </si>
  <si>
    <t xml:space="preserve">ISS-032</t>
  </si>
  <si>
    <t xml:space="preserve">ISS-033</t>
  </si>
  <si>
    <t xml:space="preserve">ISS-034</t>
  </si>
  <si>
    <t xml:space="preserve">ISS-035</t>
  </si>
  <si>
    <t xml:space="preserve">ISS-036</t>
  </si>
  <si>
    <t xml:space="preserve">ISS-037</t>
  </si>
  <si>
    <t xml:space="preserve">ISS-038</t>
  </si>
  <si>
    <t xml:space="preserve">ISS-039</t>
  </si>
  <si>
    <t xml:space="preserve">ISS-040</t>
  </si>
  <si>
    <t xml:space="preserve">ISS-041</t>
  </si>
  <si>
    <t xml:space="preserve">ISS-042</t>
  </si>
  <si>
    <t xml:space="preserve">ISS-043</t>
  </si>
  <si>
    <t xml:space="preserve">ISS-044</t>
  </si>
  <si>
    <t xml:space="preserve">ISS-045</t>
  </si>
  <si>
    <t xml:space="preserve">ISS-046</t>
  </si>
  <si>
    <t xml:space="preserve">ISS-047</t>
  </si>
  <si>
    <t xml:space="preserve">ISS-048</t>
  </si>
  <si>
    <t xml:space="preserve">ISS-049</t>
  </si>
  <si>
    <t xml:space="preserve">ISS-050</t>
  </si>
  <si>
    <t xml:space="preserve">ISS-051</t>
  </si>
  <si>
    <t xml:space="preserve">ISS-052</t>
  </si>
  <si>
    <t xml:space="preserve">ISS-053</t>
  </si>
  <si>
    <t xml:space="preserve">ISS-054</t>
  </si>
  <si>
    <t xml:space="preserve">ISS-055</t>
  </si>
  <si>
    <t xml:space="preserve">ISS-056</t>
  </si>
  <si>
    <t xml:space="preserve">ISS-057</t>
  </si>
  <si>
    <t xml:space="preserve">ISS-058</t>
  </si>
  <si>
    <t xml:space="preserve">ISS-059</t>
  </si>
  <si>
    <t xml:space="preserve">ISS-060</t>
  </si>
  <si>
    <t xml:space="preserve">岗位责任矩阵</t>
  </si>
  <si>
    <t xml:space="preserve">业务负责需求和履约事实，财务负责数据、支付控制、核算和监督。</t>
  </si>
  <si>
    <t xml:space="preserve">执行</t>
  </si>
  <si>
    <t xml:space="preserve">协同</t>
  </si>
  <si>
    <t xml:space="preserve">批准</t>
  </si>
  <si>
    <t xml:space="preserve">供应商需求与采购策略</t>
  </si>
  <si>
    <t xml:space="preserve">采购负责人</t>
  </si>
  <si>
    <t xml:space="preserve">监控流程和关键风险</t>
  </si>
  <si>
    <t xml:space="preserve">需求部门/法务</t>
  </si>
  <si>
    <t xml:space="preserve">采购总监</t>
  </si>
  <si>
    <t xml:space="preserve">供应商准入与尽调</t>
  </si>
  <si>
    <t xml:space="preserve">采购/主数据管理员</t>
  </si>
  <si>
    <t xml:space="preserve">复核财税与关联方字段</t>
  </si>
  <si>
    <t xml:space="preserve">法务/质量/合规</t>
  </si>
  <si>
    <t xml:space="preserve">采购订单与合同</t>
  </si>
  <si>
    <t xml:space="preserve">采购</t>
  </si>
  <si>
    <t xml:space="preserve">检查付款、税价和结算条款</t>
  </si>
  <si>
    <t xml:space="preserve">授权审批人</t>
  </si>
  <si>
    <t xml:space="preserve">收货和验收</t>
  </si>
  <si>
    <t xml:space="preserve">仓库/需求部门</t>
  </si>
  <si>
    <t xml:space="preserve">监督未验收长期挂账</t>
  </si>
  <si>
    <t xml:space="preserve">质量/采购</t>
  </si>
  <si>
    <t xml:space="preserve">业务负责人</t>
  </si>
  <si>
    <t xml:space="preserve">发票接收和三单匹配</t>
  </si>
  <si>
    <t xml:space="preserve">AP会计</t>
  </si>
  <si>
    <t xml:space="preserve">复核例外、容差和截止性</t>
  </si>
  <si>
    <t xml:space="preserve">采购/仓库/税务</t>
  </si>
  <si>
    <t xml:space="preserve">暂估和冲销</t>
  </si>
  <si>
    <t xml:space="preserve">AP/成本会计</t>
  </si>
  <si>
    <t xml:space="preserve">复核完整性、账龄和差异</t>
  </si>
  <si>
    <t xml:space="preserve">仓库/采购</t>
  </si>
  <si>
    <t xml:space="preserve">付款计划</t>
  </si>
  <si>
    <t xml:space="preserve">AP/资金</t>
  </si>
  <si>
    <t xml:space="preserve">决定财务排序并揭示到期风险</t>
  </si>
  <si>
    <t xml:space="preserve">采购/业务</t>
  </si>
  <si>
    <t xml:space="preserve">付款执行</t>
  </si>
  <si>
    <t xml:space="preserve">资金/出纳</t>
  </si>
  <si>
    <t xml:space="preserve">复核审批、账户和防重复</t>
  </si>
  <si>
    <t xml:space="preserve">AP/采购</t>
  </si>
  <si>
    <t xml:space="preserve">复核重大差异及Closure</t>
  </si>
  <si>
    <t xml:space="preserve">供应商/仓库</t>
  </si>
  <si>
    <t xml:space="preserve">争议与索赔</t>
  </si>
  <si>
    <t xml:space="preserve">评估账务、现金及披露影响</t>
  </si>
  <si>
    <t xml:space="preserve">法务/质量</t>
  </si>
  <si>
    <t xml:space="preserve">供应商绩效和退出</t>
  </si>
  <si>
    <t xml:space="preserve">提供付款与异常数据</t>
  </si>
  <si>
    <t xml:space="preserve">质量/业务</t>
  </si>
  <si>
    <t xml:space="preserve">应付及供应商管理案例</t>
  </si>
  <si>
    <t xml:space="preserve">可用于面试、入职和月度复盘。</t>
  </si>
  <si>
    <t xml:space="preserve">编号</t>
  </si>
  <si>
    <t xml:space="preserve">场景</t>
  </si>
  <si>
    <t xml:space="preserve">第一步</t>
  </si>
  <si>
    <t xml:space="preserve">沟通对象</t>
  </si>
  <si>
    <t xml:space="preserve">处理方案</t>
  </si>
  <si>
    <t xml:space="preserve">升级条件</t>
  </si>
  <si>
    <t xml:space="preserve">我的回答</t>
  </si>
  <si>
    <t xml:space="preserve">AP-001</t>
  </si>
  <si>
    <t xml:space="preserve">原材料已入库113万元，月末未收到发票</t>
  </si>
  <si>
    <t xml:space="preserve">以收货和控制权事实确认负债，按不含可抵扣税的合理金额暂估；通常不暂估进项税</t>
  </si>
  <si>
    <t xml:space="preserve">采购/仓库/成本</t>
  </si>
  <si>
    <t xml:space="preserve">次月发票到达后冲暂估并按实际发票入账，分析价差</t>
  </si>
  <si>
    <t xml:space="preserve">60天仍未到票或金额重大</t>
  </si>
  <si>
    <t xml:space="preserve">AP-002</t>
  </si>
  <si>
    <t xml:space="preserve">发票已到但货物尚未到达</t>
  </si>
  <si>
    <t xml:space="preserve">先查控制权和贸易条款，不能见票即确认存货/成本</t>
  </si>
  <si>
    <t xml:space="preserve">采购/物流</t>
  </si>
  <si>
    <t xml:space="preserve">可在发票工作流挂起；若控制权已转移则结合在途物资处理</t>
  </si>
  <si>
    <t xml:space="preserve">供应商要求立即付款且无履约保障</t>
  </si>
  <si>
    <t xml:space="preserve">AP-003</t>
  </si>
  <si>
    <t xml:space="preserve">发票数量1000件，仓库只收980件</t>
  </si>
  <si>
    <t xml:space="preserve">冻结差异部分，确认是短装、在途、收货错误还是发票错误</t>
  </si>
  <si>
    <t xml:space="preserve">仓库/采购/供应商</t>
  </si>
  <si>
    <t xml:space="preserve">无争议部分按企业政策处理，差异部分退票、补货或索赔</t>
  </si>
  <si>
    <t xml:space="preserve">采购要求财务全额付款</t>
  </si>
  <si>
    <t xml:space="preserve">AP-004</t>
  </si>
  <si>
    <t xml:space="preserve">应付账款出现61,000元借方余额</t>
  </si>
  <si>
    <t xml:space="preserve">穿透未清项，判断预付、超付、退货退款、串户或错账，不机械重分类</t>
  </si>
  <si>
    <t xml:space="preserve">AP/资金/采购</t>
  </si>
  <si>
    <t xml:space="preserve">按真实实质转预付、其他应收、跨供应商更正或追回</t>
  </si>
  <si>
    <t xml:space="preserve">供应商否认余额或长期不清</t>
  </si>
  <si>
    <t xml:space="preserve">AP-005</t>
  </si>
  <si>
    <t xml:space="preserve">发票入账后发生采购退货</t>
  </si>
  <si>
    <t xml:space="preserve">取得退货出库、供应商确认和红字发票资料</t>
  </si>
  <si>
    <t xml:space="preserve">仓库/采购/税务</t>
  </si>
  <si>
    <t xml:space="preserve">冲减存货/成本和应付，按增值税规定处理进项扣减</t>
  </si>
  <si>
    <t xml:space="preserve">货已退但红票长期未办</t>
  </si>
  <si>
    <t xml:space="preserve">AP-006</t>
  </si>
  <si>
    <t xml:space="preserve">供应商邮件通知收款账户改为个人账户</t>
  </si>
  <si>
    <t xml:space="preserve">立即冻结付款，使用原留存联系人独立回拨核验</t>
  </si>
  <si>
    <t xml:space="preserve">采购/法务/供应商</t>
  </si>
  <si>
    <t xml:space="preserve">未经批准和充分证明不得改主数据或付款</t>
  </si>
  <si>
    <t xml:space="preserve">疑似邮箱入侵、账户主体不一致</t>
  </si>
  <si>
    <t xml:space="preserve">AP-007</t>
  </si>
  <si>
    <t xml:space="preserve">生产急料未走PO，要求当天付款</t>
  </si>
  <si>
    <t xml:space="preserve">先保证业务事实和授权，建立紧急采购例外而非事后补假资料</t>
  </si>
  <si>
    <t xml:space="preserve">生产/采购</t>
  </si>
  <si>
    <t xml:space="preserve">限额、两级审批、事后补齐及月度复盘；重复发生要改流程</t>
  </si>
  <si>
    <t xml:space="preserve">规避招标、关联方或大额拆分</t>
  </si>
  <si>
    <t xml:space="preserve">AP-008</t>
  </si>
  <si>
    <t xml:space="preserve">同一电子发票被两个报账人提交</t>
  </si>
  <si>
    <t xml:space="preserve">冻结第二笔并检查是否已付款、是否跨主体重复</t>
  </si>
  <si>
    <t xml:space="preserve">AP/申请人</t>
  </si>
  <si>
    <t xml:space="preserve">系统以销方税号+发票号+金额查重，错误入账及时冲销</t>
  </si>
  <si>
    <t xml:space="preserve">已重复支付且供应商不退款</t>
  </si>
  <si>
    <t xml:space="preserve">AP-009</t>
  </si>
  <si>
    <t xml:space="preserve">账上113,000元挂账18个月，供应商称早已收款</t>
  </si>
  <si>
    <t xml:space="preserve">核对银行流水、付款批次、供应商对账和核销记录</t>
  </si>
  <si>
    <t xml:space="preserve">资金/AP/供应商</t>
  </si>
  <si>
    <t xml:space="preserve">找到错核销或串户后调账；无法证实不得直接转营业外收入</t>
  </si>
  <si>
    <t xml:space="preserve">可能存在账外支付或历史舞弊</t>
  </si>
  <si>
    <t xml:space="preserve">AP-010</t>
  </si>
  <si>
    <t xml:space="preserve">质量问题拟扣供应商90,400元</t>
  </si>
  <si>
    <t xml:space="preserve">确认合同索赔权、质量证据和供应商接受程度</t>
  </si>
  <si>
    <t xml:space="preserve">质量/采购/法务</t>
  </si>
  <si>
    <t xml:space="preserve">无争议部分及时付款，争议金额单独跟踪；会计处理取决于事实和可执行性</t>
  </si>
  <si>
    <t xml:space="preserve">长期以质量名义拖欠全部款项</t>
  </si>
  <si>
    <t xml:space="preserve">AP-011</t>
  </si>
  <si>
    <t xml:space="preserve">应付中挂有员工报销、借款和押金</t>
  </si>
  <si>
    <t xml:space="preserve">识别对手方及经济实质，不能只因未来要付款就放应付账款</t>
  </si>
  <si>
    <t xml:space="preserve">总账/费用/资金</t>
  </si>
  <si>
    <t xml:space="preserve">分别转其他应付款、短期借款或其他适当科目</t>
  </si>
  <si>
    <t xml:space="preserve">重分类掩盖关联方或融资</t>
  </si>
  <si>
    <t xml:space="preserve">AP-012</t>
  </si>
  <si>
    <t xml:space="preserve">供应商要求支付给其指定的第三方</t>
  </si>
  <si>
    <t xml:space="preserve">核实合法依据、三方协议、债权转让或代收关系及税务资料</t>
  </si>
  <si>
    <t xml:space="preserve">采购/法务/税务</t>
  </si>
  <si>
    <t xml:space="preserve">获得完整授权和独立验证后按审批支付并保留闭环证据</t>
  </si>
  <si>
    <t xml:space="preserve">资金去向异常或对公转个人</t>
  </si>
  <si>
    <t xml:space="preserve">AP-013</t>
  </si>
  <si>
    <t xml:space="preserve">关联方供应商价格高于外部报价</t>
  </si>
  <si>
    <t xml:space="preserve">先确认关联关系、定价依据、审批和真实履约</t>
  </si>
  <si>
    <t xml:space="preserve">保存比价或成本加成证据，履行关联交易审批和披露</t>
  </si>
  <si>
    <t xml:space="preserve">利益输送、虚假采购或资金占用</t>
  </si>
  <si>
    <t xml:space="preserve">AP-014</t>
  </si>
  <si>
    <t xml:space="preserve">现金不足，供应商都在催款</t>
  </si>
  <si>
    <t xml:space="preserve">建立公开付款排序，量化停产、违约、法律、折扣和信用成本</t>
  </si>
  <si>
    <t xml:space="preserve">资金/采购/业务</t>
  </si>
  <si>
    <t xml:space="preserve">提交13周现金预测和三个资金情景，由授权人决定例外</t>
  </si>
  <si>
    <t xml:space="preserve">工资税款或关键供应无法保障</t>
  </si>
  <si>
    <t xml:space="preserve">AP-015</t>
  </si>
  <si>
    <t xml:space="preserve">大型企业拖欠中小供应商且以内部审批未完成为由拒付</t>
  </si>
  <si>
    <t xml:space="preserve">识别供应商规模、合同到期和无争议金额，提示新版支付条例约束</t>
  </si>
  <si>
    <t xml:space="preserve">采购/法务/管理层</t>
  </si>
  <si>
    <t xml:space="preserve">无争议到期款及时支付，逾期利息和公示影响纳入决策</t>
  </si>
  <si>
    <t xml:space="preserve">持续拖欠、强制票据或报复催款</t>
  </si>
  <si>
    <t xml:space="preserve">AP-016</t>
  </si>
  <si>
    <t xml:space="preserve">供应商发票金额高于PO但低于系统容差</t>
  </si>
  <si>
    <t xml:space="preserve">容差只是工作流阈值，不替代商业真实性判断</t>
  </si>
  <si>
    <t xml:space="preserve">采购/仓库</t>
  </si>
  <si>
    <t xml:space="preserve">查价格变更、运费或数量差；有依据再批准并更新订单</t>
  </si>
  <si>
    <t xml:space="preserve">采购频繁利用容差规避审批</t>
  </si>
  <si>
    <t xml:space="preserve">AP-017</t>
  </si>
  <si>
    <t xml:space="preserve">为取得现金折扣要求提前20天付款</t>
  </si>
  <si>
    <t xml:space="preserve">比较折扣年化收益、资金成本、供应风险与合同条件</t>
  </si>
  <si>
    <t xml:space="preserve">资金/采购</t>
  </si>
  <si>
    <t xml:space="preserve">收益显著且资金允许时审批提前付，并跟踪实际折扣</t>
  </si>
  <si>
    <t xml:space="preserve">提前付款无折扣或关联方优先</t>
  </si>
  <si>
    <t xml:space="preserve">AP-018</t>
  </si>
  <si>
    <t xml:space="preserve">供应商预付款后连续90天未交货</t>
  </si>
  <si>
    <t xml:space="preserve">核对合同里程碑、担保、履约进度和退款权</t>
  </si>
  <si>
    <t xml:space="preserve">采购/法务/项目</t>
  </si>
  <si>
    <t xml:space="preserve">冻结新增预付，要求履约、担保或退款并评估减值迹象</t>
  </si>
  <si>
    <t xml:space="preserve">供应商失联或经营异常</t>
  </si>
  <si>
    <t xml:space="preserve">法规、税务与内控资料</t>
  </si>
  <si>
    <t xml:space="preserve">实际处理时重新核对业务发生时有效规定。</t>
  </si>
  <si>
    <t xml:space="preserve">名称</t>
  </si>
  <si>
    <t xml:space="preserve">文件号</t>
  </si>
  <si>
    <t xml:space="preserve">关系</t>
  </si>
  <si>
    <t xml:space="preserve">官方网址</t>
  </si>
  <si>
    <t xml:space="preserve">企业内部控制应用指引第7号——采购业务</t>
  </si>
  <si>
    <t xml:space="preserve">财会〔2010〕11号配套指引</t>
  </si>
  <si>
    <t xml:space="preserve">请购、审批、购买、验收、付款和采购后评估的风险控制</t>
  </si>
  <si>
    <t xml:space="preserve">https://kjs.mof.gov.cn/zhengcefabu/201005/P020230421440664863663.pdf</t>
  </si>
  <si>
    <t xml:space="preserve">企业所得税税前扣除凭证管理办法</t>
  </si>
  <si>
    <t xml:space="preserve">国家税务总局公告2018年第28号</t>
  </si>
  <si>
    <t xml:space="preserve">税前扣除凭证真实性、合法性、关联性及补救规则</t>
  </si>
  <si>
    <t xml:space="preserve">https://fgk.chinatax.gov.cn/zcfgk/c100012/c5194804/content.html</t>
  </si>
  <si>
    <t xml:space="preserve">保障中小企业款项支付条例</t>
  </si>
  <si>
    <t xml:space="preserve">国务院令第802号</t>
  </si>
  <si>
    <t xml:space="preserve">2025-06-01施行；大型企业付款期限、无争议款、逾期利息及公示等</t>
  </si>
  <si>
    <t xml:space="preserve">https://www.miit.gov.cn/jgsj/zfs/xzfg/art/2025/art_d9b6cd05f3734869aa34caff247089ff.html</t>
  </si>
  <si>
    <t xml:space="preserve">中华人民共和国增值税法</t>
  </si>
  <si>
    <t xml:space="preserve">主席令第四十一号</t>
  </si>
  <si>
    <t xml:space="preserve">2026-01-01施行；进项税额与不得抵扣项目等法定框架</t>
  </si>
  <si>
    <t xml:space="preserve">https://www.npc.gov.cn/npc/c2/c30834/202412/t20241225_442015.html</t>
  </si>
  <si>
    <t xml:space="preserve">中华人民共和国增值税法实施条例</t>
  </si>
  <si>
    <t xml:space="preserve">国务院令第826号</t>
  </si>
  <si>
    <t xml:space="preserve">2026-01-01施行；进项用途、混合用途及转出等细化规则</t>
  </si>
  <si>
    <t xml:space="preserve">https://tianjin.chinatax.gov.cn/11200000000/0300/030004/03000418/20251231101843846.shtml</t>
  </si>
  <si>
    <t xml:space="preserve">中华人民共和国会计法（2024年修正）</t>
  </si>
  <si>
    <t xml:space="preserve">2024-07-01施行</t>
  </si>
  <si>
    <t xml:space="preserve">真实完整会计资料、内部监督和会计信息化</t>
  </si>
  <si>
    <t xml:space="preserve">https://www.mof.gov.cn/zhengwuxinxi/caizhengxinwen/202406/t20240629_3938355.htm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</si>
</sst>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¥#,##0"/>
    <numFmt numFmtId="166" formatCode="0.0%"/>
    <numFmt numFmtId="167" formatCode="yyyy\-mm\-dd"/>
  </numFmts>
  <fonts count="10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b val="true"/>
      <sz val="16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8"/>
      <color rgb="FFFFFFFF"/>
      <name val="Microsoft YaHei"/>
      <family val="0"/>
      <charset val="1"/>
    </font>
    <font>
      <sz val="8"/>
      <name val="Microsoft YaHei"/>
      <family val="0"/>
      <charset val="1"/>
    </font>
    <font>
      <sz val="11"/>
      <name val="Noto Sans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vances" displayName="Advances" ref="A5:K45" headerRowCount="1" totalsRowCount="0" totalsRowShown="0">
  <tableColumns count="11">
    <tableColumn id="1" name="预付ID"/>
    <tableColumn id="2" name="编码"/>
    <tableColumn id="3" name="供应商"/>
    <tableColumn id="4" name="合同/PO"/>
    <tableColumn id="5" name="余额"/>
    <tableColumn id="6" name="预付日"/>
    <tableColumn id="7" name="约定交付日"/>
    <tableColumn id="8" name="履约状态"/>
    <tableColumn id="9" name="Owner"/>
    <tableColumn id="10" name="状态"/>
    <tableColumn id="11" name="处理"/>
  </tableColumns>
</table>
</file>

<file path=xl/tables/table2.xml><?xml version="1.0" encoding="utf-8"?>
<table xmlns="http://schemas.openxmlformats.org/spreadsheetml/2006/main" id="2" name="APDetail" displayName="APDetail" ref="A5:R23" headerRowCount="1" totalsRowCount="0" totalsRowShown="0">
  <tableColumns count="18">
    <tableColumn id="1" name="应付ID"/>
    <tableColumn id="2" name="供应商编码"/>
    <tableColumn id="3" name="供应商"/>
    <tableColumn id="4" name="业务日"/>
    <tableColumn id="5" name="到期日"/>
    <tableColumn id="6" name="PO"/>
    <tableColumn id="7" name="收货/验收"/>
    <tableColumn id="8" name="发票"/>
    <tableColumn id="9" name="原值"/>
    <tableColumn id="10" name="已付"/>
    <tableColumn id="11" name="余额"/>
    <tableColumn id="12" name="业务状态"/>
    <tableColumn id="13" name="争议"/>
    <tableColumn id="14" name="责任部门"/>
    <tableColumn id="15" name="备注"/>
    <tableColumn id="16" name="逾期天数"/>
    <tableColumn id="17" name="账龄"/>
    <tableColumn id="18" name="到期状态"/>
  </tableColumns>
</table>
</file>

<file path=xl/tables/table3.xml><?xml version="1.0" encoding="utf-8"?>
<table xmlns="http://schemas.openxmlformats.org/spreadsheetml/2006/main" id="3" name="Approvals" displayName="Approvals" ref="A5:M55" headerRowCount="1" totalsRowCount="0" totalsRowShown="0">
  <tableColumns count="13">
    <tableColumn id="1" name="申请号"/>
    <tableColumn id="2" name="供应商"/>
    <tableColumn id="3" name="应付ID"/>
    <tableColumn id="4" name="付款事由"/>
    <tableColumn id="5" name="金额"/>
    <tableColumn id="6" name="到期/例外依据"/>
    <tableColumn id="7" name="匹配状态"/>
    <tableColumn id="8" name="收款账户"/>
    <tableColumn id="9" name="账户变更标识"/>
    <tableColumn id="10" name="申请人"/>
    <tableColumn id="11" name="审批状态"/>
    <tableColumn id="12" name="网银流水"/>
    <tableColumn id="13" name="退汇/退款"/>
  </tableColumns>
</table>
</file>

<file path=xl/tables/table4.xml><?xml version="1.0" encoding="utf-8"?>
<table xmlns="http://schemas.openxmlformats.org/spreadsheetml/2006/main" id="4" name="BankChanges" displayName="BankChanges" ref="A5:L45" headerRowCount="1" totalsRowCount="0" totalsRowShown="0">
  <tableColumns count="12">
    <tableColumn id="1" name="变更ID"/>
    <tableColumn id="2" name="供应商编码"/>
    <tableColumn id="3" name="供应商"/>
    <tableColumn id="4" name="原账户"/>
    <tableColumn id="5" name="新账户"/>
    <tableColumn id="6" name="申请日期"/>
    <tableColumn id="7" name="申请渠道"/>
    <tableColumn id="8" name="独立回拨"/>
    <tableColumn id="9" name="复核人"/>
    <tableColumn id="10" name="状态"/>
    <tableColumn id="11" name="批准日"/>
    <tableColumn id="12" name="临时控制"/>
  </tableColumns>
</table>
</file>

<file path=xl/tables/table5.xml><?xml version="1.0" encoding="utf-8"?>
<table xmlns="http://schemas.openxmlformats.org/spreadsheetml/2006/main" id="5" name="Cases" displayName="Cases" ref="A5:G23" headerRowCount="1" totalsRowCount="0" totalsRowShown="0">
  <tableColumns count="7">
    <tableColumn id="1" name="编号"/>
    <tableColumn id="2" name="场景"/>
    <tableColumn id="3" name="第一步"/>
    <tableColumn id="4" name="沟通对象"/>
    <tableColumn id="5" name="处理方案"/>
    <tableColumn id="6" name="升级条件"/>
    <tableColumn id="7" name="我的回答"/>
  </tableColumns>
</table>
</file>

<file path=xl/tables/table6.xml><?xml version="1.0" encoding="utf-8"?>
<table xmlns="http://schemas.openxmlformats.org/spreadsheetml/2006/main" id="6" name="Disputes" displayName="Disputes" ref="A5:M46" headerRowCount="1" totalsRowCount="0" totalsRowShown="0">
  <tableColumns count="13">
    <tableColumn id="1" name="争议ID"/>
    <tableColumn id="2" name="应付ID"/>
    <tableColumn id="3" name="供应商"/>
    <tableColumn id="4" name="争议金额"/>
    <tableColumn id="5" name="事项"/>
    <tableColumn id="6" name="供应商主张"/>
    <tableColumn id="7" name="公司判断"/>
    <tableColumn id="8" name="合同依据"/>
    <tableColumn id="9" name="Owner"/>
    <tableColumn id="10" name="下一步"/>
    <tableColumn id="11" name="截止日"/>
    <tableColumn id="12" name="状态"/>
    <tableColumn id="13" name="会计/付款影响"/>
  </tableColumns>
</table>
</file>

<file path=xl/tables/table7.xml><?xml version="1.0" encoding="utf-8"?>
<table xmlns="http://schemas.openxmlformats.org/spreadsheetml/2006/main" id="7" name="GRNI" displayName="GRNI" ref="A5:L45" headerRowCount="1" totalsRowCount="0" totalsRowShown="0">
  <tableColumns count="12">
    <tableColumn id="1" name="GRNI ID"/>
    <tableColumn id="2" name="供应商编码"/>
    <tableColumn id="3" name="供应商"/>
    <tableColumn id="4" name="PO"/>
    <tableColumn id="5" name="收货/验收"/>
    <tableColumn id="6" name="收货日"/>
    <tableColumn id="7" name="暂估金额"/>
    <tableColumn id="8" name="账龄天数"/>
    <tableColumn id="9" name="预计到票日"/>
    <tableColumn id="10" name="责任部门"/>
    <tableColumn id="11" name="状态"/>
    <tableColumn id="12" name="差异/处理"/>
  </tableColumns>
</table>
</file>

<file path=xl/tables/table8.xml><?xml version="1.0" encoding="utf-8"?>
<table xmlns="http://schemas.openxmlformats.org/spreadsheetml/2006/main" id="8" name="Issues" displayName="Issues" ref="A5:O65" headerRowCount="1" totalsRowCount="0" totalsRowShown="0">
  <tableColumns count="15">
    <tableColumn id="1" name="Issue"/>
    <tableColumn id="2" name="供应商"/>
    <tableColumn id="3" name="问题"/>
    <tableColumn id="4" name="来源"/>
    <tableColumn id="5" name="金额"/>
    <tableColumn id="6" name="影响"/>
    <tableColumn id="7" name="Owner"/>
    <tableColumn id="8" name="下一步"/>
    <tableColumn id="9" name="截止日"/>
    <tableColumn id="10" name="临时控制"/>
    <tableColumn id="11" name="会计处理"/>
    <tableColumn id="12" name="管理整改"/>
    <tableColumn id="13" name="复核人"/>
    <tableColumn id="14" name="状态"/>
    <tableColumn id="15" name="Closure证据"/>
  </tableColumns>
</table>
</file>

<file path=xl/tables/table9.xml><?xml version="1.0" encoding="utf-8"?>
<table xmlns="http://schemas.openxmlformats.org/spreadsheetml/2006/main" id="9" name="Match" displayName="Match" ref="A5:M23" headerRowCount="1" totalsRowCount="0" totalsRowShown="0">
  <tableColumns count="13">
    <tableColumn id="1" name="匹配ID"/>
    <tableColumn id="2" name="应付ID"/>
    <tableColumn id="3" name="供应商"/>
    <tableColumn id="4" name="PO"/>
    <tableColumn id="5" name="收货/验收"/>
    <tableColumn id="6" name="发票"/>
    <tableColumn id="7" name="PO金额"/>
    <tableColumn id="8" name="收货金额"/>
    <tableColumn id="9" name="发票金额"/>
    <tableColumn id="10" name="匹配结果"/>
    <tableColumn id="11" name="是否争议"/>
    <tableColumn id="12" name="Owner"/>
    <tableColumn id="13" name="差异处理"/>
  </tableColumns>
</table>
</file>

<file path=xl/tables/table10.xml><?xml version="1.0" encoding="utf-8"?>
<table xmlns="http://schemas.openxmlformats.org/spreadsheetml/2006/main" id="10" name="Metrics" displayName="Metrics" ref="A5:E14" headerRowCount="1" totalsRowCount="0" totalsRowShown="0">
  <tableColumns count="5">
    <tableColumn id="1" name="指标"/>
    <tableColumn id="2" name="定义"/>
    <tableColumn id="3" name="管理意义"/>
    <tableColumn id="4" name="恶化原因"/>
    <tableColumn id="5" name="下钻方向"/>
  </tableColumns>
</table>
</file>

<file path=xl/tables/table11.xml><?xml version="1.0" encoding="utf-8"?>
<table xmlns="http://schemas.openxmlformats.org/spreadsheetml/2006/main" id="11" name="MonthEnd" displayName="MonthEnd" ref="A5:H14" headerRowCount="1" totalsRowCount="0" totalsRowShown="0">
  <tableColumns count="8">
    <tableColumn id="1" name="明确动作"/>
    <tableColumn id="2" name="责任人"/>
    <tableColumn id="3" name="期限"/>
    <tableColumn id="4" name="证据"/>
    <tableColumn id="5" name="关闭标准"/>
    <tableColumn id="6" name="完成状态"/>
    <tableColumn id="7" name="复核人"/>
    <tableColumn id="8" name="复核日"/>
  </tableColumns>
</table>
</file>

<file path=xl/tables/table12.xml><?xml version="1.0" encoding="utf-8"?>
<table xmlns="http://schemas.openxmlformats.org/spreadsheetml/2006/main" id="12" name="PayPlan" displayName="PayPlan" ref="A5:K63" headerRowCount="1" totalsRowCount="0" totalsRowShown="0">
  <tableColumns count="11">
    <tableColumn id="1" name="计划ID"/>
    <tableColumn id="2" name="应付ID"/>
    <tableColumn id="3" name="供应商"/>
    <tableColumn id="4" name="到期日"/>
    <tableColumn id="5" name="余额"/>
    <tableColumn id="6" name="业务状态"/>
    <tableColumn id="7" name="争议"/>
    <tableColumn id="8" name="责任部门"/>
    <tableColumn id="9" name="优先级/理由"/>
    <tableColumn id="10" name="计划付款日"/>
    <tableColumn id="11" name="状态"/>
  </tableColumns>
</table>
</file>

<file path=xl/tables/table13.xml><?xml version="1.0" encoding="utf-8"?>
<table xmlns="http://schemas.openxmlformats.org/spreadsheetml/2006/main" id="13" name="RACI" displayName="RACI" ref="A5:E16" headerRowCount="1" totalsRowCount="0" totalsRowShown="0">
  <tableColumns count="5">
    <tableColumn id="1" name="事项"/>
    <tableColumn id="2" name="执行"/>
    <tableColumn id="3" name="财务主管"/>
    <tableColumn id="4" name="协同"/>
    <tableColumn id="5" name="批准"/>
  </tableColumns>
</table>
</file>

<file path=xl/tables/table14.xml><?xml version="1.0" encoding="utf-8"?>
<table xmlns="http://schemas.openxmlformats.org/spreadsheetml/2006/main" id="14" name="Reconciliation" displayName="Reconciliation" ref="A5:K17" headerRowCount="1" totalsRowCount="0" totalsRowShown="0">
  <tableColumns count="11">
    <tableColumn id="1" name="对账ID"/>
    <tableColumn id="2" name="编码"/>
    <tableColumn id="3" name="供应商"/>
    <tableColumn id="4" name="账面余额"/>
    <tableColumn id="5" name="对账单余额"/>
    <tableColumn id="6" name="差异"/>
    <tableColumn id="7" name="差异类型"/>
    <tableColumn id="8" name="处理动作"/>
    <tableColumn id="9" name="责任部门"/>
    <tableColumn id="10" name="状态"/>
    <tableColumn id="11" name="Closure证据"/>
  </tableColumns>
</table>
</file>

<file path=xl/tables/table15.xml><?xml version="1.0" encoding="utf-8"?>
<table xmlns="http://schemas.openxmlformats.org/spreadsheetml/2006/main" id="15" name="RedFlags" displayName="RedFlags" ref="A5:D13" headerRowCount="1" totalsRowCount="0" totalsRowShown="0">
  <tableColumns count="4">
    <tableColumn id="1" name="控制"/>
    <tableColumn id="2" name="风险"/>
    <tableColumn id="3" name="控制动作"/>
    <tableColumn id="4" name="证据"/>
  </tableColumns>
</table>
</file>

<file path=xl/tables/table16.xml><?xml version="1.0" encoding="utf-8"?>
<table xmlns="http://schemas.openxmlformats.org/spreadsheetml/2006/main" id="16" name="Sources" displayName="Sources" ref="A5:D11" headerRowCount="1" totalsRowCount="0" totalsRowShown="0">
  <tableColumns count="4">
    <tableColumn id="1" name="名称"/>
    <tableColumn id="2" name="文件号"/>
    <tableColumn id="3" name="关系"/>
    <tableColumn id="4" name="官方网址"/>
  </tableColumns>
</table>
</file>

<file path=xl/tables/table17.xml><?xml version="1.0" encoding="utf-8"?>
<table xmlns="http://schemas.openxmlformats.org/spreadsheetml/2006/main" id="17" name="Suppliers" displayName="Suppliers" ref="A5:L17" headerRowCount="1" totalsRowCount="0" totalsRowShown="0">
  <tableColumns count="12">
    <tableColumn id="1" name="编码"/>
    <tableColumn id="2" name="供应商名称"/>
    <tableColumn id="3" name="类别"/>
    <tableColumn id="4" name="等级"/>
    <tableColumn id="5" name="纳税人类型"/>
    <tableColumn id="6" name="账期"/>
    <tableColumn id="7" name="额度"/>
    <tableColumn id="8" name="状态"/>
    <tableColumn id="9" name="责任部门"/>
    <tableColumn id="10" name="银行账户"/>
    <tableColumn id="11" name="复评到期日"/>
    <tableColumn id="12" name="说明"/>
  </tableColumns>
</table>
</file>

<file path=xl/tables/table18.xml><?xml version="1.0" encoding="utf-8"?>
<table xmlns="http://schemas.openxmlformats.org/spreadsheetml/2006/main" id="18" name="Takeover" displayName="Takeover" ref="A5:E13" headerRowCount="1" totalsRowCount="0" totalsRowShown="0">
  <tableColumns count="5">
    <tableColumn id="1" name="阶段"/>
    <tableColumn id="2" name="事项"/>
    <tableColumn id="3" name="检查动作"/>
    <tableColumn id="4" name="发现/证据"/>
    <tableColumn id="5" name="状态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A6" s="4" t="s">
        <v>6</v>
      </c>
      <c r="B6" s="5" t="n">
        <f aca="false">SUM('02-应付明细'!K6:K23)</f>
        <v>12707500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SUMIF('02-应付明细'!R6:R23,"逾期",'02-应付明细'!K6:K23)</f>
        <v>4915000</v>
      </c>
      <c r="C7" s="4" t="s">
        <v>10</v>
      </c>
      <c r="D7" s="4" t="s">
        <v>11</v>
      </c>
    </row>
    <row r="8" customFormat="false" ht="15" hidden="false" customHeight="false" outlineLevel="0" collapsed="false">
      <c r="A8" s="4" t="s">
        <v>12</v>
      </c>
      <c r="B8" s="6" t="n">
        <f aca="false">IF(B6=0,0,B7/B6)</f>
        <v>0.386779460948259</v>
      </c>
      <c r="C8" s="4" t="n">
        <v>0.1</v>
      </c>
      <c r="D8" s="4" t="s">
        <v>13</v>
      </c>
    </row>
    <row r="9" customFormat="false" ht="15" hidden="false" customHeight="false" outlineLevel="0" collapsed="false">
      <c r="A9" s="4" t="s">
        <v>14</v>
      </c>
      <c r="B9" s="5" t="n">
        <f aca="false">SUMIFS('02-应付明细'!K6:K23,'02-应付明细'!E6:E23,"&gt;="&amp;DATE(2026,9,1),'02-应付明细'!E6:E23,"&lt;="&amp;DATE(2026,9,30),'02-应付明细'!K6:K23,"&gt;0")</f>
        <v>5480500</v>
      </c>
      <c r="C9" s="4" t="s">
        <v>15</v>
      </c>
      <c r="D9" s="4" t="s">
        <v>16</v>
      </c>
    </row>
    <row r="10" customFormat="false" ht="15" hidden="false" customHeight="false" outlineLevel="0" collapsed="false">
      <c r="A10" s="4" t="s">
        <v>17</v>
      </c>
      <c r="B10" s="5" t="n">
        <f aca="false">SUMIF('02-应付明细'!L6:L23,"暂估未到票",'02-应付明细'!K6:K23)</f>
        <v>3390000</v>
      </c>
      <c r="C10" s="4" t="s">
        <v>18</v>
      </c>
      <c r="D10" s="4" t="s">
        <v>19</v>
      </c>
    </row>
    <row r="11" customFormat="false" ht="15" hidden="false" customHeight="false" outlineLevel="0" collapsed="false">
      <c r="A11" s="4" t="s">
        <v>20</v>
      </c>
      <c r="B11" s="5" t="n">
        <f aca="false">SUMIF('02-应付明细'!M6:M23,"是",'02-应付明细'!K6:K23)</f>
        <v>1634000</v>
      </c>
      <c r="C11" s="4" t="s">
        <v>10</v>
      </c>
      <c r="D11" s="4" t="s">
        <v>21</v>
      </c>
    </row>
    <row r="12" customFormat="false" ht="15" hidden="false" customHeight="false" outlineLevel="0" collapsed="false">
      <c r="A12" s="4" t="s">
        <v>22</v>
      </c>
      <c r="B12" s="5" t="n">
        <f aca="false">-SUMIF('02-应付明细'!K6:K23,"&lt;0",'02-应付明细'!K6:K23)</f>
        <v>61000</v>
      </c>
      <c r="C12" s="4" t="n">
        <v>0</v>
      </c>
      <c r="D12" s="4" t="s">
        <v>23</v>
      </c>
    </row>
    <row r="13" customFormat="false" ht="15" hidden="false" customHeight="false" outlineLevel="0" collapsed="false">
      <c r="A13" s="4" t="s">
        <v>24</v>
      </c>
      <c r="B13" s="5" t="n">
        <f aca="false">COUNTIF('01-供应商主数据'!H6:H17,"冻结")</f>
        <v>1</v>
      </c>
      <c r="C13" s="4" t="n">
        <v>0</v>
      </c>
      <c r="D13" s="4" t="s">
        <v>25</v>
      </c>
    </row>
    <row r="14" customFormat="false" ht="15" hidden="false" customHeight="false" outlineLevel="0" collapsed="false">
      <c r="A14" s="4" t="s">
        <v>26</v>
      </c>
      <c r="B14" s="5" t="n">
        <f aca="false">COUNTIF('07-账户变更'!J6:J45,"待核验")</f>
        <v>1</v>
      </c>
      <c r="C14" s="4" t="n">
        <v>0</v>
      </c>
      <c r="D14" s="4" t="s">
        <v>27</v>
      </c>
    </row>
    <row r="15" customFormat="false" ht="15" hidden="false" customHeight="false" outlineLevel="0" collapsed="false">
      <c r="A15" s="4" t="s">
        <v>28</v>
      </c>
      <c r="B15" s="5" t="n">
        <f aca="false">SUMIF('10-预付跟踪'!J6:J45,"逾期",'10-预付跟踪'!E6:E45)</f>
        <v>300000</v>
      </c>
      <c r="C15" s="4" t="n">
        <v>0</v>
      </c>
      <c r="D15" s="4" t="s">
        <v>29</v>
      </c>
    </row>
    <row r="16" customFormat="false" ht="15" hidden="false" customHeight="false" outlineLevel="0" collapsed="false">
      <c r="A16" s="4" t="s">
        <v>30</v>
      </c>
      <c r="B16" s="5" t="n">
        <f aca="false">COUNTIF('15-Issue Log'!N6:N65,"Open")</f>
        <v>2</v>
      </c>
      <c r="C16" s="4" t="n">
        <v>0</v>
      </c>
      <c r="D16" s="4" t="s">
        <v>31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38"/>
  </cols>
  <sheetData>
    <row r="1" customFormat="false" ht="30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</row>
    <row r="6" customFormat="false" ht="15" hidden="false" customHeight="false" outlineLevel="0" collapsed="false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7" t="n">
        <v>8000000</v>
      </c>
      <c r="H6" s="8" t="s">
        <v>52</v>
      </c>
      <c r="I6" s="8" t="s">
        <v>53</v>
      </c>
      <c r="J6" s="8" t="s">
        <v>54</v>
      </c>
      <c r="K6" s="9" t="s">
        <v>55</v>
      </c>
      <c r="L6" s="8" t="s">
        <v>56</v>
      </c>
    </row>
    <row r="7" customFormat="false" ht="15" hidden="false" customHeight="false" outlineLevel="0" collapsed="false">
      <c r="A7" s="4" t="s">
        <v>57</v>
      </c>
      <c r="B7" s="4" t="s">
        <v>58</v>
      </c>
      <c r="C7" s="4" t="s">
        <v>59</v>
      </c>
      <c r="D7" s="4" t="s">
        <v>49</v>
      </c>
      <c r="E7" s="4" t="s">
        <v>50</v>
      </c>
      <c r="F7" s="4" t="s">
        <v>60</v>
      </c>
      <c r="G7" s="7" t="n">
        <v>4500000</v>
      </c>
      <c r="H7" s="8" t="s">
        <v>52</v>
      </c>
      <c r="I7" s="8" t="s">
        <v>53</v>
      </c>
      <c r="J7" s="8" t="s">
        <v>61</v>
      </c>
      <c r="K7" s="9" t="s">
        <v>62</v>
      </c>
      <c r="L7" s="8" t="s">
        <v>63</v>
      </c>
    </row>
    <row r="8" customFormat="false" ht="15" hidden="false" customHeight="false" outlineLevel="0" collapsed="false">
      <c r="A8" s="4" t="s">
        <v>64</v>
      </c>
      <c r="B8" s="4" t="s">
        <v>65</v>
      </c>
      <c r="C8" s="4" t="s">
        <v>66</v>
      </c>
      <c r="D8" s="4" t="s">
        <v>67</v>
      </c>
      <c r="E8" s="4" t="s">
        <v>50</v>
      </c>
      <c r="F8" s="4" t="s">
        <v>68</v>
      </c>
      <c r="G8" s="7" t="n">
        <v>2800000</v>
      </c>
      <c r="H8" s="8" t="s">
        <v>69</v>
      </c>
      <c r="I8" s="8" t="s">
        <v>70</v>
      </c>
      <c r="J8" s="8" t="s">
        <v>71</v>
      </c>
      <c r="K8" s="9" t="s">
        <v>72</v>
      </c>
      <c r="L8" s="8" t="s">
        <v>73</v>
      </c>
    </row>
    <row r="9" customFormat="false" ht="15" hidden="false" customHeight="false" outlineLevel="0" collapsed="false">
      <c r="A9" s="4" t="s">
        <v>74</v>
      </c>
      <c r="B9" s="4" t="s">
        <v>75</v>
      </c>
      <c r="C9" s="4" t="s">
        <v>76</v>
      </c>
      <c r="D9" s="4" t="s">
        <v>67</v>
      </c>
      <c r="E9" s="4" t="s">
        <v>50</v>
      </c>
      <c r="F9" s="4" t="s">
        <v>77</v>
      </c>
      <c r="G9" s="7" t="n">
        <v>1200000</v>
      </c>
      <c r="H9" s="8" t="s">
        <v>52</v>
      </c>
      <c r="I9" s="8" t="s">
        <v>78</v>
      </c>
      <c r="J9" s="8" t="s">
        <v>79</v>
      </c>
      <c r="K9" s="9" t="s">
        <v>80</v>
      </c>
      <c r="L9" s="8" t="s">
        <v>81</v>
      </c>
    </row>
    <row r="10" customFormat="false" ht="15" hidden="false" customHeight="false" outlineLevel="0" collapsed="false">
      <c r="A10" s="4" t="s">
        <v>82</v>
      </c>
      <c r="B10" s="4" t="s">
        <v>83</v>
      </c>
      <c r="C10" s="4" t="s">
        <v>84</v>
      </c>
      <c r="D10" s="4" t="s">
        <v>67</v>
      </c>
      <c r="E10" s="4" t="s">
        <v>50</v>
      </c>
      <c r="F10" s="4" t="s">
        <v>85</v>
      </c>
      <c r="G10" s="7" t="n">
        <v>1000000</v>
      </c>
      <c r="H10" s="8" t="s">
        <v>52</v>
      </c>
      <c r="I10" s="8" t="s">
        <v>86</v>
      </c>
      <c r="J10" s="8" t="s">
        <v>87</v>
      </c>
      <c r="K10" s="9" t="s">
        <v>88</v>
      </c>
      <c r="L10" s="8" t="s">
        <v>89</v>
      </c>
    </row>
    <row r="11" customFormat="false" ht="15" hidden="false" customHeight="false" outlineLevel="0" collapsed="false">
      <c r="A11" s="4" t="s">
        <v>90</v>
      </c>
      <c r="B11" s="4" t="s">
        <v>91</v>
      </c>
      <c r="C11" s="4" t="s">
        <v>92</v>
      </c>
      <c r="D11" s="4" t="s">
        <v>93</v>
      </c>
      <c r="E11" s="4" t="s">
        <v>50</v>
      </c>
      <c r="F11" s="4" t="s">
        <v>94</v>
      </c>
      <c r="G11" s="7" t="n">
        <v>600000</v>
      </c>
      <c r="H11" s="8" t="s">
        <v>69</v>
      </c>
      <c r="I11" s="8" t="s">
        <v>95</v>
      </c>
      <c r="J11" s="8" t="s">
        <v>96</v>
      </c>
      <c r="K11" s="9" t="s">
        <v>97</v>
      </c>
      <c r="L11" s="8" t="s">
        <v>98</v>
      </c>
    </row>
    <row r="12" customFormat="false" ht="15" hidden="false" customHeight="false" outlineLevel="0" collapsed="false">
      <c r="A12" s="4" t="s">
        <v>99</v>
      </c>
      <c r="B12" s="4" t="s">
        <v>100</v>
      </c>
      <c r="C12" s="4" t="s">
        <v>101</v>
      </c>
      <c r="D12" s="4" t="s">
        <v>49</v>
      </c>
      <c r="E12" s="4" t="s">
        <v>50</v>
      </c>
      <c r="F12" s="4" t="s">
        <v>102</v>
      </c>
      <c r="G12" s="7" t="n">
        <v>6000000</v>
      </c>
      <c r="H12" s="8" t="s">
        <v>52</v>
      </c>
      <c r="I12" s="8" t="s">
        <v>103</v>
      </c>
      <c r="J12" s="8" t="s">
        <v>104</v>
      </c>
      <c r="K12" s="9" t="s">
        <v>105</v>
      </c>
      <c r="L12" s="8" t="s">
        <v>106</v>
      </c>
    </row>
    <row r="13" customFormat="false" ht="15" hidden="false" customHeight="false" outlineLevel="0" collapsed="false">
      <c r="A13" s="4" t="s">
        <v>107</v>
      </c>
      <c r="B13" s="4" t="s">
        <v>108</v>
      </c>
      <c r="C13" s="4" t="s">
        <v>109</v>
      </c>
      <c r="D13" s="4" t="s">
        <v>67</v>
      </c>
      <c r="E13" s="4" t="s">
        <v>50</v>
      </c>
      <c r="F13" s="4" t="s">
        <v>60</v>
      </c>
      <c r="G13" s="7" t="n">
        <v>1500000</v>
      </c>
      <c r="H13" s="8" t="s">
        <v>52</v>
      </c>
      <c r="I13" s="8" t="s">
        <v>70</v>
      </c>
      <c r="J13" s="8" t="s">
        <v>110</v>
      </c>
      <c r="K13" s="9" t="s">
        <v>55</v>
      </c>
      <c r="L13" s="8" t="s">
        <v>111</v>
      </c>
    </row>
    <row r="14" customFormat="false" ht="15" hidden="false" customHeight="false" outlineLevel="0" collapsed="false">
      <c r="A14" s="4" t="s">
        <v>112</v>
      </c>
      <c r="B14" s="4" t="s">
        <v>113</v>
      </c>
      <c r="C14" s="4" t="s">
        <v>114</v>
      </c>
      <c r="D14" s="4" t="s">
        <v>49</v>
      </c>
      <c r="E14" s="4" t="s">
        <v>50</v>
      </c>
      <c r="F14" s="4" t="s">
        <v>115</v>
      </c>
      <c r="G14" s="7" t="n">
        <v>2500000</v>
      </c>
      <c r="H14" s="8" t="s">
        <v>52</v>
      </c>
      <c r="I14" s="8" t="s">
        <v>116</v>
      </c>
      <c r="J14" s="8" t="s">
        <v>117</v>
      </c>
      <c r="K14" s="9" t="s">
        <v>55</v>
      </c>
      <c r="L14" s="8" t="s">
        <v>118</v>
      </c>
    </row>
    <row r="15" customFormat="false" ht="15" hidden="false" customHeight="false" outlineLevel="0" collapsed="false">
      <c r="A15" s="4" t="s">
        <v>119</v>
      </c>
      <c r="B15" s="4" t="s">
        <v>120</v>
      </c>
      <c r="C15" s="4" t="s">
        <v>121</v>
      </c>
      <c r="D15" s="4" t="s">
        <v>67</v>
      </c>
      <c r="E15" s="4" t="s">
        <v>50</v>
      </c>
      <c r="F15" s="4" t="s">
        <v>94</v>
      </c>
      <c r="G15" s="7" t="n">
        <v>1800000</v>
      </c>
      <c r="H15" s="8" t="s">
        <v>52</v>
      </c>
      <c r="I15" s="8" t="s">
        <v>122</v>
      </c>
      <c r="J15" s="8" t="s">
        <v>123</v>
      </c>
      <c r="K15" s="9" t="s">
        <v>62</v>
      </c>
      <c r="L15" s="8" t="s">
        <v>124</v>
      </c>
    </row>
    <row r="16" customFormat="false" ht="15" hidden="false" customHeight="false" outlineLevel="0" collapsed="false">
      <c r="A16" s="4" t="s">
        <v>125</v>
      </c>
      <c r="B16" s="4" t="s">
        <v>126</v>
      </c>
      <c r="C16" s="4" t="s">
        <v>127</v>
      </c>
      <c r="D16" s="4" t="s">
        <v>128</v>
      </c>
      <c r="E16" s="4" t="s">
        <v>50</v>
      </c>
      <c r="F16" s="4" t="s">
        <v>68</v>
      </c>
      <c r="G16" s="7" t="n">
        <v>500000</v>
      </c>
      <c r="H16" s="8" t="s">
        <v>129</v>
      </c>
      <c r="I16" s="8" t="s">
        <v>70</v>
      </c>
      <c r="J16" s="8" t="s">
        <v>130</v>
      </c>
      <c r="K16" s="9" t="s">
        <v>131</v>
      </c>
      <c r="L16" s="8" t="s">
        <v>132</v>
      </c>
    </row>
    <row r="17" customFormat="false" ht="15" hidden="false" customHeight="false" outlineLevel="0" collapsed="false">
      <c r="A17" s="4" t="s">
        <v>133</v>
      </c>
      <c r="B17" s="4" t="s">
        <v>134</v>
      </c>
      <c r="C17" s="4" t="s">
        <v>135</v>
      </c>
      <c r="D17" s="4" t="s">
        <v>67</v>
      </c>
      <c r="E17" s="4" t="s">
        <v>50</v>
      </c>
      <c r="F17" s="4" t="s">
        <v>51</v>
      </c>
      <c r="G17" s="7" t="n">
        <v>3000000</v>
      </c>
      <c r="H17" s="8" t="s">
        <v>69</v>
      </c>
      <c r="I17" s="8" t="s">
        <v>136</v>
      </c>
      <c r="J17" s="8" t="s">
        <v>137</v>
      </c>
      <c r="K17" s="9" t="s">
        <v>55</v>
      </c>
      <c r="L17" s="8" t="s">
        <v>138</v>
      </c>
    </row>
  </sheetData>
  <mergeCells count="2">
    <mergeCell ref="A1:L1"/>
    <mergeCell ref="A2:L2"/>
  </mergeCells>
  <dataValidations count="1">
    <dataValidation allowBlank="false" errorStyle="stop" operator="between" showDropDown="false" showErrorMessage="false" showInputMessage="false" sqref="H6:H17" type="list">
      <formula1>"正常,关注,冻结,退出"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6" min="4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8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42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8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5" customFormat="false" ht="34" hidden="false" customHeight="true" outlineLevel="0" collapsed="false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145</v>
      </c>
      <c r="F5" s="3" t="s">
        <v>146</v>
      </c>
      <c r="G5" s="3" t="s">
        <v>147</v>
      </c>
      <c r="H5" s="3" t="s">
        <v>148</v>
      </c>
      <c r="I5" s="3" t="s">
        <v>149</v>
      </c>
      <c r="J5" s="3" t="s">
        <v>150</v>
      </c>
      <c r="K5" s="3" t="s">
        <v>151</v>
      </c>
      <c r="L5" s="3" t="s">
        <v>152</v>
      </c>
      <c r="M5" s="3" t="s">
        <v>153</v>
      </c>
      <c r="N5" s="3" t="s">
        <v>42</v>
      </c>
      <c r="O5" s="3" t="s">
        <v>154</v>
      </c>
      <c r="P5" s="3" t="s">
        <v>155</v>
      </c>
      <c r="Q5" s="3" t="s">
        <v>156</v>
      </c>
      <c r="R5" s="3" t="s">
        <v>157</v>
      </c>
    </row>
    <row r="6" customFormat="false" ht="15" hidden="false" customHeight="false" outlineLevel="0" collapsed="false">
      <c r="A6" s="4" t="s">
        <v>158</v>
      </c>
      <c r="B6" s="4" t="s">
        <v>46</v>
      </c>
      <c r="C6" s="4" t="s">
        <v>47</v>
      </c>
      <c r="D6" s="10" t="n">
        <v>46205</v>
      </c>
      <c r="E6" s="10" t="n">
        <v>46266</v>
      </c>
      <c r="F6" s="4" t="s">
        <v>159</v>
      </c>
      <c r="G6" s="4" t="s">
        <v>160</v>
      </c>
      <c r="H6" s="4" t="s">
        <v>161</v>
      </c>
      <c r="I6" s="5" t="n">
        <v>2260000</v>
      </c>
      <c r="J6" s="5" t="n">
        <v>0</v>
      </c>
      <c r="K6" s="5" t="n">
        <v>2260000</v>
      </c>
      <c r="L6" s="8" t="s">
        <v>162</v>
      </c>
      <c r="M6" s="8" t="s">
        <v>163</v>
      </c>
      <c r="N6" s="8" t="s">
        <v>53</v>
      </c>
      <c r="O6" s="8" t="s">
        <v>164</v>
      </c>
      <c r="P6" s="4" t="n">
        <f aca="false">MAX(0,DATE(2026,8,31)-E6)</f>
        <v>0</v>
      </c>
      <c r="Q6" s="4" t="str">
        <f aca="false">IF(P6=0,"未到期",IF(P6&lt;=30,"1-30天",IF(P6&lt;=90,"31-90天",IF(P6&lt;=180,"91-180天",IF(P6&lt;=365,"181-365天","365天以上")))))</f>
        <v>未到期</v>
      </c>
      <c r="R6" s="4" t="str">
        <f aca="false">IF(AND(K6&gt;0,DATE(2026,8,31)&gt;E6),"逾期",IF(K6&lt;0,"负余额","未到期"))</f>
        <v>未到期</v>
      </c>
    </row>
    <row r="7" customFormat="false" ht="15" hidden="false" customHeight="false" outlineLevel="0" collapsed="false">
      <c r="A7" s="4" t="s">
        <v>165</v>
      </c>
      <c r="B7" s="4" t="s">
        <v>46</v>
      </c>
      <c r="C7" s="4" t="s">
        <v>47</v>
      </c>
      <c r="D7" s="10" t="n">
        <v>46252</v>
      </c>
      <c r="E7" s="10" t="n">
        <v>46312</v>
      </c>
      <c r="F7" s="4" t="s">
        <v>166</v>
      </c>
      <c r="G7" s="4" t="s">
        <v>167</v>
      </c>
      <c r="H7" s="4"/>
      <c r="I7" s="5" t="n">
        <v>1695000</v>
      </c>
      <c r="J7" s="5" t="n">
        <v>0</v>
      </c>
      <c r="K7" s="5" t="n">
        <v>1695000</v>
      </c>
      <c r="L7" s="8" t="s">
        <v>17</v>
      </c>
      <c r="M7" s="8" t="s">
        <v>163</v>
      </c>
      <c r="N7" s="8" t="s">
        <v>53</v>
      </c>
      <c r="O7" s="8" t="s">
        <v>168</v>
      </c>
      <c r="P7" s="4" t="n">
        <f aca="false">MAX(0,DATE(2026,8,31)-E7)</f>
        <v>0</v>
      </c>
      <c r="Q7" s="4" t="str">
        <f aca="false">IF(P7=0,"未到期",IF(P7&lt;=30,"1-30天",IF(P7&lt;=90,"31-90天",IF(P7&lt;=180,"91-180天",IF(P7&lt;=365,"181-365天","365天以上")))))</f>
        <v>未到期</v>
      </c>
      <c r="R7" s="4" t="str">
        <f aca="false">IF(AND(K7&gt;0,DATE(2026,8,31)&gt;E7),"逾期",IF(K7&lt;0,"负余额","未到期"))</f>
        <v>未到期</v>
      </c>
    </row>
    <row r="8" customFormat="false" ht="15" hidden="false" customHeight="false" outlineLevel="0" collapsed="false">
      <c r="A8" s="4" t="s">
        <v>169</v>
      </c>
      <c r="B8" s="4" t="s">
        <v>57</v>
      </c>
      <c r="C8" s="4" t="s">
        <v>58</v>
      </c>
      <c r="D8" s="10" t="n">
        <v>46193</v>
      </c>
      <c r="E8" s="10" t="n">
        <v>46238</v>
      </c>
      <c r="F8" s="4" t="s">
        <v>170</v>
      </c>
      <c r="G8" s="4" t="s">
        <v>171</v>
      </c>
      <c r="H8" s="4" t="s">
        <v>172</v>
      </c>
      <c r="I8" s="5" t="n">
        <v>1356000</v>
      </c>
      <c r="J8" s="5" t="n">
        <v>500000</v>
      </c>
      <c r="K8" s="5" t="n">
        <v>856000</v>
      </c>
      <c r="L8" s="8" t="s">
        <v>173</v>
      </c>
      <c r="M8" s="8" t="s">
        <v>163</v>
      </c>
      <c r="N8" s="8" t="s">
        <v>53</v>
      </c>
      <c r="O8" s="8" t="s">
        <v>174</v>
      </c>
      <c r="P8" s="4" t="n">
        <f aca="false">MAX(0,DATE(2026,8,31)-E8)</f>
        <v>27</v>
      </c>
      <c r="Q8" s="4" t="str">
        <f aca="false">IF(P8=0,"未到期",IF(P8&lt;=30,"1-30天",IF(P8&lt;=90,"31-90天",IF(P8&lt;=180,"91-180天",IF(P8&lt;=365,"181-365天","365天以上")))))</f>
        <v>1-30天</v>
      </c>
      <c r="R8" s="4" t="str">
        <f aca="false">IF(AND(K8&gt;0,DATE(2026,8,31)&gt;E8),"逾期",IF(K8&lt;0,"负余额","未到期"))</f>
        <v>逾期</v>
      </c>
    </row>
    <row r="9" customFormat="false" ht="15" hidden="false" customHeight="false" outlineLevel="0" collapsed="false">
      <c r="A9" s="4" t="s">
        <v>175</v>
      </c>
      <c r="B9" s="4" t="s">
        <v>64</v>
      </c>
      <c r="C9" s="4" t="s">
        <v>65</v>
      </c>
      <c r="D9" s="10" t="n">
        <v>46152</v>
      </c>
      <c r="E9" s="10" t="n">
        <v>46182</v>
      </c>
      <c r="F9" s="4" t="s">
        <v>176</v>
      </c>
      <c r="G9" s="4" t="s">
        <v>177</v>
      </c>
      <c r="H9" s="4" t="s">
        <v>178</v>
      </c>
      <c r="I9" s="5" t="n">
        <v>904000</v>
      </c>
      <c r="J9" s="5" t="n">
        <v>0</v>
      </c>
      <c r="K9" s="5" t="n">
        <v>904000</v>
      </c>
      <c r="L9" s="8" t="s">
        <v>179</v>
      </c>
      <c r="M9" s="8" t="s">
        <v>180</v>
      </c>
      <c r="N9" s="8" t="s">
        <v>70</v>
      </c>
      <c r="O9" s="8" t="s">
        <v>181</v>
      </c>
      <c r="P9" s="4" t="n">
        <f aca="false">MAX(0,DATE(2026,8,31)-E9)</f>
        <v>83</v>
      </c>
      <c r="Q9" s="4" t="str">
        <f aca="false">IF(P9=0,"未到期",IF(P9&lt;=30,"1-30天",IF(P9&lt;=90,"31-90天",IF(P9&lt;=180,"91-180天",IF(P9&lt;=365,"181-365天","365天以上")))))</f>
        <v>31-90天</v>
      </c>
      <c r="R9" s="4" t="str">
        <f aca="false">IF(AND(K9&gt;0,DATE(2026,8,31)&gt;E9),"逾期",IF(K9&lt;0,"负余额","未到期"))</f>
        <v>逾期</v>
      </c>
    </row>
    <row r="10" customFormat="false" ht="15" hidden="false" customHeight="false" outlineLevel="0" collapsed="false">
      <c r="A10" s="4" t="s">
        <v>182</v>
      </c>
      <c r="B10" s="4" t="s">
        <v>74</v>
      </c>
      <c r="C10" s="4" t="s">
        <v>75</v>
      </c>
      <c r="D10" s="10" t="n">
        <v>46235</v>
      </c>
      <c r="E10" s="10" t="n">
        <v>46235</v>
      </c>
      <c r="F10" s="4" t="s">
        <v>183</v>
      </c>
      <c r="G10" s="4" t="s">
        <v>184</v>
      </c>
      <c r="H10" s="4" t="s">
        <v>185</v>
      </c>
      <c r="I10" s="5" t="n">
        <v>678000</v>
      </c>
      <c r="J10" s="5" t="n">
        <v>678000</v>
      </c>
      <c r="K10" s="5" t="n">
        <v>0</v>
      </c>
      <c r="L10" s="8" t="s">
        <v>186</v>
      </c>
      <c r="M10" s="8" t="s">
        <v>163</v>
      </c>
      <c r="N10" s="8" t="s">
        <v>78</v>
      </c>
      <c r="O10" s="8" t="s">
        <v>187</v>
      </c>
      <c r="P10" s="4" t="n">
        <f aca="false">MAX(0,DATE(2026,8,31)-E10)</f>
        <v>30</v>
      </c>
      <c r="Q10" s="4" t="str">
        <f aca="false">IF(P10=0,"未到期",IF(P10&lt;=30,"1-30天",IF(P10&lt;=90,"31-90天",IF(P10&lt;=180,"91-180天",IF(P10&lt;=365,"181-365天","365天以上")))))</f>
        <v>1-30天</v>
      </c>
      <c r="R10" s="4" t="str">
        <f aca="false">IF(AND(K10&gt;0,DATE(2026,8,31)&gt;E10),"逾期",IF(K10&lt;0,"负余额","未到期"))</f>
        <v>未到期</v>
      </c>
    </row>
    <row r="11" customFormat="false" ht="15" hidden="false" customHeight="false" outlineLevel="0" collapsed="false">
      <c r="A11" s="4" t="s">
        <v>188</v>
      </c>
      <c r="B11" s="4" t="s">
        <v>82</v>
      </c>
      <c r="C11" s="4" t="s">
        <v>83</v>
      </c>
      <c r="D11" s="10" t="n">
        <v>46234</v>
      </c>
      <c r="E11" s="10" t="n">
        <v>46264</v>
      </c>
      <c r="F11" s="4" t="s">
        <v>189</v>
      </c>
      <c r="G11" s="4" t="s">
        <v>190</v>
      </c>
      <c r="H11" s="4" t="s">
        <v>191</v>
      </c>
      <c r="I11" s="5" t="n">
        <v>339000</v>
      </c>
      <c r="J11" s="5" t="n">
        <v>0</v>
      </c>
      <c r="K11" s="5" t="n">
        <v>339000</v>
      </c>
      <c r="L11" s="8" t="s">
        <v>173</v>
      </c>
      <c r="M11" s="8" t="s">
        <v>163</v>
      </c>
      <c r="N11" s="8" t="s">
        <v>86</v>
      </c>
      <c r="O11" s="8" t="s">
        <v>192</v>
      </c>
      <c r="P11" s="4" t="n">
        <f aca="false">MAX(0,DATE(2026,8,31)-E11)</f>
        <v>1</v>
      </c>
      <c r="Q11" s="4" t="str">
        <f aca="false">IF(P11=0,"未到期",IF(P11&lt;=30,"1-30天",IF(P11&lt;=90,"31-90天",IF(P11&lt;=180,"91-180天",IF(P11&lt;=365,"181-365天","365天以上")))))</f>
        <v>1-30天</v>
      </c>
      <c r="R11" s="4" t="str">
        <f aca="false">IF(AND(K11&gt;0,DATE(2026,8,31)&gt;E11),"逾期",IF(K11&lt;0,"负余额","未到期"))</f>
        <v>逾期</v>
      </c>
    </row>
    <row r="12" customFormat="false" ht="15" hidden="false" customHeight="false" outlineLevel="0" collapsed="false">
      <c r="A12" s="4" t="s">
        <v>193</v>
      </c>
      <c r="B12" s="4" t="s">
        <v>90</v>
      </c>
      <c r="C12" s="4" t="s">
        <v>91</v>
      </c>
      <c r="D12" s="10" t="n">
        <v>46218</v>
      </c>
      <c r="E12" s="10" t="n">
        <v>46248</v>
      </c>
      <c r="F12" s="4" t="s">
        <v>194</v>
      </c>
      <c r="G12" s="4"/>
      <c r="H12" s="4" t="s">
        <v>195</v>
      </c>
      <c r="I12" s="5" t="n">
        <v>565000</v>
      </c>
      <c r="J12" s="5" t="n">
        <v>0</v>
      </c>
      <c r="K12" s="5" t="n">
        <v>565000</v>
      </c>
      <c r="L12" s="8" t="s">
        <v>196</v>
      </c>
      <c r="M12" s="8" t="s">
        <v>180</v>
      </c>
      <c r="N12" s="8" t="s">
        <v>95</v>
      </c>
      <c r="O12" s="8" t="s">
        <v>197</v>
      </c>
      <c r="P12" s="4" t="n">
        <f aca="false">MAX(0,DATE(2026,8,31)-E12)</f>
        <v>17</v>
      </c>
      <c r="Q12" s="4" t="str">
        <f aca="false">IF(P12=0,"未到期",IF(P12&lt;=30,"1-30天",IF(P12&lt;=90,"31-90天",IF(P12&lt;=180,"91-180天",IF(P12&lt;=365,"181-365天","365天以上")))))</f>
        <v>1-30天</v>
      </c>
      <c r="R12" s="4" t="str">
        <f aca="false">IF(AND(K12&gt;0,DATE(2026,8,31)&gt;E12),"逾期",IF(K12&lt;0,"负余额","未到期"))</f>
        <v>逾期</v>
      </c>
    </row>
    <row r="13" customFormat="false" ht="15" hidden="false" customHeight="false" outlineLevel="0" collapsed="false">
      <c r="A13" s="4" t="s">
        <v>198</v>
      </c>
      <c r="B13" s="4" t="s">
        <v>99</v>
      </c>
      <c r="C13" s="4" t="s">
        <v>100</v>
      </c>
      <c r="D13" s="10" t="n">
        <v>46246</v>
      </c>
      <c r="E13" s="10" t="n">
        <v>46276</v>
      </c>
      <c r="F13" s="4" t="s">
        <v>199</v>
      </c>
      <c r="G13" s="4" t="s">
        <v>200</v>
      </c>
      <c r="H13" s="4" t="s">
        <v>201</v>
      </c>
      <c r="I13" s="5" t="n">
        <v>2260000</v>
      </c>
      <c r="J13" s="5" t="n">
        <v>1130000</v>
      </c>
      <c r="K13" s="5" t="n">
        <v>1130000</v>
      </c>
      <c r="L13" s="8" t="s">
        <v>202</v>
      </c>
      <c r="M13" s="8" t="s">
        <v>163</v>
      </c>
      <c r="N13" s="8" t="s">
        <v>103</v>
      </c>
      <c r="O13" s="8" t="s">
        <v>203</v>
      </c>
      <c r="P13" s="4" t="n">
        <f aca="false">MAX(0,DATE(2026,8,31)-E13)</f>
        <v>0</v>
      </c>
      <c r="Q13" s="4" t="str">
        <f aca="false">IF(P13=0,"未到期",IF(P13&lt;=30,"1-30天",IF(P13&lt;=90,"31-90天",IF(P13&lt;=180,"91-180天",IF(P13&lt;=365,"181-365天","365天以上")))))</f>
        <v>未到期</v>
      </c>
      <c r="R13" s="4" t="str">
        <f aca="false">IF(AND(K13&gt;0,DATE(2026,8,31)&gt;E13),"逾期",IF(K13&lt;0,"负余额","未到期"))</f>
        <v>未到期</v>
      </c>
    </row>
    <row r="14" customFormat="false" ht="15" hidden="false" customHeight="false" outlineLevel="0" collapsed="false">
      <c r="A14" s="4" t="s">
        <v>204</v>
      </c>
      <c r="B14" s="4" t="s">
        <v>107</v>
      </c>
      <c r="C14" s="4" t="s">
        <v>108</v>
      </c>
      <c r="D14" s="10" t="n">
        <v>46259</v>
      </c>
      <c r="E14" s="10" t="n">
        <v>46304</v>
      </c>
      <c r="F14" s="4" t="s">
        <v>205</v>
      </c>
      <c r="G14" s="4" t="s">
        <v>206</v>
      </c>
      <c r="H14" s="4" t="s">
        <v>207</v>
      </c>
      <c r="I14" s="5" t="n">
        <v>452000</v>
      </c>
      <c r="J14" s="5" t="n">
        <v>0</v>
      </c>
      <c r="K14" s="5" t="n">
        <v>452000</v>
      </c>
      <c r="L14" s="8" t="s">
        <v>162</v>
      </c>
      <c r="M14" s="8" t="s">
        <v>163</v>
      </c>
      <c r="N14" s="8" t="s">
        <v>70</v>
      </c>
      <c r="O14" s="8" t="s">
        <v>52</v>
      </c>
      <c r="P14" s="4" t="n">
        <f aca="false">MAX(0,DATE(2026,8,31)-E14)</f>
        <v>0</v>
      </c>
      <c r="Q14" s="4" t="str">
        <f aca="false">IF(P14=0,"未到期",IF(P14&lt;=30,"1-30天",IF(P14&lt;=90,"31-90天",IF(P14&lt;=180,"91-180天",IF(P14&lt;=365,"181-365天","365天以上")))))</f>
        <v>未到期</v>
      </c>
      <c r="R14" s="4" t="str">
        <f aca="false">IF(AND(K14&gt;0,DATE(2026,8,31)&gt;E14),"逾期",IF(K14&lt;0,"负余额","未到期"))</f>
        <v>未到期</v>
      </c>
    </row>
    <row r="15" customFormat="false" ht="15" hidden="false" customHeight="false" outlineLevel="0" collapsed="false">
      <c r="A15" s="4" t="s">
        <v>208</v>
      </c>
      <c r="B15" s="4" t="s">
        <v>112</v>
      </c>
      <c r="C15" s="4" t="s">
        <v>113</v>
      </c>
      <c r="D15" s="10" t="n">
        <v>46265</v>
      </c>
      <c r="E15" s="10" t="n">
        <v>46280</v>
      </c>
      <c r="F15" s="4" t="s">
        <v>209</v>
      </c>
      <c r="G15" s="4" t="s">
        <v>210</v>
      </c>
      <c r="H15" s="4"/>
      <c r="I15" s="5" t="n">
        <v>791000</v>
      </c>
      <c r="J15" s="5" t="n">
        <v>0</v>
      </c>
      <c r="K15" s="5" t="n">
        <v>791000</v>
      </c>
      <c r="L15" s="8" t="s">
        <v>17</v>
      </c>
      <c r="M15" s="8" t="s">
        <v>163</v>
      </c>
      <c r="N15" s="8" t="s">
        <v>116</v>
      </c>
      <c r="O15" s="8" t="s">
        <v>211</v>
      </c>
      <c r="P15" s="4" t="n">
        <f aca="false">MAX(0,DATE(2026,8,31)-E15)</f>
        <v>0</v>
      </c>
      <c r="Q15" s="4" t="str">
        <f aca="false">IF(P15=0,"未到期",IF(P15&lt;=30,"1-30天",IF(P15&lt;=90,"31-90天",IF(P15&lt;=180,"91-180天",IF(P15&lt;=365,"181-365天","365天以上")))))</f>
        <v>未到期</v>
      </c>
      <c r="R15" s="4" t="str">
        <f aca="false">IF(AND(K15&gt;0,DATE(2026,8,31)&gt;E15),"逾期",IF(K15&lt;0,"负余额","未到期"))</f>
        <v>未到期</v>
      </c>
    </row>
    <row r="16" customFormat="false" ht="15" hidden="false" customHeight="false" outlineLevel="0" collapsed="false">
      <c r="A16" s="4" t="s">
        <v>212</v>
      </c>
      <c r="B16" s="4" t="s">
        <v>119</v>
      </c>
      <c r="C16" s="4" t="s">
        <v>120</v>
      </c>
      <c r="D16" s="10" t="n">
        <v>46234</v>
      </c>
      <c r="E16" s="10" t="n">
        <v>46264</v>
      </c>
      <c r="F16" s="4" t="s">
        <v>213</v>
      </c>
      <c r="G16" s="4" t="s">
        <v>214</v>
      </c>
      <c r="H16" s="4" t="s">
        <v>215</v>
      </c>
      <c r="I16" s="5" t="n">
        <v>1130000</v>
      </c>
      <c r="J16" s="5" t="n">
        <v>0</v>
      </c>
      <c r="K16" s="5" t="n">
        <v>1130000</v>
      </c>
      <c r="L16" s="8" t="s">
        <v>173</v>
      </c>
      <c r="M16" s="8" t="s">
        <v>163</v>
      </c>
      <c r="N16" s="8" t="s">
        <v>122</v>
      </c>
      <c r="O16" s="8" t="s">
        <v>216</v>
      </c>
      <c r="P16" s="4" t="n">
        <f aca="false">MAX(0,DATE(2026,8,31)-E16)</f>
        <v>1</v>
      </c>
      <c r="Q16" s="4" t="str">
        <f aca="false">IF(P16=0,"未到期",IF(P16&lt;=30,"1-30天",IF(P16&lt;=90,"31-90天",IF(P16&lt;=180,"91-180天",IF(P16&lt;=365,"181-365天","365天以上")))))</f>
        <v>1-30天</v>
      </c>
      <c r="R16" s="4" t="str">
        <f aca="false">IF(AND(K16&gt;0,DATE(2026,8,31)&gt;E16),"逾期",IF(K16&lt;0,"负余额","未到期"))</f>
        <v>逾期</v>
      </c>
    </row>
    <row r="17" customFormat="false" ht="15" hidden="false" customHeight="false" outlineLevel="0" collapsed="false">
      <c r="A17" s="4" t="s">
        <v>217</v>
      </c>
      <c r="B17" s="4" t="s">
        <v>125</v>
      </c>
      <c r="C17" s="4" t="s">
        <v>126</v>
      </c>
      <c r="D17" s="10" t="n">
        <v>46244</v>
      </c>
      <c r="E17" s="10" t="n">
        <v>46274</v>
      </c>
      <c r="F17" s="4" t="s">
        <v>218</v>
      </c>
      <c r="G17" s="4" t="s">
        <v>219</v>
      </c>
      <c r="H17" s="4" t="s">
        <v>220</v>
      </c>
      <c r="I17" s="5" t="n">
        <v>226000</v>
      </c>
      <c r="J17" s="5" t="n">
        <v>0</v>
      </c>
      <c r="K17" s="5" t="n">
        <v>226000</v>
      </c>
      <c r="L17" s="8" t="s">
        <v>221</v>
      </c>
      <c r="M17" s="8" t="s">
        <v>180</v>
      </c>
      <c r="N17" s="8" t="s">
        <v>70</v>
      </c>
      <c r="O17" s="8" t="s">
        <v>222</v>
      </c>
      <c r="P17" s="4" t="n">
        <f aca="false">MAX(0,DATE(2026,8,31)-E17)</f>
        <v>0</v>
      </c>
      <c r="Q17" s="4" t="str">
        <f aca="false">IF(P17=0,"未到期",IF(P17&lt;=30,"1-30天",IF(P17&lt;=90,"31-90天",IF(P17&lt;=180,"91-180天",IF(P17&lt;=365,"181-365天","365天以上")))))</f>
        <v>未到期</v>
      </c>
      <c r="R17" s="4" t="str">
        <f aca="false">IF(AND(K17&gt;0,DATE(2026,8,31)&gt;E17),"逾期",IF(K17&lt;0,"负余额","未到期"))</f>
        <v>未到期</v>
      </c>
    </row>
    <row r="18" customFormat="false" ht="15" hidden="false" customHeight="false" outlineLevel="0" collapsed="false">
      <c r="A18" s="4" t="s">
        <v>223</v>
      </c>
      <c r="B18" s="4" t="s">
        <v>133</v>
      </c>
      <c r="C18" s="4" t="s">
        <v>134</v>
      </c>
      <c r="D18" s="10" t="n">
        <v>46203</v>
      </c>
      <c r="E18" s="10" t="n">
        <v>46263</v>
      </c>
      <c r="F18" s="4" t="s">
        <v>224</v>
      </c>
      <c r="G18" s="4" t="s">
        <v>225</v>
      </c>
      <c r="H18" s="4" t="s">
        <v>226</v>
      </c>
      <c r="I18" s="5" t="n">
        <v>1808000</v>
      </c>
      <c r="J18" s="5" t="n">
        <v>800000</v>
      </c>
      <c r="K18" s="5" t="n">
        <v>1008000</v>
      </c>
      <c r="L18" s="8" t="s">
        <v>227</v>
      </c>
      <c r="M18" s="8" t="s">
        <v>163</v>
      </c>
      <c r="N18" s="8" t="s">
        <v>136</v>
      </c>
      <c r="O18" s="8" t="s">
        <v>228</v>
      </c>
      <c r="P18" s="4" t="n">
        <f aca="false">MAX(0,DATE(2026,8,31)-E18)</f>
        <v>2</v>
      </c>
      <c r="Q18" s="4" t="str">
        <f aca="false">IF(P18=0,"未到期",IF(P18&lt;=30,"1-30天",IF(P18&lt;=90,"31-90天",IF(P18&lt;=180,"91-180天",IF(P18&lt;=365,"181-365天","365天以上")))))</f>
        <v>1-30天</v>
      </c>
      <c r="R18" s="4" t="str">
        <f aca="false">IF(AND(K18&gt;0,DATE(2026,8,31)&gt;E18),"逾期",IF(K18&lt;0,"负余额","未到期"))</f>
        <v>逾期</v>
      </c>
    </row>
    <row r="19" customFormat="false" ht="15" hidden="false" customHeight="false" outlineLevel="0" collapsed="false">
      <c r="A19" s="4" t="s">
        <v>229</v>
      </c>
      <c r="B19" s="4" t="s">
        <v>57</v>
      </c>
      <c r="C19" s="4" t="s">
        <v>58</v>
      </c>
      <c r="D19" s="10" t="n">
        <v>45703</v>
      </c>
      <c r="E19" s="10" t="n">
        <v>45748</v>
      </c>
      <c r="F19" s="4" t="s">
        <v>230</v>
      </c>
      <c r="G19" s="4" t="s">
        <v>231</v>
      </c>
      <c r="H19" s="4" t="s">
        <v>232</v>
      </c>
      <c r="I19" s="5" t="n">
        <v>113000</v>
      </c>
      <c r="J19" s="5" t="n">
        <v>0</v>
      </c>
      <c r="K19" s="5" t="n">
        <v>113000</v>
      </c>
      <c r="L19" s="8" t="s">
        <v>233</v>
      </c>
      <c r="M19" s="8" t="s">
        <v>163</v>
      </c>
      <c r="N19" s="8" t="s">
        <v>53</v>
      </c>
      <c r="O19" s="8" t="s">
        <v>234</v>
      </c>
      <c r="P19" s="4" t="n">
        <f aca="false">MAX(0,DATE(2026,8,31)-E19)</f>
        <v>517</v>
      </c>
      <c r="Q19" s="4" t="str">
        <f aca="false">IF(P19=0,"未到期",IF(P19&lt;=30,"1-30天",IF(P19&lt;=90,"31-90天",IF(P19&lt;=180,"91-180天",IF(P19&lt;=365,"181-365天","365天以上")))))</f>
        <v>365天以上</v>
      </c>
      <c r="R19" s="4" t="str">
        <f aca="false">IF(AND(K19&gt;0,DATE(2026,8,31)&gt;E19),"逾期",IF(K19&lt;0,"负余额","未到期"))</f>
        <v>逾期</v>
      </c>
    </row>
    <row r="20" customFormat="false" ht="15" hidden="false" customHeight="false" outlineLevel="0" collapsed="false">
      <c r="A20" s="4" t="s">
        <v>235</v>
      </c>
      <c r="B20" s="4" t="s">
        <v>64</v>
      </c>
      <c r="C20" s="4" t="s">
        <v>65</v>
      </c>
      <c r="D20" s="10" t="n">
        <v>46263</v>
      </c>
      <c r="E20" s="10" t="n">
        <v>46293</v>
      </c>
      <c r="F20" s="4" t="s">
        <v>236</v>
      </c>
      <c r="G20" s="4" t="s">
        <v>237</v>
      </c>
      <c r="H20" s="4" t="s">
        <v>238</v>
      </c>
      <c r="I20" s="5" t="n">
        <v>339000</v>
      </c>
      <c r="J20" s="5" t="n">
        <v>400000</v>
      </c>
      <c r="K20" s="5" t="n">
        <v>-61000</v>
      </c>
      <c r="L20" s="8" t="s">
        <v>239</v>
      </c>
      <c r="M20" s="8" t="s">
        <v>180</v>
      </c>
      <c r="N20" s="8" t="s">
        <v>70</v>
      </c>
      <c r="O20" s="8" t="s">
        <v>240</v>
      </c>
      <c r="P20" s="4" t="n">
        <f aca="false">MAX(0,DATE(2026,8,31)-E20)</f>
        <v>0</v>
      </c>
      <c r="Q20" s="4" t="str">
        <f aca="false">IF(P20=0,"未到期",IF(P20&lt;=30,"1-30天",IF(P20&lt;=90,"31-90天",IF(P20&lt;=180,"91-180天",IF(P20&lt;=365,"181-365天","365天以上")))))</f>
        <v>未到期</v>
      </c>
      <c r="R20" s="4" t="str">
        <f aca="false">IF(AND(K20&gt;0,DATE(2026,8,31)&gt;E20),"逾期",IF(K20&lt;0,"负余额","未到期"))</f>
        <v>负余额</v>
      </c>
    </row>
    <row r="21" customFormat="false" ht="15" hidden="false" customHeight="false" outlineLevel="0" collapsed="false">
      <c r="A21" s="4" t="s">
        <v>241</v>
      </c>
      <c r="B21" s="4" t="s">
        <v>107</v>
      </c>
      <c r="C21" s="4" t="s">
        <v>108</v>
      </c>
      <c r="D21" s="10" t="n">
        <v>46264</v>
      </c>
      <c r="E21" s="10" t="n">
        <v>46309</v>
      </c>
      <c r="F21" s="4" t="s">
        <v>242</v>
      </c>
      <c r="G21" s="4" t="s">
        <v>243</v>
      </c>
      <c r="H21" s="4" t="s">
        <v>244</v>
      </c>
      <c r="I21" s="5" t="n">
        <v>226000</v>
      </c>
      <c r="J21" s="5" t="n">
        <v>0</v>
      </c>
      <c r="K21" s="5" t="n">
        <v>226000</v>
      </c>
      <c r="L21" s="8" t="s">
        <v>162</v>
      </c>
      <c r="M21" s="8" t="s">
        <v>163</v>
      </c>
      <c r="N21" s="8" t="s">
        <v>70</v>
      </c>
      <c r="O21" s="8" t="s">
        <v>245</v>
      </c>
      <c r="P21" s="4" t="n">
        <f aca="false">MAX(0,DATE(2026,8,31)-E21)</f>
        <v>0</v>
      </c>
      <c r="Q21" s="4" t="str">
        <f aca="false">IF(P21=0,"未到期",IF(P21&lt;=30,"1-30天",IF(P21&lt;=90,"31-90天",IF(P21&lt;=180,"91-180天",IF(P21&lt;=365,"181-365天","365天以上")))))</f>
        <v>未到期</v>
      </c>
      <c r="R21" s="4" t="str">
        <f aca="false">IF(AND(K21&gt;0,DATE(2026,8,31)&gt;E21),"逾期",IF(K21&lt;0,"负余额","未到期"))</f>
        <v>未到期</v>
      </c>
    </row>
    <row r="22" customFormat="false" ht="15" hidden="false" customHeight="false" outlineLevel="0" collapsed="false">
      <c r="A22" s="4" t="s">
        <v>246</v>
      </c>
      <c r="B22" s="4" t="s">
        <v>82</v>
      </c>
      <c r="C22" s="4" t="s">
        <v>83</v>
      </c>
      <c r="D22" s="10" t="n">
        <v>46254</v>
      </c>
      <c r="E22" s="10" t="n">
        <v>46284</v>
      </c>
      <c r="F22" s="4" t="s">
        <v>247</v>
      </c>
      <c r="G22" s="4" t="s">
        <v>248</v>
      </c>
      <c r="H22" s="4" t="s">
        <v>249</v>
      </c>
      <c r="I22" s="5" t="n">
        <v>169500</v>
      </c>
      <c r="J22" s="5" t="n">
        <v>0</v>
      </c>
      <c r="K22" s="5" t="n">
        <v>169500</v>
      </c>
      <c r="L22" s="8" t="s">
        <v>162</v>
      </c>
      <c r="M22" s="8" t="s">
        <v>163</v>
      </c>
      <c r="N22" s="8" t="s">
        <v>86</v>
      </c>
      <c r="O22" s="8" t="s">
        <v>52</v>
      </c>
      <c r="P22" s="4" t="n">
        <f aca="false">MAX(0,DATE(2026,8,31)-E22)</f>
        <v>0</v>
      </c>
      <c r="Q22" s="4" t="str">
        <f aca="false">IF(P22=0,"未到期",IF(P22&lt;=30,"1-30天",IF(P22&lt;=90,"31-90天",IF(P22&lt;=180,"91-180天",IF(P22&lt;=365,"181-365天","365天以上")))))</f>
        <v>未到期</v>
      </c>
      <c r="R22" s="4" t="str">
        <f aca="false">IF(AND(K22&gt;0,DATE(2026,8,31)&gt;E22),"逾期",IF(K22&lt;0,"负余额","未到期"))</f>
        <v>未到期</v>
      </c>
    </row>
    <row r="23" customFormat="false" ht="15" hidden="false" customHeight="false" outlineLevel="0" collapsed="false">
      <c r="A23" s="4" t="s">
        <v>250</v>
      </c>
      <c r="B23" s="4" t="s">
        <v>119</v>
      </c>
      <c r="C23" s="4" t="s">
        <v>120</v>
      </c>
      <c r="D23" s="10" t="n">
        <v>46265</v>
      </c>
      <c r="E23" s="10" t="n">
        <v>46295</v>
      </c>
      <c r="F23" s="4" t="s">
        <v>251</v>
      </c>
      <c r="G23" s="4" t="s">
        <v>252</v>
      </c>
      <c r="H23" s="4"/>
      <c r="I23" s="5" t="n">
        <v>904000</v>
      </c>
      <c r="J23" s="5" t="n">
        <v>0</v>
      </c>
      <c r="K23" s="5" t="n">
        <v>904000</v>
      </c>
      <c r="L23" s="8" t="s">
        <v>17</v>
      </c>
      <c r="M23" s="8" t="s">
        <v>163</v>
      </c>
      <c r="N23" s="8" t="s">
        <v>122</v>
      </c>
      <c r="O23" s="8" t="s">
        <v>253</v>
      </c>
      <c r="P23" s="4" t="n">
        <f aca="false">MAX(0,DATE(2026,8,31)-E23)</f>
        <v>0</v>
      </c>
      <c r="Q23" s="4" t="str">
        <f aca="false">IF(P23=0,"未到期",IF(P23&lt;=30,"1-30天",IF(P23&lt;=90,"31-90天",IF(P23&lt;=180,"91-180天",IF(P23&lt;=365,"181-365天","365天以上")))))</f>
        <v>未到期</v>
      </c>
      <c r="R23" s="4" t="str">
        <f aca="false">IF(AND(K23&gt;0,DATE(2026,8,31)&gt;E23),"逾期",IF(K23&lt;0,"负余额","未到期"))</f>
        <v>未到期</v>
      </c>
    </row>
  </sheetData>
  <mergeCells count="2">
    <mergeCell ref="A1:R1"/>
    <mergeCell ref="A2:R2"/>
  </mergeCells>
  <conditionalFormatting sqref="R6:R23">
    <cfRule type="containsText" priority="2" operator="containsText" aboveAverage="0" equalAverage="0" bottom="0" percent="0" rank="0" text="逾期" dxfId="6">
      <formula>NOT(ISERROR(SEARCH("逾期",R6)))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42"/>
  </cols>
  <sheetData>
    <row r="1" customFormat="false" ht="30" hidden="false" customHeight="true" outlineLevel="0" collapsed="false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255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256</v>
      </c>
      <c r="B5" s="3" t="s">
        <v>142</v>
      </c>
      <c r="C5" s="3" t="s">
        <v>143</v>
      </c>
      <c r="D5" s="3" t="s">
        <v>146</v>
      </c>
      <c r="E5" s="3" t="s">
        <v>147</v>
      </c>
      <c r="F5" s="3" t="s">
        <v>257</v>
      </c>
      <c r="G5" s="3" t="s">
        <v>258</v>
      </c>
      <c r="H5" s="3" t="s">
        <v>259</v>
      </c>
      <c r="I5" s="3" t="s">
        <v>260</v>
      </c>
      <c r="J5" s="3" t="s">
        <v>42</v>
      </c>
      <c r="K5" s="3" t="s">
        <v>41</v>
      </c>
      <c r="L5" s="3" t="s">
        <v>261</v>
      </c>
    </row>
    <row r="6" customFormat="false" ht="15" hidden="false" customHeight="false" outlineLevel="0" collapsed="false">
      <c r="A6" s="4" t="s">
        <v>262</v>
      </c>
      <c r="B6" s="4" t="s">
        <v>46</v>
      </c>
      <c r="C6" s="4" t="s">
        <v>47</v>
      </c>
      <c r="D6" s="4" t="s">
        <v>166</v>
      </c>
      <c r="E6" s="4" t="s">
        <v>167</v>
      </c>
      <c r="F6" s="10" t="n">
        <v>46252</v>
      </c>
      <c r="G6" s="5" t="n">
        <v>1695000</v>
      </c>
      <c r="H6" s="4" t="n">
        <f aca="false">MAX(0,DATE(2026,8,31)-F6)</f>
        <v>13</v>
      </c>
      <c r="I6" s="9"/>
      <c r="J6" s="8" t="s">
        <v>53</v>
      </c>
      <c r="K6" s="8" t="s">
        <v>263</v>
      </c>
      <c r="L6" s="8"/>
    </row>
    <row r="7" customFormat="false" ht="15" hidden="false" customHeight="false" outlineLevel="0" collapsed="false">
      <c r="A7" s="4" t="s">
        <v>264</v>
      </c>
      <c r="B7" s="4" t="s">
        <v>112</v>
      </c>
      <c r="C7" s="4" t="s">
        <v>113</v>
      </c>
      <c r="D7" s="4" t="s">
        <v>209</v>
      </c>
      <c r="E7" s="4" t="s">
        <v>210</v>
      </c>
      <c r="F7" s="10" t="n">
        <v>46265</v>
      </c>
      <c r="G7" s="5" t="n">
        <v>791000</v>
      </c>
      <c r="H7" s="4" t="n">
        <f aca="false">MAX(0,DATE(2026,8,31)-F7)</f>
        <v>0</v>
      </c>
      <c r="I7" s="9"/>
      <c r="J7" s="8" t="s">
        <v>116</v>
      </c>
      <c r="K7" s="8" t="s">
        <v>263</v>
      </c>
      <c r="L7" s="8"/>
    </row>
    <row r="8" customFormat="false" ht="15" hidden="false" customHeight="false" outlineLevel="0" collapsed="false">
      <c r="A8" s="4" t="s">
        <v>265</v>
      </c>
      <c r="B8" s="4" t="s">
        <v>119</v>
      </c>
      <c r="C8" s="4" t="s">
        <v>120</v>
      </c>
      <c r="D8" s="4" t="s">
        <v>251</v>
      </c>
      <c r="E8" s="4" t="s">
        <v>252</v>
      </c>
      <c r="F8" s="10" t="n">
        <v>46265</v>
      </c>
      <c r="G8" s="5" t="n">
        <v>904000</v>
      </c>
      <c r="H8" s="4" t="n">
        <f aca="false">MAX(0,DATE(2026,8,31)-F8)</f>
        <v>0</v>
      </c>
      <c r="I8" s="9"/>
      <c r="J8" s="8" t="s">
        <v>122</v>
      </c>
      <c r="K8" s="8" t="s">
        <v>263</v>
      </c>
      <c r="L8" s="8"/>
    </row>
    <row r="9" customFormat="false" ht="15" hidden="false" customHeight="false" outlineLevel="0" collapsed="false">
      <c r="A9" s="4" t="s">
        <v>266</v>
      </c>
      <c r="B9" s="4"/>
      <c r="C9" s="4"/>
      <c r="D9" s="4"/>
      <c r="E9" s="4"/>
      <c r="F9" s="10"/>
      <c r="G9" s="5" t="n">
        <v>0</v>
      </c>
      <c r="H9" s="4"/>
      <c r="I9" s="9"/>
      <c r="J9" s="8"/>
      <c r="K9" s="8"/>
      <c r="L9" s="8"/>
    </row>
    <row r="10" customFormat="false" ht="15" hidden="false" customHeight="false" outlineLevel="0" collapsed="false">
      <c r="A10" s="4" t="s">
        <v>267</v>
      </c>
      <c r="B10" s="4"/>
      <c r="C10" s="4"/>
      <c r="D10" s="4"/>
      <c r="E10" s="4"/>
      <c r="F10" s="10"/>
      <c r="G10" s="5" t="n">
        <v>0</v>
      </c>
      <c r="H10" s="4"/>
      <c r="I10" s="9"/>
      <c r="J10" s="8"/>
      <c r="K10" s="8"/>
      <c r="L10" s="8"/>
    </row>
    <row r="11" customFormat="false" ht="15" hidden="false" customHeight="false" outlineLevel="0" collapsed="false">
      <c r="A11" s="4" t="s">
        <v>268</v>
      </c>
      <c r="B11" s="4"/>
      <c r="C11" s="4"/>
      <c r="D11" s="4"/>
      <c r="E11" s="4"/>
      <c r="F11" s="10"/>
      <c r="G11" s="5" t="n">
        <v>0</v>
      </c>
      <c r="H11" s="4"/>
      <c r="I11" s="9"/>
      <c r="J11" s="8"/>
      <c r="K11" s="8"/>
      <c r="L11" s="8"/>
    </row>
    <row r="12" customFormat="false" ht="15" hidden="false" customHeight="false" outlineLevel="0" collapsed="false">
      <c r="A12" s="4" t="s">
        <v>269</v>
      </c>
      <c r="B12" s="4"/>
      <c r="C12" s="4"/>
      <c r="D12" s="4"/>
      <c r="E12" s="4"/>
      <c r="F12" s="10"/>
      <c r="G12" s="5" t="n">
        <v>0</v>
      </c>
      <c r="H12" s="4"/>
      <c r="I12" s="9"/>
      <c r="J12" s="8"/>
      <c r="K12" s="8"/>
      <c r="L12" s="8"/>
    </row>
    <row r="13" customFormat="false" ht="15" hidden="false" customHeight="false" outlineLevel="0" collapsed="false">
      <c r="A13" s="4" t="s">
        <v>270</v>
      </c>
      <c r="B13" s="4"/>
      <c r="C13" s="4"/>
      <c r="D13" s="4"/>
      <c r="E13" s="4"/>
      <c r="F13" s="10"/>
      <c r="G13" s="5" t="n">
        <v>0</v>
      </c>
      <c r="H13" s="4"/>
      <c r="I13" s="9"/>
      <c r="J13" s="8"/>
      <c r="K13" s="8"/>
      <c r="L13" s="8"/>
    </row>
    <row r="14" customFormat="false" ht="15" hidden="false" customHeight="false" outlineLevel="0" collapsed="false">
      <c r="A14" s="4" t="s">
        <v>271</v>
      </c>
      <c r="B14" s="4"/>
      <c r="C14" s="4"/>
      <c r="D14" s="4"/>
      <c r="E14" s="4"/>
      <c r="F14" s="10"/>
      <c r="G14" s="5" t="n">
        <v>0</v>
      </c>
      <c r="H14" s="4"/>
      <c r="I14" s="9"/>
      <c r="J14" s="8"/>
      <c r="K14" s="8"/>
      <c r="L14" s="8"/>
    </row>
    <row r="15" customFormat="false" ht="15" hidden="false" customHeight="false" outlineLevel="0" collapsed="false">
      <c r="A15" s="4" t="s">
        <v>272</v>
      </c>
      <c r="B15" s="4"/>
      <c r="C15" s="4"/>
      <c r="D15" s="4"/>
      <c r="E15" s="4"/>
      <c r="F15" s="10"/>
      <c r="G15" s="5" t="n">
        <v>0</v>
      </c>
      <c r="H15" s="4"/>
      <c r="I15" s="9"/>
      <c r="J15" s="8"/>
      <c r="K15" s="8"/>
      <c r="L15" s="8"/>
    </row>
    <row r="16" customFormat="false" ht="15" hidden="false" customHeight="false" outlineLevel="0" collapsed="false">
      <c r="A16" s="4" t="s">
        <v>273</v>
      </c>
      <c r="B16" s="4"/>
      <c r="C16" s="4"/>
      <c r="D16" s="4"/>
      <c r="E16" s="4"/>
      <c r="F16" s="10"/>
      <c r="G16" s="5" t="n">
        <v>0</v>
      </c>
      <c r="H16" s="4"/>
      <c r="I16" s="9"/>
      <c r="J16" s="8"/>
      <c r="K16" s="8"/>
      <c r="L16" s="8"/>
    </row>
    <row r="17" customFormat="false" ht="15" hidden="false" customHeight="false" outlineLevel="0" collapsed="false">
      <c r="A17" s="4" t="s">
        <v>274</v>
      </c>
      <c r="B17" s="4"/>
      <c r="C17" s="4"/>
      <c r="D17" s="4"/>
      <c r="E17" s="4"/>
      <c r="F17" s="10"/>
      <c r="G17" s="5" t="n">
        <v>0</v>
      </c>
      <c r="H17" s="4"/>
      <c r="I17" s="9"/>
      <c r="J17" s="8"/>
      <c r="K17" s="8"/>
      <c r="L17" s="8"/>
    </row>
    <row r="18" customFormat="false" ht="15" hidden="false" customHeight="false" outlineLevel="0" collapsed="false">
      <c r="A18" s="4" t="s">
        <v>275</v>
      </c>
      <c r="B18" s="4"/>
      <c r="C18" s="4"/>
      <c r="D18" s="4"/>
      <c r="E18" s="4"/>
      <c r="F18" s="10"/>
      <c r="G18" s="5" t="n">
        <v>0</v>
      </c>
      <c r="H18" s="4"/>
      <c r="I18" s="9"/>
      <c r="J18" s="8"/>
      <c r="K18" s="8"/>
      <c r="L18" s="8"/>
    </row>
    <row r="19" customFormat="false" ht="15" hidden="false" customHeight="false" outlineLevel="0" collapsed="false">
      <c r="A19" s="4" t="s">
        <v>276</v>
      </c>
      <c r="B19" s="4"/>
      <c r="C19" s="4"/>
      <c r="D19" s="4"/>
      <c r="E19" s="4"/>
      <c r="F19" s="10"/>
      <c r="G19" s="5" t="n">
        <v>0</v>
      </c>
      <c r="H19" s="4"/>
      <c r="I19" s="9"/>
      <c r="J19" s="8"/>
      <c r="K19" s="8"/>
      <c r="L19" s="8"/>
    </row>
    <row r="20" customFormat="false" ht="15" hidden="false" customHeight="false" outlineLevel="0" collapsed="false">
      <c r="A20" s="4" t="s">
        <v>277</v>
      </c>
      <c r="B20" s="4"/>
      <c r="C20" s="4"/>
      <c r="D20" s="4"/>
      <c r="E20" s="4"/>
      <c r="F20" s="10"/>
      <c r="G20" s="5" t="n">
        <v>0</v>
      </c>
      <c r="H20" s="4"/>
      <c r="I20" s="9"/>
      <c r="J20" s="8"/>
      <c r="K20" s="8"/>
      <c r="L20" s="8"/>
    </row>
    <row r="21" customFormat="false" ht="15" hidden="false" customHeight="false" outlineLevel="0" collapsed="false">
      <c r="A21" s="4" t="s">
        <v>278</v>
      </c>
      <c r="B21" s="4"/>
      <c r="C21" s="4"/>
      <c r="D21" s="4"/>
      <c r="E21" s="4"/>
      <c r="F21" s="10"/>
      <c r="G21" s="5" t="n">
        <v>0</v>
      </c>
      <c r="H21" s="4"/>
      <c r="I21" s="9"/>
      <c r="J21" s="8"/>
      <c r="K21" s="8"/>
      <c r="L21" s="8"/>
    </row>
    <row r="22" customFormat="false" ht="15" hidden="false" customHeight="false" outlineLevel="0" collapsed="false">
      <c r="A22" s="4" t="s">
        <v>279</v>
      </c>
      <c r="B22" s="4"/>
      <c r="C22" s="4"/>
      <c r="D22" s="4"/>
      <c r="E22" s="4"/>
      <c r="F22" s="10"/>
      <c r="G22" s="5" t="n">
        <v>0</v>
      </c>
      <c r="H22" s="4"/>
      <c r="I22" s="9"/>
      <c r="J22" s="8"/>
      <c r="K22" s="8"/>
      <c r="L22" s="8"/>
    </row>
    <row r="23" customFormat="false" ht="15" hidden="false" customHeight="false" outlineLevel="0" collapsed="false">
      <c r="A23" s="4" t="s">
        <v>280</v>
      </c>
      <c r="B23" s="4"/>
      <c r="C23" s="4"/>
      <c r="D23" s="4"/>
      <c r="E23" s="4"/>
      <c r="F23" s="10"/>
      <c r="G23" s="5" t="n">
        <v>0</v>
      </c>
      <c r="H23" s="4"/>
      <c r="I23" s="9"/>
      <c r="J23" s="8"/>
      <c r="K23" s="8"/>
      <c r="L23" s="8"/>
    </row>
    <row r="24" customFormat="false" ht="15" hidden="false" customHeight="false" outlineLevel="0" collapsed="false">
      <c r="A24" s="4" t="s">
        <v>281</v>
      </c>
      <c r="B24" s="4"/>
      <c r="C24" s="4"/>
      <c r="D24" s="4"/>
      <c r="E24" s="4"/>
      <c r="F24" s="10"/>
      <c r="G24" s="5" t="n">
        <v>0</v>
      </c>
      <c r="H24" s="4"/>
      <c r="I24" s="9"/>
      <c r="J24" s="8"/>
      <c r="K24" s="8"/>
      <c r="L24" s="8"/>
    </row>
    <row r="25" customFormat="false" ht="15" hidden="false" customHeight="false" outlineLevel="0" collapsed="false">
      <c r="A25" s="4" t="s">
        <v>282</v>
      </c>
      <c r="B25" s="4"/>
      <c r="C25" s="4"/>
      <c r="D25" s="4"/>
      <c r="E25" s="4"/>
      <c r="F25" s="10"/>
      <c r="G25" s="5" t="n">
        <v>0</v>
      </c>
      <c r="H25" s="4"/>
      <c r="I25" s="9"/>
      <c r="J25" s="8"/>
      <c r="K25" s="8"/>
      <c r="L25" s="8"/>
    </row>
    <row r="26" customFormat="false" ht="15" hidden="false" customHeight="false" outlineLevel="0" collapsed="false">
      <c r="A26" s="4" t="s">
        <v>283</v>
      </c>
      <c r="B26" s="4"/>
      <c r="C26" s="4"/>
      <c r="D26" s="4"/>
      <c r="E26" s="4"/>
      <c r="F26" s="10"/>
      <c r="G26" s="5" t="n">
        <v>0</v>
      </c>
      <c r="H26" s="4"/>
      <c r="I26" s="9"/>
      <c r="J26" s="8"/>
      <c r="K26" s="8"/>
      <c r="L26" s="8"/>
    </row>
    <row r="27" customFormat="false" ht="15" hidden="false" customHeight="false" outlineLevel="0" collapsed="false">
      <c r="A27" s="4" t="s">
        <v>284</v>
      </c>
      <c r="B27" s="4"/>
      <c r="C27" s="4"/>
      <c r="D27" s="4"/>
      <c r="E27" s="4"/>
      <c r="F27" s="10"/>
      <c r="G27" s="5" t="n">
        <v>0</v>
      </c>
      <c r="H27" s="4"/>
      <c r="I27" s="9"/>
      <c r="J27" s="8"/>
      <c r="K27" s="8"/>
      <c r="L27" s="8"/>
    </row>
    <row r="28" customFormat="false" ht="15" hidden="false" customHeight="false" outlineLevel="0" collapsed="false">
      <c r="A28" s="4" t="s">
        <v>285</v>
      </c>
      <c r="B28" s="4"/>
      <c r="C28" s="4"/>
      <c r="D28" s="4"/>
      <c r="E28" s="4"/>
      <c r="F28" s="10"/>
      <c r="G28" s="5" t="n">
        <v>0</v>
      </c>
      <c r="H28" s="4"/>
      <c r="I28" s="9"/>
      <c r="J28" s="8"/>
      <c r="K28" s="8"/>
      <c r="L28" s="8"/>
    </row>
    <row r="29" customFormat="false" ht="15" hidden="false" customHeight="false" outlineLevel="0" collapsed="false">
      <c r="A29" s="4" t="s">
        <v>286</v>
      </c>
      <c r="B29" s="4"/>
      <c r="C29" s="4"/>
      <c r="D29" s="4"/>
      <c r="E29" s="4"/>
      <c r="F29" s="10"/>
      <c r="G29" s="5" t="n">
        <v>0</v>
      </c>
      <c r="H29" s="4"/>
      <c r="I29" s="9"/>
      <c r="J29" s="8"/>
      <c r="K29" s="8"/>
      <c r="L29" s="8"/>
    </row>
    <row r="30" customFormat="false" ht="15" hidden="false" customHeight="false" outlineLevel="0" collapsed="false">
      <c r="A30" s="4" t="s">
        <v>287</v>
      </c>
      <c r="B30" s="4"/>
      <c r="C30" s="4"/>
      <c r="D30" s="4"/>
      <c r="E30" s="4"/>
      <c r="F30" s="10"/>
      <c r="G30" s="5" t="n">
        <v>0</v>
      </c>
      <c r="H30" s="4"/>
      <c r="I30" s="9"/>
      <c r="J30" s="8"/>
      <c r="K30" s="8"/>
      <c r="L30" s="8"/>
    </row>
    <row r="31" customFormat="false" ht="15" hidden="false" customHeight="false" outlineLevel="0" collapsed="false">
      <c r="A31" s="4" t="s">
        <v>288</v>
      </c>
      <c r="B31" s="4"/>
      <c r="C31" s="4"/>
      <c r="D31" s="4"/>
      <c r="E31" s="4"/>
      <c r="F31" s="10"/>
      <c r="G31" s="5" t="n">
        <v>0</v>
      </c>
      <c r="H31" s="4"/>
      <c r="I31" s="9"/>
      <c r="J31" s="8"/>
      <c r="K31" s="8"/>
      <c r="L31" s="8"/>
    </row>
    <row r="32" customFormat="false" ht="15" hidden="false" customHeight="false" outlineLevel="0" collapsed="false">
      <c r="A32" s="4" t="s">
        <v>289</v>
      </c>
      <c r="B32" s="4"/>
      <c r="C32" s="4"/>
      <c r="D32" s="4"/>
      <c r="E32" s="4"/>
      <c r="F32" s="10"/>
      <c r="G32" s="5" t="n">
        <v>0</v>
      </c>
      <c r="H32" s="4"/>
      <c r="I32" s="9"/>
      <c r="J32" s="8"/>
      <c r="K32" s="8"/>
      <c r="L32" s="8"/>
    </row>
    <row r="33" customFormat="false" ht="15" hidden="false" customHeight="false" outlineLevel="0" collapsed="false">
      <c r="A33" s="4" t="s">
        <v>290</v>
      </c>
      <c r="B33" s="4"/>
      <c r="C33" s="4"/>
      <c r="D33" s="4"/>
      <c r="E33" s="4"/>
      <c r="F33" s="10"/>
      <c r="G33" s="5" t="n">
        <v>0</v>
      </c>
      <c r="H33" s="4"/>
      <c r="I33" s="9"/>
      <c r="J33" s="8"/>
      <c r="K33" s="8"/>
      <c r="L33" s="8"/>
    </row>
    <row r="34" customFormat="false" ht="15" hidden="false" customHeight="false" outlineLevel="0" collapsed="false">
      <c r="A34" s="4" t="s">
        <v>291</v>
      </c>
      <c r="B34" s="4"/>
      <c r="C34" s="4"/>
      <c r="D34" s="4"/>
      <c r="E34" s="4"/>
      <c r="F34" s="10"/>
      <c r="G34" s="5" t="n">
        <v>0</v>
      </c>
      <c r="H34" s="4"/>
      <c r="I34" s="9"/>
      <c r="J34" s="8"/>
      <c r="K34" s="8"/>
      <c r="L34" s="8"/>
    </row>
    <row r="35" customFormat="false" ht="15" hidden="false" customHeight="false" outlineLevel="0" collapsed="false">
      <c r="A35" s="4" t="s">
        <v>292</v>
      </c>
      <c r="B35" s="4"/>
      <c r="C35" s="4"/>
      <c r="D35" s="4"/>
      <c r="E35" s="4"/>
      <c r="F35" s="10"/>
      <c r="G35" s="5" t="n">
        <v>0</v>
      </c>
      <c r="H35" s="4"/>
      <c r="I35" s="9"/>
      <c r="J35" s="8"/>
      <c r="K35" s="8"/>
      <c r="L35" s="8"/>
    </row>
    <row r="36" customFormat="false" ht="15" hidden="false" customHeight="false" outlineLevel="0" collapsed="false">
      <c r="A36" s="4" t="s">
        <v>293</v>
      </c>
      <c r="B36" s="4"/>
      <c r="C36" s="4"/>
      <c r="D36" s="4"/>
      <c r="E36" s="4"/>
      <c r="F36" s="10"/>
      <c r="G36" s="5" t="n">
        <v>0</v>
      </c>
      <c r="H36" s="4"/>
      <c r="I36" s="9"/>
      <c r="J36" s="8"/>
      <c r="K36" s="8"/>
      <c r="L36" s="8"/>
    </row>
    <row r="37" customFormat="false" ht="15" hidden="false" customHeight="false" outlineLevel="0" collapsed="false">
      <c r="A37" s="4" t="s">
        <v>294</v>
      </c>
      <c r="B37" s="4"/>
      <c r="C37" s="4"/>
      <c r="D37" s="4"/>
      <c r="E37" s="4"/>
      <c r="F37" s="10"/>
      <c r="G37" s="5" t="n">
        <v>0</v>
      </c>
      <c r="H37" s="4"/>
      <c r="I37" s="9"/>
      <c r="J37" s="8"/>
      <c r="K37" s="8"/>
      <c r="L37" s="8"/>
    </row>
    <row r="38" customFormat="false" ht="15" hidden="false" customHeight="false" outlineLevel="0" collapsed="false">
      <c r="A38" s="4" t="s">
        <v>295</v>
      </c>
      <c r="B38" s="4"/>
      <c r="C38" s="4"/>
      <c r="D38" s="4"/>
      <c r="E38" s="4"/>
      <c r="F38" s="10"/>
      <c r="G38" s="5" t="n">
        <v>0</v>
      </c>
      <c r="H38" s="4"/>
      <c r="I38" s="9"/>
      <c r="J38" s="8"/>
      <c r="K38" s="8"/>
      <c r="L38" s="8"/>
    </row>
    <row r="39" customFormat="false" ht="15" hidden="false" customHeight="false" outlineLevel="0" collapsed="false">
      <c r="A39" s="4" t="s">
        <v>296</v>
      </c>
      <c r="B39" s="4"/>
      <c r="C39" s="4"/>
      <c r="D39" s="4"/>
      <c r="E39" s="4"/>
      <c r="F39" s="10"/>
      <c r="G39" s="5" t="n">
        <v>0</v>
      </c>
      <c r="H39" s="4"/>
      <c r="I39" s="9"/>
      <c r="J39" s="8"/>
      <c r="K39" s="8"/>
      <c r="L39" s="8"/>
    </row>
    <row r="40" customFormat="false" ht="15" hidden="false" customHeight="false" outlineLevel="0" collapsed="false">
      <c r="A40" s="4" t="s">
        <v>297</v>
      </c>
      <c r="B40" s="4"/>
      <c r="C40" s="4"/>
      <c r="D40" s="4"/>
      <c r="E40" s="4"/>
      <c r="F40" s="10"/>
      <c r="G40" s="5" t="n">
        <v>0</v>
      </c>
      <c r="H40" s="4"/>
      <c r="I40" s="9"/>
      <c r="J40" s="8"/>
      <c r="K40" s="8"/>
      <c r="L40" s="8"/>
    </row>
    <row r="41" customFormat="false" ht="15" hidden="false" customHeight="false" outlineLevel="0" collapsed="false">
      <c r="A41" s="4" t="s">
        <v>298</v>
      </c>
      <c r="B41" s="4"/>
      <c r="C41" s="4"/>
      <c r="D41" s="4"/>
      <c r="E41" s="4"/>
      <c r="F41" s="10"/>
      <c r="G41" s="5" t="n">
        <v>0</v>
      </c>
      <c r="H41" s="4"/>
      <c r="I41" s="9"/>
      <c r="J41" s="8"/>
      <c r="K41" s="8"/>
      <c r="L41" s="8"/>
    </row>
    <row r="42" customFormat="false" ht="15" hidden="false" customHeight="false" outlineLevel="0" collapsed="false">
      <c r="A42" s="4" t="s">
        <v>299</v>
      </c>
      <c r="B42" s="4"/>
      <c r="C42" s="4"/>
      <c r="D42" s="4"/>
      <c r="E42" s="4"/>
      <c r="F42" s="10"/>
      <c r="G42" s="5" t="n">
        <v>0</v>
      </c>
      <c r="H42" s="4"/>
      <c r="I42" s="9"/>
      <c r="J42" s="8"/>
      <c r="K42" s="8"/>
      <c r="L42" s="8"/>
    </row>
    <row r="43" customFormat="false" ht="15" hidden="false" customHeight="false" outlineLevel="0" collapsed="false">
      <c r="A43" s="4" t="s">
        <v>300</v>
      </c>
      <c r="B43" s="4"/>
      <c r="C43" s="4"/>
      <c r="D43" s="4"/>
      <c r="E43" s="4"/>
      <c r="F43" s="10"/>
      <c r="G43" s="5" t="n">
        <v>0</v>
      </c>
      <c r="H43" s="4"/>
      <c r="I43" s="9"/>
      <c r="J43" s="8"/>
      <c r="K43" s="8"/>
      <c r="L43" s="8"/>
    </row>
    <row r="44" customFormat="false" ht="15" hidden="false" customHeight="false" outlineLevel="0" collapsed="false">
      <c r="A44" s="4" t="s">
        <v>301</v>
      </c>
      <c r="B44" s="4"/>
      <c r="C44" s="4"/>
      <c r="D44" s="4"/>
      <c r="E44" s="4"/>
      <c r="F44" s="10"/>
      <c r="G44" s="5" t="n">
        <v>0</v>
      </c>
      <c r="H44" s="4"/>
      <c r="I44" s="9"/>
      <c r="J44" s="8"/>
      <c r="K44" s="8"/>
      <c r="L44" s="8"/>
    </row>
    <row r="45" customFormat="false" ht="15" hidden="false" customHeight="false" outlineLevel="0" collapsed="false">
      <c r="A45" s="4" t="s">
        <v>302</v>
      </c>
      <c r="B45" s="4"/>
      <c r="C45" s="4"/>
      <c r="D45" s="4"/>
      <c r="E45" s="4"/>
      <c r="F45" s="10"/>
      <c r="G45" s="5" t="n">
        <v>0</v>
      </c>
      <c r="H45" s="4"/>
      <c r="I45" s="9"/>
      <c r="J45" s="8"/>
      <c r="K45" s="8"/>
      <c r="L45" s="8"/>
    </row>
  </sheetData>
  <mergeCells count="2">
    <mergeCell ref="A1:L1"/>
    <mergeCell ref="A2:L2"/>
  </mergeCells>
  <conditionalFormatting sqref="K6:K45">
    <cfRule type="containsText" priority="2" operator="containsText" aboveAverage="0" equalAverage="0" bottom="0" percent="0" rank="0" text="已完成" dxfId="7">
      <formula>NOT(ISERROR(SEARCH("已完成",K6)))</formula>
    </cfRule>
    <cfRule type="containsText" priority="3" operator="containsText" aboveAverage="0" equalAverage="0" bottom="0" percent="0" rank="0" text="高" dxfId="8">
      <formula>NOT(ISERROR(SEARCH("高",K6)))</formula>
    </cfRule>
  </conditionalFormatting>
  <dataValidations count="1">
    <dataValidation allowBlank="false" errorStyle="stop" operator="between" showDropDown="false" showErrorMessage="false" showInputMessage="false" sqref="K6:K45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304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305</v>
      </c>
      <c r="B5" s="3" t="s">
        <v>141</v>
      </c>
      <c r="C5" s="3" t="s">
        <v>143</v>
      </c>
      <c r="D5" s="3" t="s">
        <v>146</v>
      </c>
      <c r="E5" s="3" t="s">
        <v>147</v>
      </c>
      <c r="F5" s="3" t="s">
        <v>148</v>
      </c>
      <c r="G5" s="3" t="s">
        <v>306</v>
      </c>
      <c r="H5" s="3" t="s">
        <v>307</v>
      </c>
      <c r="I5" s="3" t="s">
        <v>308</v>
      </c>
      <c r="J5" s="3" t="s">
        <v>309</v>
      </c>
      <c r="K5" s="3" t="s">
        <v>310</v>
      </c>
      <c r="L5" s="3" t="s">
        <v>311</v>
      </c>
      <c r="M5" s="3" t="s">
        <v>312</v>
      </c>
    </row>
    <row r="6" customFormat="false" ht="15" hidden="false" customHeight="false" outlineLevel="0" collapsed="false">
      <c r="A6" s="4" t="s">
        <v>313</v>
      </c>
      <c r="B6" s="4" t="s">
        <v>158</v>
      </c>
      <c r="C6" s="4" t="s">
        <v>47</v>
      </c>
      <c r="D6" s="4" t="s">
        <v>159</v>
      </c>
      <c r="E6" s="4" t="s">
        <v>160</v>
      </c>
      <c r="F6" s="4" t="s">
        <v>161</v>
      </c>
      <c r="G6" s="5" t="n">
        <v>2260000</v>
      </c>
      <c r="H6" s="5" t="n">
        <v>2260000</v>
      </c>
      <c r="I6" s="5" t="n">
        <v>2260000</v>
      </c>
      <c r="J6" s="8" t="s">
        <v>314</v>
      </c>
      <c r="K6" s="8" t="s">
        <v>163</v>
      </c>
      <c r="L6" s="8" t="s">
        <v>53</v>
      </c>
      <c r="M6" s="8"/>
    </row>
    <row r="7" customFormat="false" ht="15" hidden="false" customHeight="false" outlineLevel="0" collapsed="false">
      <c r="A7" s="4" t="s">
        <v>315</v>
      </c>
      <c r="B7" s="4" t="s">
        <v>165</v>
      </c>
      <c r="C7" s="4" t="s">
        <v>47</v>
      </c>
      <c r="D7" s="4" t="s">
        <v>166</v>
      </c>
      <c r="E7" s="4" t="s">
        <v>167</v>
      </c>
      <c r="F7" s="4"/>
      <c r="G7" s="5" t="n">
        <v>1695000</v>
      </c>
      <c r="H7" s="5" t="n">
        <v>1695000</v>
      </c>
      <c r="I7" s="5" t="n">
        <v>1695000</v>
      </c>
      <c r="J7" s="8" t="s">
        <v>316</v>
      </c>
      <c r="K7" s="8" t="s">
        <v>163</v>
      </c>
      <c r="L7" s="8" t="s">
        <v>53</v>
      </c>
      <c r="M7" s="8"/>
    </row>
    <row r="8" customFormat="false" ht="15" hidden="false" customHeight="false" outlineLevel="0" collapsed="false">
      <c r="A8" s="4" t="s">
        <v>317</v>
      </c>
      <c r="B8" s="4" t="s">
        <v>169</v>
      </c>
      <c r="C8" s="4" t="s">
        <v>58</v>
      </c>
      <c r="D8" s="4" t="s">
        <v>170</v>
      </c>
      <c r="E8" s="4" t="s">
        <v>171</v>
      </c>
      <c r="F8" s="4" t="s">
        <v>172</v>
      </c>
      <c r="G8" s="5" t="n">
        <v>1356000</v>
      </c>
      <c r="H8" s="5" t="n">
        <v>1356000</v>
      </c>
      <c r="I8" s="5" t="n">
        <v>1356000</v>
      </c>
      <c r="J8" s="8" t="s">
        <v>314</v>
      </c>
      <c r="K8" s="8" t="s">
        <v>163</v>
      </c>
      <c r="L8" s="8" t="s">
        <v>53</v>
      </c>
      <c r="M8" s="8"/>
    </row>
    <row r="9" customFormat="false" ht="15" hidden="false" customHeight="false" outlineLevel="0" collapsed="false">
      <c r="A9" s="4" t="s">
        <v>318</v>
      </c>
      <c r="B9" s="4" t="s">
        <v>175</v>
      </c>
      <c r="C9" s="4" t="s">
        <v>65</v>
      </c>
      <c r="D9" s="4" t="s">
        <v>176</v>
      </c>
      <c r="E9" s="4" t="s">
        <v>177</v>
      </c>
      <c r="F9" s="4" t="s">
        <v>178</v>
      </c>
      <c r="G9" s="5" t="n">
        <v>904000</v>
      </c>
      <c r="H9" s="5" t="n">
        <v>904000</v>
      </c>
      <c r="I9" s="5" t="n">
        <v>904000</v>
      </c>
      <c r="J9" s="8" t="s">
        <v>314</v>
      </c>
      <c r="K9" s="8" t="s">
        <v>180</v>
      </c>
      <c r="L9" s="8" t="s">
        <v>70</v>
      </c>
      <c r="M9" s="8"/>
    </row>
    <row r="10" customFormat="false" ht="15" hidden="false" customHeight="false" outlineLevel="0" collapsed="false">
      <c r="A10" s="4" t="s">
        <v>319</v>
      </c>
      <c r="B10" s="4" t="s">
        <v>182</v>
      </c>
      <c r="C10" s="4" t="s">
        <v>75</v>
      </c>
      <c r="D10" s="4" t="s">
        <v>183</v>
      </c>
      <c r="E10" s="4" t="s">
        <v>184</v>
      </c>
      <c r="F10" s="4" t="s">
        <v>185</v>
      </c>
      <c r="G10" s="5" t="n">
        <v>678000</v>
      </c>
      <c r="H10" s="5" t="n">
        <v>678000</v>
      </c>
      <c r="I10" s="5" t="n">
        <v>678000</v>
      </c>
      <c r="J10" s="8" t="s">
        <v>314</v>
      </c>
      <c r="K10" s="8" t="s">
        <v>163</v>
      </c>
      <c r="L10" s="8" t="s">
        <v>78</v>
      </c>
      <c r="M10" s="8"/>
    </row>
    <row r="11" customFormat="false" ht="15" hidden="false" customHeight="false" outlineLevel="0" collapsed="false">
      <c r="A11" s="4" t="s">
        <v>320</v>
      </c>
      <c r="B11" s="4" t="s">
        <v>188</v>
      </c>
      <c r="C11" s="4" t="s">
        <v>83</v>
      </c>
      <c r="D11" s="4" t="s">
        <v>189</v>
      </c>
      <c r="E11" s="4" t="s">
        <v>190</v>
      </c>
      <c r="F11" s="4" t="s">
        <v>191</v>
      </c>
      <c r="G11" s="5" t="n">
        <v>339000</v>
      </c>
      <c r="H11" s="5" t="n">
        <v>339000</v>
      </c>
      <c r="I11" s="5" t="n">
        <v>339000</v>
      </c>
      <c r="J11" s="8" t="s">
        <v>314</v>
      </c>
      <c r="K11" s="8" t="s">
        <v>163</v>
      </c>
      <c r="L11" s="8" t="s">
        <v>86</v>
      </c>
      <c r="M11" s="8"/>
    </row>
    <row r="12" customFormat="false" ht="15" hidden="false" customHeight="false" outlineLevel="0" collapsed="false">
      <c r="A12" s="4" t="s">
        <v>321</v>
      </c>
      <c r="B12" s="4" t="s">
        <v>193</v>
      </c>
      <c r="C12" s="4" t="s">
        <v>91</v>
      </c>
      <c r="D12" s="4" t="s">
        <v>194</v>
      </c>
      <c r="E12" s="4"/>
      <c r="F12" s="4" t="s">
        <v>195</v>
      </c>
      <c r="G12" s="5" t="n">
        <v>565000</v>
      </c>
      <c r="H12" s="5" t="n">
        <v>565000</v>
      </c>
      <c r="I12" s="5" t="n">
        <v>565000</v>
      </c>
      <c r="J12" s="8" t="s">
        <v>314</v>
      </c>
      <c r="K12" s="8" t="s">
        <v>180</v>
      </c>
      <c r="L12" s="8" t="s">
        <v>95</v>
      </c>
      <c r="M12" s="8"/>
    </row>
    <row r="13" customFormat="false" ht="15" hidden="false" customHeight="false" outlineLevel="0" collapsed="false">
      <c r="A13" s="4" t="s">
        <v>322</v>
      </c>
      <c r="B13" s="4" t="s">
        <v>198</v>
      </c>
      <c r="C13" s="4" t="s">
        <v>100</v>
      </c>
      <c r="D13" s="4" t="s">
        <v>199</v>
      </c>
      <c r="E13" s="4" t="s">
        <v>200</v>
      </c>
      <c r="F13" s="4" t="s">
        <v>201</v>
      </c>
      <c r="G13" s="5" t="n">
        <v>2260000</v>
      </c>
      <c r="H13" s="5" t="n">
        <v>2260000</v>
      </c>
      <c r="I13" s="5" t="n">
        <v>2260000</v>
      </c>
      <c r="J13" s="8" t="s">
        <v>314</v>
      </c>
      <c r="K13" s="8" t="s">
        <v>163</v>
      </c>
      <c r="L13" s="8" t="s">
        <v>103</v>
      </c>
      <c r="M13" s="8"/>
    </row>
    <row r="14" customFormat="false" ht="15" hidden="false" customHeight="false" outlineLevel="0" collapsed="false">
      <c r="A14" s="4" t="s">
        <v>323</v>
      </c>
      <c r="B14" s="4" t="s">
        <v>204</v>
      </c>
      <c r="C14" s="4" t="s">
        <v>108</v>
      </c>
      <c r="D14" s="4" t="s">
        <v>205</v>
      </c>
      <c r="E14" s="4" t="s">
        <v>206</v>
      </c>
      <c r="F14" s="4" t="s">
        <v>207</v>
      </c>
      <c r="G14" s="5" t="n">
        <v>452000</v>
      </c>
      <c r="H14" s="5" t="n">
        <v>452000</v>
      </c>
      <c r="I14" s="5" t="n">
        <v>452000</v>
      </c>
      <c r="J14" s="8" t="s">
        <v>314</v>
      </c>
      <c r="K14" s="8" t="s">
        <v>163</v>
      </c>
      <c r="L14" s="8" t="s">
        <v>70</v>
      </c>
      <c r="M14" s="8"/>
    </row>
    <row r="15" customFormat="false" ht="15" hidden="false" customHeight="false" outlineLevel="0" collapsed="false">
      <c r="A15" s="4" t="s">
        <v>324</v>
      </c>
      <c r="B15" s="4" t="s">
        <v>208</v>
      </c>
      <c r="C15" s="4" t="s">
        <v>113</v>
      </c>
      <c r="D15" s="4" t="s">
        <v>209</v>
      </c>
      <c r="E15" s="4" t="s">
        <v>210</v>
      </c>
      <c r="F15" s="4"/>
      <c r="G15" s="5" t="n">
        <v>791000</v>
      </c>
      <c r="H15" s="5" t="n">
        <v>791000</v>
      </c>
      <c r="I15" s="5" t="n">
        <v>791000</v>
      </c>
      <c r="J15" s="8" t="s">
        <v>316</v>
      </c>
      <c r="K15" s="8" t="s">
        <v>163</v>
      </c>
      <c r="L15" s="8" t="s">
        <v>116</v>
      </c>
      <c r="M15" s="8"/>
    </row>
    <row r="16" customFormat="false" ht="15" hidden="false" customHeight="false" outlineLevel="0" collapsed="false">
      <c r="A16" s="4" t="s">
        <v>325</v>
      </c>
      <c r="B16" s="4" t="s">
        <v>212</v>
      </c>
      <c r="C16" s="4" t="s">
        <v>120</v>
      </c>
      <c r="D16" s="4" t="s">
        <v>213</v>
      </c>
      <c r="E16" s="4" t="s">
        <v>214</v>
      </c>
      <c r="F16" s="4" t="s">
        <v>215</v>
      </c>
      <c r="G16" s="5" t="n">
        <v>1130000</v>
      </c>
      <c r="H16" s="5" t="n">
        <v>1130000</v>
      </c>
      <c r="I16" s="5" t="n">
        <v>1130000</v>
      </c>
      <c r="J16" s="8" t="s">
        <v>314</v>
      </c>
      <c r="K16" s="8" t="s">
        <v>163</v>
      </c>
      <c r="L16" s="8" t="s">
        <v>122</v>
      </c>
      <c r="M16" s="8"/>
    </row>
    <row r="17" customFormat="false" ht="15" hidden="false" customHeight="false" outlineLevel="0" collapsed="false">
      <c r="A17" s="4" t="s">
        <v>326</v>
      </c>
      <c r="B17" s="4" t="s">
        <v>217</v>
      </c>
      <c r="C17" s="4" t="s">
        <v>126</v>
      </c>
      <c r="D17" s="4" t="s">
        <v>218</v>
      </c>
      <c r="E17" s="4" t="s">
        <v>219</v>
      </c>
      <c r="F17" s="4" t="s">
        <v>220</v>
      </c>
      <c r="G17" s="5" t="n">
        <v>226000</v>
      </c>
      <c r="H17" s="5" t="n">
        <v>226000</v>
      </c>
      <c r="I17" s="5" t="n">
        <v>226000</v>
      </c>
      <c r="J17" s="8" t="s">
        <v>314</v>
      </c>
      <c r="K17" s="8" t="s">
        <v>180</v>
      </c>
      <c r="L17" s="8" t="s">
        <v>70</v>
      </c>
      <c r="M17" s="8"/>
    </row>
    <row r="18" customFormat="false" ht="15" hidden="false" customHeight="false" outlineLevel="0" collapsed="false">
      <c r="A18" s="4" t="s">
        <v>327</v>
      </c>
      <c r="B18" s="4" t="s">
        <v>223</v>
      </c>
      <c r="C18" s="4" t="s">
        <v>134</v>
      </c>
      <c r="D18" s="4" t="s">
        <v>224</v>
      </c>
      <c r="E18" s="4" t="s">
        <v>225</v>
      </c>
      <c r="F18" s="4" t="s">
        <v>226</v>
      </c>
      <c r="G18" s="5" t="n">
        <v>1808000</v>
      </c>
      <c r="H18" s="5" t="n">
        <v>1808000</v>
      </c>
      <c r="I18" s="5" t="n">
        <v>1808000</v>
      </c>
      <c r="J18" s="8" t="s">
        <v>314</v>
      </c>
      <c r="K18" s="8" t="s">
        <v>163</v>
      </c>
      <c r="L18" s="8" t="s">
        <v>136</v>
      </c>
      <c r="M18" s="8"/>
    </row>
    <row r="19" customFormat="false" ht="15" hidden="false" customHeight="false" outlineLevel="0" collapsed="false">
      <c r="A19" s="4" t="s">
        <v>328</v>
      </c>
      <c r="B19" s="4" t="s">
        <v>229</v>
      </c>
      <c r="C19" s="4" t="s">
        <v>58</v>
      </c>
      <c r="D19" s="4" t="s">
        <v>230</v>
      </c>
      <c r="E19" s="4" t="s">
        <v>231</v>
      </c>
      <c r="F19" s="4" t="s">
        <v>232</v>
      </c>
      <c r="G19" s="5" t="n">
        <v>113000</v>
      </c>
      <c r="H19" s="5" t="n">
        <v>113000</v>
      </c>
      <c r="I19" s="5" t="n">
        <v>113000</v>
      </c>
      <c r="J19" s="8" t="s">
        <v>314</v>
      </c>
      <c r="K19" s="8" t="s">
        <v>163</v>
      </c>
      <c r="L19" s="8" t="s">
        <v>53</v>
      </c>
      <c r="M19" s="8"/>
    </row>
    <row r="20" customFormat="false" ht="15" hidden="false" customHeight="false" outlineLevel="0" collapsed="false">
      <c r="A20" s="4" t="s">
        <v>329</v>
      </c>
      <c r="B20" s="4" t="s">
        <v>235</v>
      </c>
      <c r="C20" s="4" t="s">
        <v>65</v>
      </c>
      <c r="D20" s="4" t="s">
        <v>236</v>
      </c>
      <c r="E20" s="4" t="s">
        <v>237</v>
      </c>
      <c r="F20" s="4" t="s">
        <v>238</v>
      </c>
      <c r="G20" s="5" t="n">
        <v>339000</v>
      </c>
      <c r="H20" s="5" t="n">
        <v>339000</v>
      </c>
      <c r="I20" s="5" t="n">
        <v>339000</v>
      </c>
      <c r="J20" s="8" t="s">
        <v>314</v>
      </c>
      <c r="K20" s="8" t="s">
        <v>180</v>
      </c>
      <c r="L20" s="8" t="s">
        <v>70</v>
      </c>
      <c r="M20" s="8"/>
    </row>
    <row r="21" customFormat="false" ht="15" hidden="false" customHeight="false" outlineLevel="0" collapsed="false">
      <c r="A21" s="4" t="s">
        <v>330</v>
      </c>
      <c r="B21" s="4" t="s">
        <v>241</v>
      </c>
      <c r="C21" s="4" t="s">
        <v>108</v>
      </c>
      <c r="D21" s="4" t="s">
        <v>242</v>
      </c>
      <c r="E21" s="4" t="s">
        <v>243</v>
      </c>
      <c r="F21" s="4" t="s">
        <v>244</v>
      </c>
      <c r="G21" s="5" t="n">
        <v>226000</v>
      </c>
      <c r="H21" s="5" t="n">
        <v>226000</v>
      </c>
      <c r="I21" s="5" t="n">
        <v>226000</v>
      </c>
      <c r="J21" s="8" t="s">
        <v>314</v>
      </c>
      <c r="K21" s="8" t="s">
        <v>163</v>
      </c>
      <c r="L21" s="8" t="s">
        <v>70</v>
      </c>
      <c r="M21" s="8"/>
    </row>
    <row r="22" customFormat="false" ht="15" hidden="false" customHeight="false" outlineLevel="0" collapsed="false">
      <c r="A22" s="4" t="s">
        <v>331</v>
      </c>
      <c r="B22" s="4" t="s">
        <v>246</v>
      </c>
      <c r="C22" s="4" t="s">
        <v>83</v>
      </c>
      <c r="D22" s="4" t="s">
        <v>247</v>
      </c>
      <c r="E22" s="4" t="s">
        <v>248</v>
      </c>
      <c r="F22" s="4" t="s">
        <v>249</v>
      </c>
      <c r="G22" s="5" t="n">
        <v>169500</v>
      </c>
      <c r="H22" s="5" t="n">
        <v>169500</v>
      </c>
      <c r="I22" s="5" t="n">
        <v>169500</v>
      </c>
      <c r="J22" s="8" t="s">
        <v>314</v>
      </c>
      <c r="K22" s="8" t="s">
        <v>163</v>
      </c>
      <c r="L22" s="8" t="s">
        <v>86</v>
      </c>
      <c r="M22" s="8"/>
    </row>
    <row r="23" customFormat="false" ht="15" hidden="false" customHeight="false" outlineLevel="0" collapsed="false">
      <c r="A23" s="4" t="s">
        <v>332</v>
      </c>
      <c r="B23" s="4" t="s">
        <v>250</v>
      </c>
      <c r="C23" s="4" t="s">
        <v>120</v>
      </c>
      <c r="D23" s="4" t="s">
        <v>251</v>
      </c>
      <c r="E23" s="4" t="s">
        <v>252</v>
      </c>
      <c r="F23" s="4"/>
      <c r="G23" s="5" t="n">
        <v>904000</v>
      </c>
      <c r="H23" s="5" t="n">
        <v>904000</v>
      </c>
      <c r="I23" s="5" t="n">
        <v>904000</v>
      </c>
      <c r="J23" s="8" t="s">
        <v>316</v>
      </c>
      <c r="K23" s="8" t="s">
        <v>163</v>
      </c>
      <c r="L23" s="8" t="s">
        <v>122</v>
      </c>
      <c r="M23" s="8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42"/>
    <col collapsed="false" customWidth="true" hidden="false" outlineLevel="0" max="10" min="10" style="0" width="15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334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335</v>
      </c>
      <c r="B5" s="3" t="s">
        <v>141</v>
      </c>
      <c r="C5" s="3" t="s">
        <v>143</v>
      </c>
      <c r="D5" s="3" t="s">
        <v>145</v>
      </c>
      <c r="E5" s="3" t="s">
        <v>151</v>
      </c>
      <c r="F5" s="3" t="s">
        <v>152</v>
      </c>
      <c r="G5" s="3" t="s">
        <v>153</v>
      </c>
      <c r="H5" s="3" t="s">
        <v>42</v>
      </c>
      <c r="I5" s="3" t="s">
        <v>336</v>
      </c>
      <c r="J5" s="3" t="s">
        <v>337</v>
      </c>
      <c r="K5" s="3" t="s">
        <v>41</v>
      </c>
    </row>
    <row r="6" customFormat="false" ht="15" hidden="false" customHeight="false" outlineLevel="0" collapsed="false">
      <c r="A6" s="4" t="s">
        <v>338</v>
      </c>
      <c r="B6" s="4" t="s">
        <v>158</v>
      </c>
      <c r="C6" s="4" t="s">
        <v>47</v>
      </c>
      <c r="D6" s="10" t="n">
        <v>46266</v>
      </c>
      <c r="E6" s="5" t="n">
        <v>2260000</v>
      </c>
      <c r="F6" s="4" t="s">
        <v>162</v>
      </c>
      <c r="G6" s="4" t="s">
        <v>163</v>
      </c>
      <c r="H6" s="4" t="s">
        <v>53</v>
      </c>
      <c r="I6" s="8"/>
      <c r="J6" s="9"/>
      <c r="K6" s="8" t="s">
        <v>339</v>
      </c>
    </row>
    <row r="7" customFormat="false" ht="15" hidden="false" customHeight="false" outlineLevel="0" collapsed="false">
      <c r="A7" s="4" t="s">
        <v>340</v>
      </c>
      <c r="B7" s="4" t="s">
        <v>165</v>
      </c>
      <c r="C7" s="4" t="s">
        <v>47</v>
      </c>
      <c r="D7" s="10" t="n">
        <v>46312</v>
      </c>
      <c r="E7" s="5" t="n">
        <v>1695000</v>
      </c>
      <c r="F7" s="4" t="s">
        <v>17</v>
      </c>
      <c r="G7" s="4" t="s">
        <v>163</v>
      </c>
      <c r="H7" s="4" t="s">
        <v>53</v>
      </c>
      <c r="I7" s="8"/>
      <c r="J7" s="9"/>
      <c r="K7" s="8" t="s">
        <v>339</v>
      </c>
    </row>
    <row r="8" customFormat="false" ht="15" hidden="false" customHeight="false" outlineLevel="0" collapsed="false">
      <c r="A8" s="4" t="s">
        <v>341</v>
      </c>
      <c r="B8" s="4" t="s">
        <v>169</v>
      </c>
      <c r="C8" s="4" t="s">
        <v>58</v>
      </c>
      <c r="D8" s="10" t="n">
        <v>46238</v>
      </c>
      <c r="E8" s="5" t="n">
        <v>856000</v>
      </c>
      <c r="F8" s="4" t="s">
        <v>173</v>
      </c>
      <c r="G8" s="4" t="s">
        <v>163</v>
      </c>
      <c r="H8" s="4" t="s">
        <v>53</v>
      </c>
      <c r="I8" s="8"/>
      <c r="J8" s="9"/>
      <c r="K8" s="8" t="s">
        <v>339</v>
      </c>
    </row>
    <row r="9" customFormat="false" ht="15" hidden="false" customHeight="false" outlineLevel="0" collapsed="false">
      <c r="A9" s="4" t="s">
        <v>342</v>
      </c>
      <c r="B9" s="4" t="s">
        <v>175</v>
      </c>
      <c r="C9" s="4" t="s">
        <v>65</v>
      </c>
      <c r="D9" s="10" t="n">
        <v>46182</v>
      </c>
      <c r="E9" s="5" t="n">
        <v>904000</v>
      </c>
      <c r="F9" s="4" t="s">
        <v>179</v>
      </c>
      <c r="G9" s="4" t="s">
        <v>180</v>
      </c>
      <c r="H9" s="4" t="s">
        <v>70</v>
      </c>
      <c r="I9" s="8"/>
      <c r="J9" s="9"/>
      <c r="K9" s="8" t="s">
        <v>339</v>
      </c>
    </row>
    <row r="10" customFormat="false" ht="15" hidden="false" customHeight="false" outlineLevel="0" collapsed="false">
      <c r="A10" s="4" t="s">
        <v>343</v>
      </c>
      <c r="B10" s="4" t="s">
        <v>188</v>
      </c>
      <c r="C10" s="4" t="s">
        <v>83</v>
      </c>
      <c r="D10" s="10" t="n">
        <v>46264</v>
      </c>
      <c r="E10" s="5" t="n">
        <v>339000</v>
      </c>
      <c r="F10" s="4" t="s">
        <v>173</v>
      </c>
      <c r="G10" s="4" t="s">
        <v>163</v>
      </c>
      <c r="H10" s="4" t="s">
        <v>86</v>
      </c>
      <c r="I10" s="8"/>
      <c r="J10" s="9"/>
      <c r="K10" s="8" t="s">
        <v>339</v>
      </c>
    </row>
    <row r="11" customFormat="false" ht="15" hidden="false" customHeight="false" outlineLevel="0" collapsed="false">
      <c r="A11" s="4" t="s">
        <v>344</v>
      </c>
      <c r="B11" s="4" t="s">
        <v>193</v>
      </c>
      <c r="C11" s="4" t="s">
        <v>91</v>
      </c>
      <c r="D11" s="10" t="n">
        <v>46248</v>
      </c>
      <c r="E11" s="5" t="n">
        <v>565000</v>
      </c>
      <c r="F11" s="4" t="s">
        <v>196</v>
      </c>
      <c r="G11" s="4" t="s">
        <v>180</v>
      </c>
      <c r="H11" s="4" t="s">
        <v>95</v>
      </c>
      <c r="I11" s="8"/>
      <c r="J11" s="9"/>
      <c r="K11" s="8" t="s">
        <v>339</v>
      </c>
    </row>
    <row r="12" customFormat="false" ht="15" hidden="false" customHeight="false" outlineLevel="0" collapsed="false">
      <c r="A12" s="4" t="s">
        <v>345</v>
      </c>
      <c r="B12" s="4" t="s">
        <v>198</v>
      </c>
      <c r="C12" s="4" t="s">
        <v>100</v>
      </c>
      <c r="D12" s="10" t="n">
        <v>46276</v>
      </c>
      <c r="E12" s="5" t="n">
        <v>1130000</v>
      </c>
      <c r="F12" s="4" t="s">
        <v>202</v>
      </c>
      <c r="G12" s="4" t="s">
        <v>163</v>
      </c>
      <c r="H12" s="4" t="s">
        <v>103</v>
      </c>
      <c r="I12" s="8"/>
      <c r="J12" s="9"/>
      <c r="K12" s="8" t="s">
        <v>339</v>
      </c>
    </row>
    <row r="13" customFormat="false" ht="15" hidden="false" customHeight="false" outlineLevel="0" collapsed="false">
      <c r="A13" s="4" t="s">
        <v>346</v>
      </c>
      <c r="B13" s="4" t="s">
        <v>204</v>
      </c>
      <c r="C13" s="4" t="s">
        <v>108</v>
      </c>
      <c r="D13" s="10" t="n">
        <v>46304</v>
      </c>
      <c r="E13" s="5" t="n">
        <v>452000</v>
      </c>
      <c r="F13" s="4" t="s">
        <v>162</v>
      </c>
      <c r="G13" s="4" t="s">
        <v>163</v>
      </c>
      <c r="H13" s="4" t="s">
        <v>70</v>
      </c>
      <c r="I13" s="8"/>
      <c r="J13" s="9"/>
      <c r="K13" s="8" t="s">
        <v>339</v>
      </c>
    </row>
    <row r="14" customFormat="false" ht="15" hidden="false" customHeight="false" outlineLevel="0" collapsed="false">
      <c r="A14" s="4" t="s">
        <v>347</v>
      </c>
      <c r="B14" s="4" t="s">
        <v>208</v>
      </c>
      <c r="C14" s="4" t="s">
        <v>113</v>
      </c>
      <c r="D14" s="10" t="n">
        <v>46280</v>
      </c>
      <c r="E14" s="5" t="n">
        <v>791000</v>
      </c>
      <c r="F14" s="4" t="s">
        <v>17</v>
      </c>
      <c r="G14" s="4" t="s">
        <v>163</v>
      </c>
      <c r="H14" s="4" t="s">
        <v>116</v>
      </c>
      <c r="I14" s="8"/>
      <c r="J14" s="9"/>
      <c r="K14" s="8" t="s">
        <v>339</v>
      </c>
    </row>
    <row r="15" customFormat="false" ht="15" hidden="false" customHeight="false" outlineLevel="0" collapsed="false">
      <c r="A15" s="4" t="s">
        <v>348</v>
      </c>
      <c r="B15" s="4" t="s">
        <v>212</v>
      </c>
      <c r="C15" s="4" t="s">
        <v>120</v>
      </c>
      <c r="D15" s="10" t="n">
        <v>46264</v>
      </c>
      <c r="E15" s="5" t="n">
        <v>1130000</v>
      </c>
      <c r="F15" s="4" t="s">
        <v>173</v>
      </c>
      <c r="G15" s="4" t="s">
        <v>163</v>
      </c>
      <c r="H15" s="4" t="s">
        <v>122</v>
      </c>
      <c r="I15" s="8"/>
      <c r="J15" s="9"/>
      <c r="K15" s="8" t="s">
        <v>339</v>
      </c>
    </row>
    <row r="16" customFormat="false" ht="15" hidden="false" customHeight="false" outlineLevel="0" collapsed="false">
      <c r="A16" s="4" t="s">
        <v>349</v>
      </c>
      <c r="B16" s="4" t="s">
        <v>217</v>
      </c>
      <c r="C16" s="4" t="s">
        <v>126</v>
      </c>
      <c r="D16" s="10" t="n">
        <v>46274</v>
      </c>
      <c r="E16" s="5" t="n">
        <v>226000</v>
      </c>
      <c r="F16" s="4" t="s">
        <v>221</v>
      </c>
      <c r="G16" s="4" t="s">
        <v>180</v>
      </c>
      <c r="H16" s="4" t="s">
        <v>70</v>
      </c>
      <c r="I16" s="8"/>
      <c r="J16" s="9"/>
      <c r="K16" s="8" t="s">
        <v>339</v>
      </c>
    </row>
    <row r="17" customFormat="false" ht="15" hidden="false" customHeight="false" outlineLevel="0" collapsed="false">
      <c r="A17" s="4" t="s">
        <v>350</v>
      </c>
      <c r="B17" s="4" t="s">
        <v>223</v>
      </c>
      <c r="C17" s="4" t="s">
        <v>134</v>
      </c>
      <c r="D17" s="10" t="n">
        <v>46263</v>
      </c>
      <c r="E17" s="5" t="n">
        <v>1008000</v>
      </c>
      <c r="F17" s="4" t="s">
        <v>227</v>
      </c>
      <c r="G17" s="4" t="s">
        <v>163</v>
      </c>
      <c r="H17" s="4" t="s">
        <v>136</v>
      </c>
      <c r="I17" s="8"/>
      <c r="J17" s="9"/>
      <c r="K17" s="8" t="s">
        <v>339</v>
      </c>
    </row>
    <row r="18" customFormat="false" ht="15" hidden="false" customHeight="false" outlineLevel="0" collapsed="false">
      <c r="A18" s="4" t="s">
        <v>351</v>
      </c>
      <c r="B18" s="4" t="s">
        <v>229</v>
      </c>
      <c r="C18" s="4" t="s">
        <v>58</v>
      </c>
      <c r="D18" s="10" t="n">
        <v>45748</v>
      </c>
      <c r="E18" s="5" t="n">
        <v>113000</v>
      </c>
      <c r="F18" s="4" t="s">
        <v>233</v>
      </c>
      <c r="G18" s="4" t="s">
        <v>163</v>
      </c>
      <c r="H18" s="4" t="s">
        <v>53</v>
      </c>
      <c r="I18" s="8"/>
      <c r="J18" s="9"/>
      <c r="K18" s="8" t="s">
        <v>339</v>
      </c>
    </row>
    <row r="19" customFormat="false" ht="15" hidden="false" customHeight="false" outlineLevel="0" collapsed="false">
      <c r="A19" s="4" t="s">
        <v>352</v>
      </c>
      <c r="B19" s="4" t="s">
        <v>241</v>
      </c>
      <c r="C19" s="4" t="s">
        <v>108</v>
      </c>
      <c r="D19" s="10" t="n">
        <v>46309</v>
      </c>
      <c r="E19" s="5" t="n">
        <v>226000</v>
      </c>
      <c r="F19" s="4" t="s">
        <v>162</v>
      </c>
      <c r="G19" s="4" t="s">
        <v>163</v>
      </c>
      <c r="H19" s="4" t="s">
        <v>70</v>
      </c>
      <c r="I19" s="8"/>
      <c r="J19" s="9"/>
      <c r="K19" s="8" t="s">
        <v>339</v>
      </c>
    </row>
    <row r="20" customFormat="false" ht="15" hidden="false" customHeight="false" outlineLevel="0" collapsed="false">
      <c r="A20" s="4" t="s">
        <v>353</v>
      </c>
      <c r="B20" s="4" t="s">
        <v>246</v>
      </c>
      <c r="C20" s="4" t="s">
        <v>83</v>
      </c>
      <c r="D20" s="10" t="n">
        <v>46284</v>
      </c>
      <c r="E20" s="5" t="n">
        <v>169500</v>
      </c>
      <c r="F20" s="4" t="s">
        <v>162</v>
      </c>
      <c r="G20" s="4" t="s">
        <v>163</v>
      </c>
      <c r="H20" s="4" t="s">
        <v>86</v>
      </c>
      <c r="I20" s="8"/>
      <c r="J20" s="9"/>
      <c r="K20" s="8" t="s">
        <v>339</v>
      </c>
    </row>
    <row r="21" customFormat="false" ht="15" hidden="false" customHeight="false" outlineLevel="0" collapsed="false">
      <c r="A21" s="4" t="s">
        <v>354</v>
      </c>
      <c r="B21" s="4" t="s">
        <v>250</v>
      </c>
      <c r="C21" s="4" t="s">
        <v>120</v>
      </c>
      <c r="D21" s="10" t="n">
        <v>46295</v>
      </c>
      <c r="E21" s="5" t="n">
        <v>904000</v>
      </c>
      <c r="F21" s="4" t="s">
        <v>17</v>
      </c>
      <c r="G21" s="4" t="s">
        <v>163</v>
      </c>
      <c r="H21" s="4" t="s">
        <v>122</v>
      </c>
      <c r="I21" s="8"/>
      <c r="J21" s="9"/>
      <c r="K21" s="8" t="s">
        <v>339</v>
      </c>
    </row>
    <row r="22" customFormat="false" ht="15" hidden="false" customHeight="false" outlineLevel="0" collapsed="false">
      <c r="A22" s="4" t="s">
        <v>355</v>
      </c>
      <c r="B22" s="4"/>
      <c r="C22" s="4"/>
      <c r="D22" s="10"/>
      <c r="E22" s="5" t="n">
        <v>0</v>
      </c>
      <c r="F22" s="4"/>
      <c r="G22" s="4"/>
      <c r="H22" s="4"/>
      <c r="I22" s="8"/>
      <c r="J22" s="9"/>
      <c r="K22" s="8"/>
    </row>
    <row r="23" customFormat="false" ht="15" hidden="false" customHeight="false" outlineLevel="0" collapsed="false">
      <c r="A23" s="4" t="s">
        <v>356</v>
      </c>
      <c r="B23" s="4"/>
      <c r="C23" s="4"/>
      <c r="D23" s="10"/>
      <c r="E23" s="5" t="n">
        <v>0</v>
      </c>
      <c r="F23" s="4"/>
      <c r="G23" s="4"/>
      <c r="H23" s="4"/>
      <c r="I23" s="8"/>
      <c r="J23" s="9"/>
      <c r="K23" s="8"/>
    </row>
    <row r="24" customFormat="false" ht="15" hidden="false" customHeight="false" outlineLevel="0" collapsed="false">
      <c r="A24" s="4" t="s">
        <v>357</v>
      </c>
      <c r="B24" s="4"/>
      <c r="C24" s="4"/>
      <c r="D24" s="10"/>
      <c r="E24" s="5" t="n">
        <v>0</v>
      </c>
      <c r="F24" s="4"/>
      <c r="G24" s="4"/>
      <c r="H24" s="4"/>
      <c r="I24" s="8"/>
      <c r="J24" s="9"/>
      <c r="K24" s="8"/>
    </row>
    <row r="25" customFormat="false" ht="15" hidden="false" customHeight="false" outlineLevel="0" collapsed="false">
      <c r="A25" s="4" t="s">
        <v>358</v>
      </c>
      <c r="B25" s="4"/>
      <c r="C25" s="4"/>
      <c r="D25" s="10"/>
      <c r="E25" s="5" t="n">
        <v>0</v>
      </c>
      <c r="F25" s="4"/>
      <c r="G25" s="4"/>
      <c r="H25" s="4"/>
      <c r="I25" s="8"/>
      <c r="J25" s="9"/>
      <c r="K25" s="8"/>
    </row>
    <row r="26" customFormat="false" ht="15" hidden="false" customHeight="false" outlineLevel="0" collapsed="false">
      <c r="A26" s="4" t="s">
        <v>359</v>
      </c>
      <c r="B26" s="4"/>
      <c r="C26" s="4"/>
      <c r="D26" s="10"/>
      <c r="E26" s="5" t="n">
        <v>0</v>
      </c>
      <c r="F26" s="4"/>
      <c r="G26" s="4"/>
      <c r="H26" s="4"/>
      <c r="I26" s="8"/>
      <c r="J26" s="9"/>
      <c r="K26" s="8"/>
    </row>
    <row r="27" customFormat="false" ht="15" hidden="false" customHeight="false" outlineLevel="0" collapsed="false">
      <c r="A27" s="4" t="s">
        <v>360</v>
      </c>
      <c r="B27" s="4"/>
      <c r="C27" s="4"/>
      <c r="D27" s="10"/>
      <c r="E27" s="5" t="n">
        <v>0</v>
      </c>
      <c r="F27" s="4"/>
      <c r="G27" s="4"/>
      <c r="H27" s="4"/>
      <c r="I27" s="8"/>
      <c r="J27" s="9"/>
      <c r="K27" s="8"/>
    </row>
    <row r="28" customFormat="false" ht="15" hidden="false" customHeight="false" outlineLevel="0" collapsed="false">
      <c r="A28" s="4" t="s">
        <v>361</v>
      </c>
      <c r="B28" s="4"/>
      <c r="C28" s="4"/>
      <c r="D28" s="10"/>
      <c r="E28" s="5" t="n">
        <v>0</v>
      </c>
      <c r="F28" s="4"/>
      <c r="G28" s="4"/>
      <c r="H28" s="4"/>
      <c r="I28" s="8"/>
      <c r="J28" s="9"/>
      <c r="K28" s="8"/>
    </row>
    <row r="29" customFormat="false" ht="15" hidden="false" customHeight="false" outlineLevel="0" collapsed="false">
      <c r="A29" s="4" t="s">
        <v>362</v>
      </c>
      <c r="B29" s="4"/>
      <c r="C29" s="4"/>
      <c r="D29" s="10"/>
      <c r="E29" s="5" t="n">
        <v>0</v>
      </c>
      <c r="F29" s="4"/>
      <c r="G29" s="4"/>
      <c r="H29" s="4"/>
      <c r="I29" s="8"/>
      <c r="J29" s="9"/>
      <c r="K29" s="8"/>
    </row>
    <row r="30" customFormat="false" ht="15" hidden="false" customHeight="false" outlineLevel="0" collapsed="false">
      <c r="A30" s="4" t="s">
        <v>363</v>
      </c>
      <c r="B30" s="4"/>
      <c r="C30" s="4"/>
      <c r="D30" s="10"/>
      <c r="E30" s="5" t="n">
        <v>0</v>
      </c>
      <c r="F30" s="4"/>
      <c r="G30" s="4"/>
      <c r="H30" s="4"/>
      <c r="I30" s="8"/>
      <c r="J30" s="9"/>
      <c r="K30" s="8"/>
    </row>
    <row r="31" customFormat="false" ht="15" hidden="false" customHeight="false" outlineLevel="0" collapsed="false">
      <c r="A31" s="4" t="s">
        <v>364</v>
      </c>
      <c r="B31" s="4"/>
      <c r="C31" s="4"/>
      <c r="D31" s="10"/>
      <c r="E31" s="5" t="n">
        <v>0</v>
      </c>
      <c r="F31" s="4"/>
      <c r="G31" s="4"/>
      <c r="H31" s="4"/>
      <c r="I31" s="8"/>
      <c r="J31" s="9"/>
      <c r="K31" s="8"/>
    </row>
    <row r="32" customFormat="false" ht="15" hidden="false" customHeight="false" outlineLevel="0" collapsed="false">
      <c r="A32" s="4" t="s">
        <v>365</v>
      </c>
      <c r="B32" s="4"/>
      <c r="C32" s="4"/>
      <c r="D32" s="10"/>
      <c r="E32" s="5" t="n">
        <v>0</v>
      </c>
      <c r="F32" s="4"/>
      <c r="G32" s="4"/>
      <c r="H32" s="4"/>
      <c r="I32" s="8"/>
      <c r="J32" s="9"/>
      <c r="K32" s="8"/>
    </row>
    <row r="33" customFormat="false" ht="15" hidden="false" customHeight="false" outlineLevel="0" collapsed="false">
      <c r="A33" s="4" t="s">
        <v>366</v>
      </c>
      <c r="B33" s="4"/>
      <c r="C33" s="4"/>
      <c r="D33" s="10"/>
      <c r="E33" s="5" t="n">
        <v>0</v>
      </c>
      <c r="F33" s="4"/>
      <c r="G33" s="4"/>
      <c r="H33" s="4"/>
      <c r="I33" s="8"/>
      <c r="J33" s="9"/>
      <c r="K33" s="8"/>
    </row>
    <row r="34" customFormat="false" ht="15" hidden="false" customHeight="false" outlineLevel="0" collapsed="false">
      <c r="A34" s="4" t="s">
        <v>367</v>
      </c>
      <c r="B34" s="4"/>
      <c r="C34" s="4"/>
      <c r="D34" s="10"/>
      <c r="E34" s="5" t="n">
        <v>0</v>
      </c>
      <c r="F34" s="4"/>
      <c r="G34" s="4"/>
      <c r="H34" s="4"/>
      <c r="I34" s="8"/>
      <c r="J34" s="9"/>
      <c r="K34" s="8"/>
    </row>
    <row r="35" customFormat="false" ht="15" hidden="false" customHeight="false" outlineLevel="0" collapsed="false">
      <c r="A35" s="4" t="s">
        <v>368</v>
      </c>
      <c r="B35" s="4"/>
      <c r="C35" s="4"/>
      <c r="D35" s="10"/>
      <c r="E35" s="5" t="n">
        <v>0</v>
      </c>
      <c r="F35" s="4"/>
      <c r="G35" s="4"/>
      <c r="H35" s="4"/>
      <c r="I35" s="8"/>
      <c r="J35" s="9"/>
      <c r="K35" s="8"/>
    </row>
    <row r="36" customFormat="false" ht="15" hidden="false" customHeight="false" outlineLevel="0" collapsed="false">
      <c r="A36" s="4" t="s">
        <v>369</v>
      </c>
      <c r="B36" s="4"/>
      <c r="C36" s="4"/>
      <c r="D36" s="10"/>
      <c r="E36" s="5" t="n">
        <v>0</v>
      </c>
      <c r="F36" s="4"/>
      <c r="G36" s="4"/>
      <c r="H36" s="4"/>
      <c r="I36" s="8"/>
      <c r="J36" s="9"/>
      <c r="K36" s="8"/>
    </row>
    <row r="37" customFormat="false" ht="15" hidden="false" customHeight="false" outlineLevel="0" collapsed="false">
      <c r="A37" s="4" t="s">
        <v>370</v>
      </c>
      <c r="B37" s="4"/>
      <c r="C37" s="4"/>
      <c r="D37" s="10"/>
      <c r="E37" s="5" t="n">
        <v>0</v>
      </c>
      <c r="F37" s="4"/>
      <c r="G37" s="4"/>
      <c r="H37" s="4"/>
      <c r="I37" s="8"/>
      <c r="J37" s="9"/>
      <c r="K37" s="8"/>
    </row>
    <row r="38" customFormat="false" ht="15" hidden="false" customHeight="false" outlineLevel="0" collapsed="false">
      <c r="A38" s="4" t="s">
        <v>371</v>
      </c>
      <c r="B38" s="4"/>
      <c r="C38" s="4"/>
      <c r="D38" s="10"/>
      <c r="E38" s="5" t="n">
        <v>0</v>
      </c>
      <c r="F38" s="4"/>
      <c r="G38" s="4"/>
      <c r="H38" s="4"/>
      <c r="I38" s="8"/>
      <c r="J38" s="9"/>
      <c r="K38" s="8"/>
    </row>
    <row r="39" customFormat="false" ht="15" hidden="false" customHeight="false" outlineLevel="0" collapsed="false">
      <c r="A39" s="4" t="s">
        <v>372</v>
      </c>
      <c r="B39" s="4"/>
      <c r="C39" s="4"/>
      <c r="D39" s="10"/>
      <c r="E39" s="5" t="n">
        <v>0</v>
      </c>
      <c r="F39" s="4"/>
      <c r="G39" s="4"/>
      <c r="H39" s="4"/>
      <c r="I39" s="8"/>
      <c r="J39" s="9"/>
      <c r="K39" s="8"/>
    </row>
    <row r="40" customFormat="false" ht="15" hidden="false" customHeight="false" outlineLevel="0" collapsed="false">
      <c r="A40" s="4" t="s">
        <v>373</v>
      </c>
      <c r="B40" s="4"/>
      <c r="C40" s="4"/>
      <c r="D40" s="10"/>
      <c r="E40" s="5" t="n">
        <v>0</v>
      </c>
      <c r="F40" s="4"/>
      <c r="G40" s="4"/>
      <c r="H40" s="4"/>
      <c r="I40" s="8"/>
      <c r="J40" s="9"/>
      <c r="K40" s="8"/>
    </row>
    <row r="41" customFormat="false" ht="15" hidden="false" customHeight="false" outlineLevel="0" collapsed="false">
      <c r="A41" s="4" t="s">
        <v>374</v>
      </c>
      <c r="B41" s="4"/>
      <c r="C41" s="4"/>
      <c r="D41" s="10"/>
      <c r="E41" s="5" t="n">
        <v>0</v>
      </c>
      <c r="F41" s="4"/>
      <c r="G41" s="4"/>
      <c r="H41" s="4"/>
      <c r="I41" s="8"/>
      <c r="J41" s="9"/>
      <c r="K41" s="8"/>
    </row>
    <row r="42" customFormat="false" ht="15" hidden="false" customHeight="false" outlineLevel="0" collapsed="false">
      <c r="A42" s="4" t="s">
        <v>375</v>
      </c>
      <c r="B42" s="4"/>
      <c r="C42" s="4"/>
      <c r="D42" s="10"/>
      <c r="E42" s="5" t="n">
        <v>0</v>
      </c>
      <c r="F42" s="4"/>
      <c r="G42" s="4"/>
      <c r="H42" s="4"/>
      <c r="I42" s="8"/>
      <c r="J42" s="9"/>
      <c r="K42" s="8"/>
    </row>
    <row r="43" customFormat="false" ht="15" hidden="false" customHeight="false" outlineLevel="0" collapsed="false">
      <c r="A43" s="4" t="s">
        <v>376</v>
      </c>
      <c r="B43" s="4"/>
      <c r="C43" s="4"/>
      <c r="D43" s="10"/>
      <c r="E43" s="5" t="n">
        <v>0</v>
      </c>
      <c r="F43" s="4"/>
      <c r="G43" s="4"/>
      <c r="H43" s="4"/>
      <c r="I43" s="8"/>
      <c r="J43" s="9"/>
      <c r="K43" s="8"/>
    </row>
    <row r="44" customFormat="false" ht="15" hidden="false" customHeight="false" outlineLevel="0" collapsed="false">
      <c r="A44" s="4" t="s">
        <v>377</v>
      </c>
      <c r="B44" s="4"/>
      <c r="C44" s="4"/>
      <c r="D44" s="10"/>
      <c r="E44" s="5" t="n">
        <v>0</v>
      </c>
      <c r="F44" s="4"/>
      <c r="G44" s="4"/>
      <c r="H44" s="4"/>
      <c r="I44" s="8"/>
      <c r="J44" s="9"/>
      <c r="K44" s="8"/>
    </row>
    <row r="45" customFormat="false" ht="15" hidden="false" customHeight="false" outlineLevel="0" collapsed="false">
      <c r="A45" s="4" t="s">
        <v>378</v>
      </c>
      <c r="B45" s="4"/>
      <c r="C45" s="4"/>
      <c r="D45" s="10"/>
      <c r="E45" s="5" t="n">
        <v>0</v>
      </c>
      <c r="F45" s="4"/>
      <c r="G45" s="4"/>
      <c r="H45" s="4"/>
      <c r="I45" s="8"/>
      <c r="J45" s="9"/>
      <c r="K45" s="8"/>
    </row>
    <row r="46" customFormat="false" ht="15" hidden="false" customHeight="false" outlineLevel="0" collapsed="false">
      <c r="A46" s="4" t="s">
        <v>379</v>
      </c>
      <c r="B46" s="4"/>
      <c r="C46" s="4"/>
      <c r="D46" s="10"/>
      <c r="E46" s="5" t="n">
        <v>0</v>
      </c>
      <c r="F46" s="4"/>
      <c r="G46" s="4"/>
      <c r="H46" s="4"/>
      <c r="I46" s="8"/>
      <c r="J46" s="9"/>
      <c r="K46" s="8"/>
    </row>
    <row r="47" customFormat="false" ht="15" hidden="false" customHeight="false" outlineLevel="0" collapsed="false">
      <c r="A47" s="4" t="s">
        <v>380</v>
      </c>
      <c r="B47" s="4"/>
      <c r="C47" s="4"/>
      <c r="D47" s="10"/>
      <c r="E47" s="5" t="n">
        <v>0</v>
      </c>
      <c r="F47" s="4"/>
      <c r="G47" s="4"/>
      <c r="H47" s="4"/>
      <c r="I47" s="8"/>
      <c r="J47" s="9"/>
      <c r="K47" s="8"/>
    </row>
    <row r="48" customFormat="false" ht="15" hidden="false" customHeight="false" outlineLevel="0" collapsed="false">
      <c r="A48" s="4" t="s">
        <v>381</v>
      </c>
      <c r="B48" s="4"/>
      <c r="C48" s="4"/>
      <c r="D48" s="10"/>
      <c r="E48" s="5" t="n">
        <v>0</v>
      </c>
      <c r="F48" s="4"/>
      <c r="G48" s="4"/>
      <c r="H48" s="4"/>
      <c r="I48" s="8"/>
      <c r="J48" s="9"/>
      <c r="K48" s="8"/>
    </row>
    <row r="49" customFormat="false" ht="15" hidden="false" customHeight="false" outlineLevel="0" collapsed="false">
      <c r="A49" s="4" t="s">
        <v>382</v>
      </c>
      <c r="B49" s="4"/>
      <c r="C49" s="4"/>
      <c r="D49" s="10"/>
      <c r="E49" s="5" t="n">
        <v>0</v>
      </c>
      <c r="F49" s="4"/>
      <c r="G49" s="4"/>
      <c r="H49" s="4"/>
      <c r="I49" s="8"/>
      <c r="J49" s="9"/>
      <c r="K49" s="8"/>
    </row>
    <row r="50" customFormat="false" ht="15" hidden="false" customHeight="false" outlineLevel="0" collapsed="false">
      <c r="A50" s="4" t="s">
        <v>383</v>
      </c>
      <c r="B50" s="4"/>
      <c r="C50" s="4"/>
      <c r="D50" s="10"/>
      <c r="E50" s="5" t="n">
        <v>0</v>
      </c>
      <c r="F50" s="4"/>
      <c r="G50" s="4"/>
      <c r="H50" s="4"/>
      <c r="I50" s="8"/>
      <c r="J50" s="9"/>
      <c r="K50" s="8"/>
    </row>
    <row r="51" customFormat="false" ht="15" hidden="false" customHeight="false" outlineLevel="0" collapsed="false">
      <c r="A51" s="4" t="s">
        <v>384</v>
      </c>
      <c r="B51" s="4"/>
      <c r="C51" s="4"/>
      <c r="D51" s="10"/>
      <c r="E51" s="5" t="n">
        <v>0</v>
      </c>
      <c r="F51" s="4"/>
      <c r="G51" s="4"/>
      <c r="H51" s="4"/>
      <c r="I51" s="8"/>
      <c r="J51" s="9"/>
      <c r="K51" s="8"/>
    </row>
    <row r="52" customFormat="false" ht="15" hidden="false" customHeight="false" outlineLevel="0" collapsed="false">
      <c r="A52" s="4" t="s">
        <v>385</v>
      </c>
      <c r="B52" s="4"/>
      <c r="C52" s="4"/>
      <c r="D52" s="10"/>
      <c r="E52" s="5" t="n">
        <v>0</v>
      </c>
      <c r="F52" s="4"/>
      <c r="G52" s="4"/>
      <c r="H52" s="4"/>
      <c r="I52" s="8"/>
      <c r="J52" s="9"/>
      <c r="K52" s="8"/>
    </row>
    <row r="53" customFormat="false" ht="15" hidden="false" customHeight="false" outlineLevel="0" collapsed="false">
      <c r="A53" s="4" t="s">
        <v>386</v>
      </c>
      <c r="B53" s="4"/>
      <c r="C53" s="4"/>
      <c r="D53" s="10"/>
      <c r="E53" s="5" t="n">
        <v>0</v>
      </c>
      <c r="F53" s="4"/>
      <c r="G53" s="4"/>
      <c r="H53" s="4"/>
      <c r="I53" s="8"/>
      <c r="J53" s="9"/>
      <c r="K53" s="8"/>
    </row>
    <row r="54" customFormat="false" ht="15" hidden="false" customHeight="false" outlineLevel="0" collapsed="false">
      <c r="A54" s="4" t="s">
        <v>387</v>
      </c>
      <c r="B54" s="4"/>
      <c r="C54" s="4"/>
      <c r="D54" s="10"/>
      <c r="E54" s="5" t="n">
        <v>0</v>
      </c>
      <c r="F54" s="4"/>
      <c r="G54" s="4"/>
      <c r="H54" s="4"/>
      <c r="I54" s="8"/>
      <c r="J54" s="9"/>
      <c r="K54" s="8"/>
    </row>
    <row r="55" customFormat="false" ht="15" hidden="false" customHeight="false" outlineLevel="0" collapsed="false">
      <c r="A55" s="4" t="s">
        <v>388</v>
      </c>
      <c r="B55" s="4"/>
      <c r="C55" s="4"/>
      <c r="D55" s="10"/>
      <c r="E55" s="5" t="n">
        <v>0</v>
      </c>
      <c r="F55" s="4"/>
      <c r="G55" s="4"/>
      <c r="H55" s="4"/>
      <c r="I55" s="8"/>
      <c r="J55" s="9"/>
      <c r="K55" s="8"/>
    </row>
    <row r="56" customFormat="false" ht="15" hidden="false" customHeight="false" outlineLevel="0" collapsed="false">
      <c r="A56" s="4" t="s">
        <v>389</v>
      </c>
      <c r="B56" s="4"/>
      <c r="C56" s="4"/>
      <c r="D56" s="10"/>
      <c r="E56" s="5" t="n">
        <v>0</v>
      </c>
      <c r="F56" s="4"/>
      <c r="G56" s="4"/>
      <c r="H56" s="4"/>
      <c r="I56" s="8"/>
      <c r="J56" s="9"/>
      <c r="K56" s="8"/>
    </row>
    <row r="57" customFormat="false" ht="15" hidden="false" customHeight="false" outlineLevel="0" collapsed="false">
      <c r="A57" s="4" t="s">
        <v>390</v>
      </c>
      <c r="B57" s="4"/>
      <c r="C57" s="4"/>
      <c r="D57" s="10"/>
      <c r="E57" s="5" t="n">
        <v>0</v>
      </c>
      <c r="F57" s="4"/>
      <c r="G57" s="4"/>
      <c r="H57" s="4"/>
      <c r="I57" s="8"/>
      <c r="J57" s="9"/>
      <c r="K57" s="8"/>
    </row>
    <row r="58" customFormat="false" ht="15" hidden="false" customHeight="false" outlineLevel="0" collapsed="false">
      <c r="A58" s="4" t="s">
        <v>391</v>
      </c>
      <c r="B58" s="4"/>
      <c r="C58" s="4"/>
      <c r="D58" s="10"/>
      <c r="E58" s="5" t="n">
        <v>0</v>
      </c>
      <c r="F58" s="4"/>
      <c r="G58" s="4"/>
      <c r="H58" s="4"/>
      <c r="I58" s="8"/>
      <c r="J58" s="9"/>
      <c r="K58" s="8"/>
    </row>
    <row r="59" customFormat="false" ht="15" hidden="false" customHeight="false" outlineLevel="0" collapsed="false">
      <c r="A59" s="4" t="s">
        <v>392</v>
      </c>
      <c r="B59" s="4"/>
      <c r="C59" s="4"/>
      <c r="D59" s="10"/>
      <c r="E59" s="5" t="n">
        <v>0</v>
      </c>
      <c r="F59" s="4"/>
      <c r="G59" s="4"/>
      <c r="H59" s="4"/>
      <c r="I59" s="8"/>
      <c r="J59" s="9"/>
      <c r="K59" s="8"/>
    </row>
    <row r="60" customFormat="false" ht="15" hidden="false" customHeight="false" outlineLevel="0" collapsed="false">
      <c r="A60" s="4" t="s">
        <v>393</v>
      </c>
      <c r="B60" s="4"/>
      <c r="C60" s="4"/>
      <c r="D60" s="10"/>
      <c r="E60" s="5" t="n">
        <v>0</v>
      </c>
      <c r="F60" s="4"/>
      <c r="G60" s="4"/>
      <c r="H60" s="4"/>
      <c r="I60" s="8"/>
      <c r="J60" s="9"/>
      <c r="K60" s="8"/>
    </row>
    <row r="61" customFormat="false" ht="15" hidden="false" customHeight="false" outlineLevel="0" collapsed="false">
      <c r="A61" s="4" t="s">
        <v>394</v>
      </c>
      <c r="B61" s="4"/>
      <c r="C61" s="4"/>
      <c r="D61" s="10"/>
      <c r="E61" s="5" t="n">
        <v>0</v>
      </c>
      <c r="F61" s="4"/>
      <c r="G61" s="4"/>
      <c r="H61" s="4"/>
      <c r="I61" s="8"/>
      <c r="J61" s="9"/>
      <c r="K61" s="8"/>
    </row>
    <row r="62" customFormat="false" ht="15" hidden="false" customHeight="false" outlineLevel="0" collapsed="false">
      <c r="A62" s="4" t="s">
        <v>395</v>
      </c>
      <c r="B62" s="4"/>
      <c r="C62" s="4"/>
      <c r="D62" s="10"/>
      <c r="E62" s="5" t="n">
        <v>0</v>
      </c>
      <c r="F62" s="4"/>
      <c r="G62" s="4"/>
      <c r="H62" s="4"/>
      <c r="I62" s="8"/>
      <c r="J62" s="9"/>
      <c r="K62" s="8"/>
    </row>
    <row r="63" customFormat="false" ht="15" hidden="false" customHeight="false" outlineLevel="0" collapsed="false">
      <c r="A63" s="4" t="s">
        <v>396</v>
      </c>
      <c r="B63" s="4"/>
      <c r="C63" s="4"/>
      <c r="D63" s="10"/>
      <c r="E63" s="5" t="n">
        <v>0</v>
      </c>
      <c r="F63" s="4"/>
      <c r="G63" s="4"/>
      <c r="H63" s="4"/>
      <c r="I63" s="8"/>
      <c r="J63" s="9"/>
      <c r="K63" s="8"/>
    </row>
    <row r="64" customFormat="false" ht="15" hidden="false" customHeight="false" outlineLevel="0" collapsed="false">
      <c r="D64" s="11"/>
      <c r="E64" s="12"/>
      <c r="I64" s="13"/>
      <c r="J64" s="14"/>
      <c r="K64" s="13"/>
    </row>
  </sheetData>
  <mergeCells count="2">
    <mergeCell ref="A1:K1"/>
    <mergeCell ref="A2:K2"/>
  </mergeCells>
  <conditionalFormatting sqref="K6:K64">
    <cfRule type="containsText" priority="2" operator="containsText" aboveAverage="0" equalAverage="0" bottom="0" percent="0" rank="0" text="已完成" dxfId="9">
      <formula>NOT(ISERROR(SEARCH("已完成",K6)))</formula>
    </cfRule>
    <cfRule type="containsText" priority="3" operator="containsText" aboveAverage="0" equalAverage="0" bottom="0" percent="0" rank="0" text="高" dxfId="10">
      <formula>NOT(ISERROR(SEARCH("高",K6)))</formula>
    </cfRule>
  </conditionalFormatting>
  <dataValidations count="1">
    <dataValidation allowBlank="false" errorStyle="stop" operator="between" showDropDown="false" showErrorMessage="false" showInputMessage="false" sqref="K6:K64" type="list">
      <formula1>"待排程,待审批,已批准,已支付,暂缓,拒绝"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1" t="s">
        <v>397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398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399</v>
      </c>
      <c r="B5" s="3" t="s">
        <v>143</v>
      </c>
      <c r="C5" s="3" t="s">
        <v>141</v>
      </c>
      <c r="D5" s="3" t="s">
        <v>400</v>
      </c>
      <c r="E5" s="3" t="s">
        <v>401</v>
      </c>
      <c r="F5" s="3" t="s">
        <v>402</v>
      </c>
      <c r="G5" s="3" t="s">
        <v>403</v>
      </c>
      <c r="H5" s="3" t="s">
        <v>404</v>
      </c>
      <c r="I5" s="3" t="s">
        <v>405</v>
      </c>
      <c r="J5" s="3" t="s">
        <v>406</v>
      </c>
      <c r="K5" s="3" t="s">
        <v>407</v>
      </c>
      <c r="L5" s="3" t="s">
        <v>408</v>
      </c>
      <c r="M5" s="3" t="s">
        <v>409</v>
      </c>
    </row>
    <row r="6" customFormat="false" ht="15" hidden="false" customHeight="false" outlineLevel="0" collapsed="false">
      <c r="A6" s="4" t="s">
        <v>410</v>
      </c>
      <c r="B6" s="8"/>
      <c r="C6" s="8"/>
      <c r="D6" s="8"/>
      <c r="E6" s="7" t="n">
        <v>0</v>
      </c>
      <c r="F6" s="8"/>
      <c r="G6" s="8"/>
      <c r="H6" s="8"/>
      <c r="I6" s="8"/>
      <c r="J6" s="8"/>
      <c r="K6" s="8" t="s">
        <v>411</v>
      </c>
      <c r="L6" s="8"/>
      <c r="M6" s="8"/>
    </row>
    <row r="7" customFormat="false" ht="15" hidden="false" customHeight="false" outlineLevel="0" collapsed="false">
      <c r="A7" s="4" t="s">
        <v>412</v>
      </c>
      <c r="B7" s="8"/>
      <c r="C7" s="8"/>
      <c r="D7" s="8"/>
      <c r="E7" s="7" t="n">
        <v>0</v>
      </c>
      <c r="F7" s="8"/>
      <c r="G7" s="8"/>
      <c r="H7" s="8"/>
      <c r="I7" s="8"/>
      <c r="J7" s="8"/>
      <c r="K7" s="8" t="s">
        <v>411</v>
      </c>
      <c r="L7" s="8"/>
      <c r="M7" s="8"/>
    </row>
    <row r="8" customFormat="false" ht="15" hidden="false" customHeight="false" outlineLevel="0" collapsed="false">
      <c r="A8" s="4" t="s">
        <v>413</v>
      </c>
      <c r="B8" s="8"/>
      <c r="C8" s="8"/>
      <c r="D8" s="8"/>
      <c r="E8" s="7" t="n">
        <v>0</v>
      </c>
      <c r="F8" s="8"/>
      <c r="G8" s="8"/>
      <c r="H8" s="8"/>
      <c r="I8" s="8"/>
      <c r="J8" s="8"/>
      <c r="K8" s="8" t="s">
        <v>411</v>
      </c>
      <c r="L8" s="8"/>
      <c r="M8" s="8"/>
    </row>
    <row r="9" customFormat="false" ht="15" hidden="false" customHeight="false" outlineLevel="0" collapsed="false">
      <c r="A9" s="4" t="s">
        <v>414</v>
      </c>
      <c r="B9" s="8"/>
      <c r="C9" s="8"/>
      <c r="D9" s="8"/>
      <c r="E9" s="7" t="n">
        <v>0</v>
      </c>
      <c r="F9" s="8"/>
      <c r="G9" s="8"/>
      <c r="H9" s="8"/>
      <c r="I9" s="8"/>
      <c r="J9" s="8"/>
      <c r="K9" s="8" t="s">
        <v>411</v>
      </c>
      <c r="L9" s="8"/>
      <c r="M9" s="8"/>
    </row>
    <row r="10" customFormat="false" ht="15" hidden="false" customHeight="false" outlineLevel="0" collapsed="false">
      <c r="A10" s="4" t="s">
        <v>415</v>
      </c>
      <c r="B10" s="8"/>
      <c r="C10" s="8"/>
      <c r="D10" s="8"/>
      <c r="E10" s="7" t="n">
        <v>0</v>
      </c>
      <c r="F10" s="8"/>
      <c r="G10" s="8"/>
      <c r="H10" s="8"/>
      <c r="I10" s="8"/>
      <c r="J10" s="8"/>
      <c r="K10" s="8" t="s">
        <v>411</v>
      </c>
      <c r="L10" s="8"/>
      <c r="M10" s="8"/>
    </row>
    <row r="11" customFormat="false" ht="15" hidden="false" customHeight="false" outlineLevel="0" collapsed="false">
      <c r="A11" s="4" t="s">
        <v>416</v>
      </c>
      <c r="B11" s="8"/>
      <c r="C11" s="8"/>
      <c r="D11" s="8"/>
      <c r="E11" s="7" t="n">
        <v>0</v>
      </c>
      <c r="F11" s="8"/>
      <c r="G11" s="8"/>
      <c r="H11" s="8"/>
      <c r="I11" s="8"/>
      <c r="J11" s="8"/>
      <c r="K11" s="8" t="s">
        <v>411</v>
      </c>
      <c r="L11" s="8"/>
      <c r="M11" s="8"/>
    </row>
    <row r="12" customFormat="false" ht="15" hidden="false" customHeight="false" outlineLevel="0" collapsed="false">
      <c r="A12" s="4" t="s">
        <v>417</v>
      </c>
      <c r="B12" s="8"/>
      <c r="C12" s="8"/>
      <c r="D12" s="8"/>
      <c r="E12" s="7" t="n">
        <v>0</v>
      </c>
      <c r="F12" s="8"/>
      <c r="G12" s="8"/>
      <c r="H12" s="8"/>
      <c r="I12" s="8"/>
      <c r="J12" s="8"/>
      <c r="K12" s="8" t="s">
        <v>411</v>
      </c>
      <c r="L12" s="8"/>
      <c r="M12" s="8"/>
    </row>
    <row r="13" customFormat="false" ht="15" hidden="false" customHeight="false" outlineLevel="0" collapsed="false">
      <c r="A13" s="4" t="s">
        <v>418</v>
      </c>
      <c r="B13" s="8"/>
      <c r="C13" s="8"/>
      <c r="D13" s="8"/>
      <c r="E13" s="7" t="n">
        <v>0</v>
      </c>
      <c r="F13" s="8"/>
      <c r="G13" s="8"/>
      <c r="H13" s="8"/>
      <c r="I13" s="8"/>
      <c r="J13" s="8"/>
      <c r="K13" s="8" t="s">
        <v>411</v>
      </c>
      <c r="L13" s="8"/>
      <c r="M13" s="8"/>
    </row>
    <row r="14" customFormat="false" ht="15" hidden="false" customHeight="false" outlineLevel="0" collapsed="false">
      <c r="A14" s="4" t="s">
        <v>419</v>
      </c>
      <c r="B14" s="8"/>
      <c r="C14" s="8"/>
      <c r="D14" s="8"/>
      <c r="E14" s="7" t="n">
        <v>0</v>
      </c>
      <c r="F14" s="8"/>
      <c r="G14" s="8"/>
      <c r="H14" s="8"/>
      <c r="I14" s="8"/>
      <c r="J14" s="8"/>
      <c r="K14" s="8" t="s">
        <v>411</v>
      </c>
      <c r="L14" s="8"/>
      <c r="M14" s="8"/>
    </row>
    <row r="15" customFormat="false" ht="15" hidden="false" customHeight="false" outlineLevel="0" collapsed="false">
      <c r="A15" s="4" t="s">
        <v>420</v>
      </c>
      <c r="B15" s="8"/>
      <c r="C15" s="8"/>
      <c r="D15" s="8"/>
      <c r="E15" s="7" t="n">
        <v>0</v>
      </c>
      <c r="F15" s="8"/>
      <c r="G15" s="8"/>
      <c r="H15" s="8"/>
      <c r="I15" s="8"/>
      <c r="J15" s="8"/>
      <c r="K15" s="8" t="s">
        <v>411</v>
      </c>
      <c r="L15" s="8"/>
      <c r="M15" s="8"/>
    </row>
    <row r="16" customFormat="false" ht="15" hidden="false" customHeight="false" outlineLevel="0" collapsed="false">
      <c r="A16" s="4" t="s">
        <v>421</v>
      </c>
      <c r="B16" s="8"/>
      <c r="C16" s="8"/>
      <c r="D16" s="8"/>
      <c r="E16" s="7" t="n">
        <v>0</v>
      </c>
      <c r="F16" s="8"/>
      <c r="G16" s="8"/>
      <c r="H16" s="8"/>
      <c r="I16" s="8"/>
      <c r="J16" s="8"/>
      <c r="K16" s="8" t="s">
        <v>411</v>
      </c>
      <c r="L16" s="8"/>
      <c r="M16" s="8"/>
    </row>
    <row r="17" customFormat="false" ht="15" hidden="false" customHeight="false" outlineLevel="0" collapsed="false">
      <c r="A17" s="4" t="s">
        <v>422</v>
      </c>
      <c r="B17" s="8"/>
      <c r="C17" s="8"/>
      <c r="D17" s="8"/>
      <c r="E17" s="7" t="n">
        <v>0</v>
      </c>
      <c r="F17" s="8"/>
      <c r="G17" s="8"/>
      <c r="H17" s="8"/>
      <c r="I17" s="8"/>
      <c r="J17" s="8"/>
      <c r="K17" s="8" t="s">
        <v>411</v>
      </c>
      <c r="L17" s="8"/>
      <c r="M17" s="8"/>
    </row>
    <row r="18" customFormat="false" ht="15" hidden="false" customHeight="false" outlineLevel="0" collapsed="false">
      <c r="A18" s="4" t="s">
        <v>423</v>
      </c>
      <c r="B18" s="8"/>
      <c r="C18" s="8"/>
      <c r="D18" s="8"/>
      <c r="E18" s="7" t="n">
        <v>0</v>
      </c>
      <c r="F18" s="8"/>
      <c r="G18" s="8"/>
      <c r="H18" s="8"/>
      <c r="I18" s="8"/>
      <c r="J18" s="8"/>
      <c r="K18" s="8" t="s">
        <v>411</v>
      </c>
      <c r="L18" s="8"/>
      <c r="M18" s="8"/>
    </row>
    <row r="19" customFormat="false" ht="15" hidden="false" customHeight="false" outlineLevel="0" collapsed="false">
      <c r="A19" s="4" t="s">
        <v>424</v>
      </c>
      <c r="B19" s="8"/>
      <c r="C19" s="8"/>
      <c r="D19" s="8"/>
      <c r="E19" s="7" t="n">
        <v>0</v>
      </c>
      <c r="F19" s="8"/>
      <c r="G19" s="8"/>
      <c r="H19" s="8"/>
      <c r="I19" s="8"/>
      <c r="J19" s="8"/>
      <c r="K19" s="8" t="s">
        <v>411</v>
      </c>
      <c r="L19" s="8"/>
      <c r="M19" s="8"/>
    </row>
    <row r="20" customFormat="false" ht="15" hidden="false" customHeight="false" outlineLevel="0" collapsed="false">
      <c r="A20" s="4" t="s">
        <v>425</v>
      </c>
      <c r="B20" s="8"/>
      <c r="C20" s="8"/>
      <c r="D20" s="8"/>
      <c r="E20" s="7" t="n">
        <v>0</v>
      </c>
      <c r="F20" s="8"/>
      <c r="G20" s="8"/>
      <c r="H20" s="8"/>
      <c r="I20" s="8"/>
      <c r="J20" s="8"/>
      <c r="K20" s="8" t="s">
        <v>411</v>
      </c>
      <c r="L20" s="8"/>
      <c r="M20" s="8"/>
    </row>
    <row r="21" customFormat="false" ht="15" hidden="false" customHeight="false" outlineLevel="0" collapsed="false">
      <c r="A21" s="4" t="s">
        <v>426</v>
      </c>
      <c r="B21" s="8"/>
      <c r="C21" s="8"/>
      <c r="D21" s="8"/>
      <c r="E21" s="7" t="n">
        <v>0</v>
      </c>
      <c r="F21" s="8"/>
      <c r="G21" s="8"/>
      <c r="H21" s="8"/>
      <c r="I21" s="8"/>
      <c r="J21" s="8"/>
      <c r="K21" s="8" t="s">
        <v>411</v>
      </c>
      <c r="L21" s="8"/>
      <c r="M21" s="8"/>
    </row>
    <row r="22" customFormat="false" ht="15" hidden="false" customHeight="false" outlineLevel="0" collapsed="false">
      <c r="A22" s="4" t="s">
        <v>427</v>
      </c>
      <c r="B22" s="8"/>
      <c r="C22" s="8"/>
      <c r="D22" s="8"/>
      <c r="E22" s="7" t="n">
        <v>0</v>
      </c>
      <c r="F22" s="8"/>
      <c r="G22" s="8"/>
      <c r="H22" s="8"/>
      <c r="I22" s="8"/>
      <c r="J22" s="8"/>
      <c r="K22" s="8" t="s">
        <v>411</v>
      </c>
      <c r="L22" s="8"/>
      <c r="M22" s="8"/>
    </row>
    <row r="23" customFormat="false" ht="15" hidden="false" customHeight="false" outlineLevel="0" collapsed="false">
      <c r="A23" s="4" t="s">
        <v>428</v>
      </c>
      <c r="B23" s="8"/>
      <c r="C23" s="8"/>
      <c r="D23" s="8"/>
      <c r="E23" s="7" t="n">
        <v>0</v>
      </c>
      <c r="F23" s="8"/>
      <c r="G23" s="8"/>
      <c r="H23" s="8"/>
      <c r="I23" s="8"/>
      <c r="J23" s="8"/>
      <c r="K23" s="8" t="s">
        <v>411</v>
      </c>
      <c r="L23" s="8"/>
      <c r="M23" s="8"/>
    </row>
    <row r="24" customFormat="false" ht="15" hidden="false" customHeight="false" outlineLevel="0" collapsed="false">
      <c r="A24" s="4" t="s">
        <v>429</v>
      </c>
      <c r="B24" s="8"/>
      <c r="C24" s="8"/>
      <c r="D24" s="8"/>
      <c r="E24" s="7" t="n">
        <v>0</v>
      </c>
      <c r="F24" s="8"/>
      <c r="G24" s="8"/>
      <c r="H24" s="8"/>
      <c r="I24" s="8"/>
      <c r="J24" s="8"/>
      <c r="K24" s="8" t="s">
        <v>411</v>
      </c>
      <c r="L24" s="8"/>
      <c r="M24" s="8"/>
    </row>
    <row r="25" customFormat="false" ht="15" hidden="false" customHeight="false" outlineLevel="0" collapsed="false">
      <c r="A25" s="4" t="s">
        <v>430</v>
      </c>
      <c r="B25" s="8"/>
      <c r="C25" s="8"/>
      <c r="D25" s="8"/>
      <c r="E25" s="7" t="n">
        <v>0</v>
      </c>
      <c r="F25" s="8"/>
      <c r="G25" s="8"/>
      <c r="H25" s="8"/>
      <c r="I25" s="8"/>
      <c r="J25" s="8"/>
      <c r="K25" s="8" t="s">
        <v>411</v>
      </c>
      <c r="L25" s="8"/>
      <c r="M25" s="8"/>
    </row>
    <row r="26" customFormat="false" ht="15" hidden="false" customHeight="false" outlineLevel="0" collapsed="false">
      <c r="A26" s="4" t="s">
        <v>431</v>
      </c>
      <c r="B26" s="8"/>
      <c r="C26" s="8"/>
      <c r="D26" s="8"/>
      <c r="E26" s="7" t="n">
        <v>0</v>
      </c>
      <c r="F26" s="8"/>
      <c r="G26" s="8"/>
      <c r="H26" s="8"/>
      <c r="I26" s="8"/>
      <c r="J26" s="8"/>
      <c r="K26" s="8" t="s">
        <v>411</v>
      </c>
      <c r="L26" s="8"/>
      <c r="M26" s="8"/>
    </row>
    <row r="27" customFormat="false" ht="15" hidden="false" customHeight="false" outlineLevel="0" collapsed="false">
      <c r="A27" s="4" t="s">
        <v>432</v>
      </c>
      <c r="B27" s="8"/>
      <c r="C27" s="8"/>
      <c r="D27" s="8"/>
      <c r="E27" s="7" t="n">
        <v>0</v>
      </c>
      <c r="F27" s="8"/>
      <c r="G27" s="8"/>
      <c r="H27" s="8"/>
      <c r="I27" s="8"/>
      <c r="J27" s="8"/>
      <c r="K27" s="8" t="s">
        <v>411</v>
      </c>
      <c r="L27" s="8"/>
      <c r="M27" s="8"/>
    </row>
    <row r="28" customFormat="false" ht="15" hidden="false" customHeight="false" outlineLevel="0" collapsed="false">
      <c r="A28" s="4" t="s">
        <v>433</v>
      </c>
      <c r="B28" s="8"/>
      <c r="C28" s="8"/>
      <c r="D28" s="8"/>
      <c r="E28" s="7" t="n">
        <v>0</v>
      </c>
      <c r="F28" s="8"/>
      <c r="G28" s="8"/>
      <c r="H28" s="8"/>
      <c r="I28" s="8"/>
      <c r="J28" s="8"/>
      <c r="K28" s="8" t="s">
        <v>411</v>
      </c>
      <c r="L28" s="8"/>
      <c r="M28" s="8"/>
    </row>
    <row r="29" customFormat="false" ht="15" hidden="false" customHeight="false" outlineLevel="0" collapsed="false">
      <c r="A29" s="4" t="s">
        <v>434</v>
      </c>
      <c r="B29" s="8"/>
      <c r="C29" s="8"/>
      <c r="D29" s="8"/>
      <c r="E29" s="7" t="n">
        <v>0</v>
      </c>
      <c r="F29" s="8"/>
      <c r="G29" s="8"/>
      <c r="H29" s="8"/>
      <c r="I29" s="8"/>
      <c r="J29" s="8"/>
      <c r="K29" s="8" t="s">
        <v>411</v>
      </c>
      <c r="L29" s="8"/>
      <c r="M29" s="8"/>
    </row>
    <row r="30" customFormat="false" ht="15" hidden="false" customHeight="false" outlineLevel="0" collapsed="false">
      <c r="A30" s="4" t="s">
        <v>435</v>
      </c>
      <c r="B30" s="8"/>
      <c r="C30" s="8"/>
      <c r="D30" s="8"/>
      <c r="E30" s="7" t="n">
        <v>0</v>
      </c>
      <c r="F30" s="8"/>
      <c r="G30" s="8"/>
      <c r="H30" s="8"/>
      <c r="I30" s="8"/>
      <c r="J30" s="8"/>
      <c r="K30" s="8" t="s">
        <v>411</v>
      </c>
      <c r="L30" s="8"/>
      <c r="M30" s="8"/>
    </row>
    <row r="31" customFormat="false" ht="15" hidden="false" customHeight="false" outlineLevel="0" collapsed="false">
      <c r="A31" s="4" t="s">
        <v>436</v>
      </c>
      <c r="B31" s="8"/>
      <c r="C31" s="8"/>
      <c r="D31" s="8"/>
      <c r="E31" s="7" t="n">
        <v>0</v>
      </c>
      <c r="F31" s="8"/>
      <c r="G31" s="8"/>
      <c r="H31" s="8"/>
      <c r="I31" s="8"/>
      <c r="J31" s="8"/>
      <c r="K31" s="8" t="s">
        <v>411</v>
      </c>
      <c r="L31" s="8"/>
      <c r="M31" s="8"/>
    </row>
    <row r="32" customFormat="false" ht="15" hidden="false" customHeight="false" outlineLevel="0" collapsed="false">
      <c r="A32" s="4" t="s">
        <v>437</v>
      </c>
      <c r="B32" s="8"/>
      <c r="C32" s="8"/>
      <c r="D32" s="8"/>
      <c r="E32" s="7" t="n">
        <v>0</v>
      </c>
      <c r="F32" s="8"/>
      <c r="G32" s="8"/>
      <c r="H32" s="8"/>
      <c r="I32" s="8"/>
      <c r="J32" s="8"/>
      <c r="K32" s="8" t="s">
        <v>411</v>
      </c>
      <c r="L32" s="8"/>
      <c r="M32" s="8"/>
    </row>
    <row r="33" customFormat="false" ht="15" hidden="false" customHeight="false" outlineLevel="0" collapsed="false">
      <c r="A33" s="4" t="s">
        <v>438</v>
      </c>
      <c r="B33" s="8"/>
      <c r="C33" s="8"/>
      <c r="D33" s="8"/>
      <c r="E33" s="7" t="n">
        <v>0</v>
      </c>
      <c r="F33" s="8"/>
      <c r="G33" s="8"/>
      <c r="H33" s="8"/>
      <c r="I33" s="8"/>
      <c r="J33" s="8"/>
      <c r="K33" s="8" t="s">
        <v>411</v>
      </c>
      <c r="L33" s="8"/>
      <c r="M33" s="8"/>
    </row>
    <row r="34" customFormat="false" ht="15" hidden="false" customHeight="false" outlineLevel="0" collapsed="false">
      <c r="A34" s="4" t="s">
        <v>439</v>
      </c>
      <c r="B34" s="8"/>
      <c r="C34" s="8"/>
      <c r="D34" s="8"/>
      <c r="E34" s="7" t="n">
        <v>0</v>
      </c>
      <c r="F34" s="8"/>
      <c r="G34" s="8"/>
      <c r="H34" s="8"/>
      <c r="I34" s="8"/>
      <c r="J34" s="8"/>
      <c r="K34" s="8" t="s">
        <v>411</v>
      </c>
      <c r="L34" s="8"/>
      <c r="M34" s="8"/>
    </row>
    <row r="35" customFormat="false" ht="15" hidden="false" customHeight="false" outlineLevel="0" collapsed="false">
      <c r="A35" s="4" t="s">
        <v>440</v>
      </c>
      <c r="B35" s="8"/>
      <c r="C35" s="8"/>
      <c r="D35" s="8"/>
      <c r="E35" s="7" t="n">
        <v>0</v>
      </c>
      <c r="F35" s="8"/>
      <c r="G35" s="8"/>
      <c r="H35" s="8"/>
      <c r="I35" s="8"/>
      <c r="J35" s="8"/>
      <c r="K35" s="8" t="s">
        <v>411</v>
      </c>
      <c r="L35" s="8"/>
      <c r="M35" s="8"/>
    </row>
    <row r="36" customFormat="false" ht="15" hidden="false" customHeight="false" outlineLevel="0" collapsed="false">
      <c r="A36" s="4" t="s">
        <v>441</v>
      </c>
      <c r="B36" s="8"/>
      <c r="C36" s="8"/>
      <c r="D36" s="8"/>
      <c r="E36" s="7" t="n">
        <v>0</v>
      </c>
      <c r="F36" s="8"/>
      <c r="G36" s="8"/>
      <c r="H36" s="8"/>
      <c r="I36" s="8"/>
      <c r="J36" s="8"/>
      <c r="K36" s="8" t="s">
        <v>411</v>
      </c>
      <c r="L36" s="8"/>
      <c r="M36" s="8"/>
    </row>
    <row r="37" customFormat="false" ht="15" hidden="false" customHeight="false" outlineLevel="0" collapsed="false">
      <c r="A37" s="4" t="s">
        <v>442</v>
      </c>
      <c r="B37" s="8"/>
      <c r="C37" s="8"/>
      <c r="D37" s="8"/>
      <c r="E37" s="7" t="n">
        <v>0</v>
      </c>
      <c r="F37" s="8"/>
      <c r="G37" s="8"/>
      <c r="H37" s="8"/>
      <c r="I37" s="8"/>
      <c r="J37" s="8"/>
      <c r="K37" s="8" t="s">
        <v>411</v>
      </c>
      <c r="L37" s="8"/>
      <c r="M37" s="8"/>
    </row>
    <row r="38" customFormat="false" ht="15" hidden="false" customHeight="false" outlineLevel="0" collapsed="false">
      <c r="A38" s="4" t="s">
        <v>443</v>
      </c>
      <c r="B38" s="8"/>
      <c r="C38" s="8"/>
      <c r="D38" s="8"/>
      <c r="E38" s="7" t="n">
        <v>0</v>
      </c>
      <c r="F38" s="8"/>
      <c r="G38" s="8"/>
      <c r="H38" s="8"/>
      <c r="I38" s="8"/>
      <c r="J38" s="8"/>
      <c r="K38" s="8" t="s">
        <v>411</v>
      </c>
      <c r="L38" s="8"/>
      <c r="M38" s="8"/>
    </row>
    <row r="39" customFormat="false" ht="15" hidden="false" customHeight="false" outlineLevel="0" collapsed="false">
      <c r="A39" s="4" t="s">
        <v>444</v>
      </c>
      <c r="B39" s="8"/>
      <c r="C39" s="8"/>
      <c r="D39" s="8"/>
      <c r="E39" s="7" t="n">
        <v>0</v>
      </c>
      <c r="F39" s="8"/>
      <c r="G39" s="8"/>
      <c r="H39" s="8"/>
      <c r="I39" s="8"/>
      <c r="J39" s="8"/>
      <c r="K39" s="8" t="s">
        <v>411</v>
      </c>
      <c r="L39" s="8"/>
      <c r="M39" s="8"/>
    </row>
    <row r="40" customFormat="false" ht="15" hidden="false" customHeight="false" outlineLevel="0" collapsed="false">
      <c r="A40" s="4" t="s">
        <v>445</v>
      </c>
      <c r="B40" s="8"/>
      <c r="C40" s="8"/>
      <c r="D40" s="8"/>
      <c r="E40" s="7" t="n">
        <v>0</v>
      </c>
      <c r="F40" s="8"/>
      <c r="G40" s="8"/>
      <c r="H40" s="8"/>
      <c r="I40" s="8"/>
      <c r="J40" s="8"/>
      <c r="K40" s="8" t="s">
        <v>411</v>
      </c>
      <c r="L40" s="8"/>
      <c r="M40" s="8"/>
    </row>
    <row r="41" customFormat="false" ht="15" hidden="false" customHeight="false" outlineLevel="0" collapsed="false">
      <c r="A41" s="4" t="s">
        <v>446</v>
      </c>
      <c r="B41" s="8"/>
      <c r="C41" s="8"/>
      <c r="D41" s="8"/>
      <c r="E41" s="7" t="n">
        <v>0</v>
      </c>
      <c r="F41" s="8"/>
      <c r="G41" s="8"/>
      <c r="H41" s="8"/>
      <c r="I41" s="8"/>
      <c r="J41" s="8"/>
      <c r="K41" s="8" t="s">
        <v>411</v>
      </c>
      <c r="L41" s="8"/>
      <c r="M41" s="8"/>
    </row>
    <row r="42" customFormat="false" ht="15" hidden="false" customHeight="false" outlineLevel="0" collapsed="false">
      <c r="A42" s="4" t="s">
        <v>447</v>
      </c>
      <c r="B42" s="8"/>
      <c r="C42" s="8"/>
      <c r="D42" s="8"/>
      <c r="E42" s="7" t="n">
        <v>0</v>
      </c>
      <c r="F42" s="8"/>
      <c r="G42" s="8"/>
      <c r="H42" s="8"/>
      <c r="I42" s="8"/>
      <c r="J42" s="8"/>
      <c r="K42" s="8" t="s">
        <v>411</v>
      </c>
      <c r="L42" s="8"/>
      <c r="M42" s="8"/>
    </row>
    <row r="43" customFormat="false" ht="15" hidden="false" customHeight="false" outlineLevel="0" collapsed="false">
      <c r="A43" s="4" t="s">
        <v>448</v>
      </c>
      <c r="B43" s="8"/>
      <c r="C43" s="8"/>
      <c r="D43" s="8"/>
      <c r="E43" s="7" t="n">
        <v>0</v>
      </c>
      <c r="F43" s="8"/>
      <c r="G43" s="8"/>
      <c r="H43" s="8"/>
      <c r="I43" s="8"/>
      <c r="J43" s="8"/>
      <c r="K43" s="8" t="s">
        <v>411</v>
      </c>
      <c r="L43" s="8"/>
      <c r="M43" s="8"/>
    </row>
    <row r="44" customFormat="false" ht="15" hidden="false" customHeight="false" outlineLevel="0" collapsed="false">
      <c r="A44" s="4" t="s">
        <v>449</v>
      </c>
      <c r="B44" s="8"/>
      <c r="C44" s="8"/>
      <c r="D44" s="8"/>
      <c r="E44" s="7" t="n">
        <v>0</v>
      </c>
      <c r="F44" s="8"/>
      <c r="G44" s="8"/>
      <c r="H44" s="8"/>
      <c r="I44" s="8"/>
      <c r="J44" s="8"/>
      <c r="K44" s="8" t="s">
        <v>411</v>
      </c>
      <c r="L44" s="8"/>
      <c r="M44" s="8"/>
    </row>
    <row r="45" customFormat="false" ht="15" hidden="false" customHeight="false" outlineLevel="0" collapsed="false">
      <c r="A45" s="4" t="s">
        <v>450</v>
      </c>
      <c r="B45" s="8"/>
      <c r="C45" s="8"/>
      <c r="D45" s="8"/>
      <c r="E45" s="7" t="n">
        <v>0</v>
      </c>
      <c r="F45" s="8"/>
      <c r="G45" s="8"/>
      <c r="H45" s="8"/>
      <c r="I45" s="8"/>
      <c r="J45" s="8"/>
      <c r="K45" s="8" t="s">
        <v>411</v>
      </c>
      <c r="L45" s="8"/>
      <c r="M45" s="8"/>
    </row>
    <row r="46" customFormat="false" ht="15" hidden="false" customHeight="false" outlineLevel="0" collapsed="false">
      <c r="A46" s="4" t="s">
        <v>451</v>
      </c>
      <c r="B46" s="8"/>
      <c r="C46" s="8"/>
      <c r="D46" s="8"/>
      <c r="E46" s="7" t="n">
        <v>0</v>
      </c>
      <c r="F46" s="8"/>
      <c r="G46" s="8"/>
      <c r="H46" s="8"/>
      <c r="I46" s="8"/>
      <c r="J46" s="8"/>
      <c r="K46" s="8" t="s">
        <v>411</v>
      </c>
      <c r="L46" s="8"/>
      <c r="M46" s="8"/>
    </row>
    <row r="47" customFormat="false" ht="15" hidden="false" customHeight="false" outlineLevel="0" collapsed="false">
      <c r="A47" s="4" t="s">
        <v>452</v>
      </c>
      <c r="B47" s="8"/>
      <c r="C47" s="8"/>
      <c r="D47" s="8"/>
      <c r="E47" s="7" t="n">
        <v>0</v>
      </c>
      <c r="F47" s="8"/>
      <c r="G47" s="8"/>
      <c r="H47" s="8"/>
      <c r="I47" s="8"/>
      <c r="J47" s="8"/>
      <c r="K47" s="8" t="s">
        <v>411</v>
      </c>
      <c r="L47" s="8"/>
      <c r="M47" s="8"/>
    </row>
    <row r="48" customFormat="false" ht="15" hidden="false" customHeight="false" outlineLevel="0" collapsed="false">
      <c r="A48" s="4" t="s">
        <v>453</v>
      </c>
      <c r="B48" s="8"/>
      <c r="C48" s="8"/>
      <c r="D48" s="8"/>
      <c r="E48" s="7" t="n">
        <v>0</v>
      </c>
      <c r="F48" s="8"/>
      <c r="G48" s="8"/>
      <c r="H48" s="8"/>
      <c r="I48" s="8"/>
      <c r="J48" s="8"/>
      <c r="K48" s="8" t="s">
        <v>411</v>
      </c>
      <c r="L48" s="8"/>
      <c r="M48" s="8"/>
    </row>
    <row r="49" customFormat="false" ht="15" hidden="false" customHeight="false" outlineLevel="0" collapsed="false">
      <c r="A49" s="4" t="s">
        <v>454</v>
      </c>
      <c r="B49" s="8"/>
      <c r="C49" s="8"/>
      <c r="D49" s="8"/>
      <c r="E49" s="7" t="n">
        <v>0</v>
      </c>
      <c r="F49" s="8"/>
      <c r="G49" s="8"/>
      <c r="H49" s="8"/>
      <c r="I49" s="8"/>
      <c r="J49" s="8"/>
      <c r="K49" s="8" t="s">
        <v>411</v>
      </c>
      <c r="L49" s="8"/>
      <c r="M49" s="8"/>
    </row>
    <row r="50" customFormat="false" ht="15" hidden="false" customHeight="false" outlineLevel="0" collapsed="false">
      <c r="A50" s="4" t="s">
        <v>455</v>
      </c>
      <c r="B50" s="8"/>
      <c r="C50" s="8"/>
      <c r="D50" s="8"/>
      <c r="E50" s="7" t="n">
        <v>0</v>
      </c>
      <c r="F50" s="8"/>
      <c r="G50" s="8"/>
      <c r="H50" s="8"/>
      <c r="I50" s="8"/>
      <c r="J50" s="8"/>
      <c r="K50" s="8" t="s">
        <v>411</v>
      </c>
      <c r="L50" s="8"/>
      <c r="M50" s="8"/>
    </row>
    <row r="51" customFormat="false" ht="15" hidden="false" customHeight="false" outlineLevel="0" collapsed="false">
      <c r="A51" s="4" t="s">
        <v>456</v>
      </c>
      <c r="B51" s="8"/>
      <c r="C51" s="8"/>
      <c r="D51" s="8"/>
      <c r="E51" s="7" t="n">
        <v>0</v>
      </c>
      <c r="F51" s="8"/>
      <c r="G51" s="8"/>
      <c r="H51" s="8"/>
      <c r="I51" s="8"/>
      <c r="J51" s="8"/>
      <c r="K51" s="8" t="s">
        <v>411</v>
      </c>
      <c r="L51" s="8"/>
      <c r="M51" s="8"/>
    </row>
    <row r="52" customFormat="false" ht="15" hidden="false" customHeight="false" outlineLevel="0" collapsed="false">
      <c r="A52" s="4" t="s">
        <v>457</v>
      </c>
      <c r="B52" s="8"/>
      <c r="C52" s="8"/>
      <c r="D52" s="8"/>
      <c r="E52" s="7" t="n">
        <v>0</v>
      </c>
      <c r="F52" s="8"/>
      <c r="G52" s="8"/>
      <c r="H52" s="8"/>
      <c r="I52" s="8"/>
      <c r="J52" s="8"/>
      <c r="K52" s="8" t="s">
        <v>411</v>
      </c>
      <c r="L52" s="8"/>
      <c r="M52" s="8"/>
    </row>
    <row r="53" customFormat="false" ht="15" hidden="false" customHeight="false" outlineLevel="0" collapsed="false">
      <c r="A53" s="4" t="s">
        <v>458</v>
      </c>
      <c r="B53" s="8"/>
      <c r="C53" s="8"/>
      <c r="D53" s="8"/>
      <c r="E53" s="7" t="n">
        <v>0</v>
      </c>
      <c r="F53" s="8"/>
      <c r="G53" s="8"/>
      <c r="H53" s="8"/>
      <c r="I53" s="8"/>
      <c r="J53" s="8"/>
      <c r="K53" s="8" t="s">
        <v>411</v>
      </c>
      <c r="L53" s="8"/>
      <c r="M53" s="8"/>
    </row>
    <row r="54" customFormat="false" ht="15" hidden="false" customHeight="false" outlineLevel="0" collapsed="false">
      <c r="A54" s="4" t="s">
        <v>459</v>
      </c>
      <c r="B54" s="8"/>
      <c r="C54" s="8"/>
      <c r="D54" s="8"/>
      <c r="E54" s="7" t="n">
        <v>0</v>
      </c>
      <c r="F54" s="8"/>
      <c r="G54" s="8"/>
      <c r="H54" s="8"/>
      <c r="I54" s="8"/>
      <c r="J54" s="8"/>
      <c r="K54" s="8" t="s">
        <v>411</v>
      </c>
      <c r="L54" s="8"/>
      <c r="M54" s="8"/>
    </row>
    <row r="55" customFormat="false" ht="15" hidden="false" customHeight="false" outlineLevel="0" collapsed="false">
      <c r="A55" s="4" t="s">
        <v>460</v>
      </c>
      <c r="B55" s="8"/>
      <c r="C55" s="8"/>
      <c r="D55" s="8"/>
      <c r="E55" s="7" t="n">
        <v>0</v>
      </c>
      <c r="F55" s="8"/>
      <c r="G55" s="8"/>
      <c r="H55" s="8"/>
      <c r="I55" s="8"/>
      <c r="J55" s="8"/>
      <c r="K55" s="8" t="s">
        <v>411</v>
      </c>
      <c r="L55" s="8"/>
      <c r="M55" s="8"/>
    </row>
  </sheetData>
  <mergeCells count="2">
    <mergeCell ref="A1:M1"/>
    <mergeCell ref="A2:M2"/>
  </mergeCells>
  <dataValidations count="1">
    <dataValidation allowBlank="false" errorStyle="stop" operator="between" showDropDown="false" showErrorMessage="false" showInputMessage="false" sqref="K6:K55" type="list">
      <formula1>"待审批,批准,拒绝,已支付,退汇"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" t="s">
        <v>461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463</v>
      </c>
      <c r="B5" s="3" t="s">
        <v>142</v>
      </c>
      <c r="C5" s="3" t="s">
        <v>143</v>
      </c>
      <c r="D5" s="3" t="s">
        <v>464</v>
      </c>
      <c r="E5" s="3" t="s">
        <v>465</v>
      </c>
      <c r="F5" s="3" t="s">
        <v>466</v>
      </c>
      <c r="G5" s="3" t="s">
        <v>467</v>
      </c>
      <c r="H5" s="3" t="s">
        <v>468</v>
      </c>
      <c r="I5" s="3" t="s">
        <v>469</v>
      </c>
      <c r="J5" s="3" t="s">
        <v>41</v>
      </c>
      <c r="K5" s="3" t="s">
        <v>470</v>
      </c>
      <c r="L5" s="3" t="s">
        <v>471</v>
      </c>
    </row>
    <row r="6" customFormat="false" ht="15" hidden="false" customHeight="false" outlineLevel="0" collapsed="false">
      <c r="A6" s="4" t="s">
        <v>472</v>
      </c>
      <c r="B6" s="4" t="s">
        <v>125</v>
      </c>
      <c r="C6" s="4" t="s">
        <v>126</v>
      </c>
      <c r="D6" s="8" t="s">
        <v>130</v>
      </c>
      <c r="E6" s="8" t="s">
        <v>473</v>
      </c>
      <c r="F6" s="9" t="s">
        <v>474</v>
      </c>
      <c r="G6" s="8" t="s">
        <v>475</v>
      </c>
      <c r="H6" s="8" t="s">
        <v>476</v>
      </c>
      <c r="I6" s="8" t="s">
        <v>477</v>
      </c>
      <c r="J6" s="8" t="s">
        <v>478</v>
      </c>
      <c r="K6" s="9"/>
      <c r="L6" s="8" t="s">
        <v>479</v>
      </c>
    </row>
    <row r="7" customFormat="false" ht="15" hidden="false" customHeight="false" outlineLevel="0" collapsed="false">
      <c r="A7" s="4" t="s">
        <v>480</v>
      </c>
      <c r="B7" s="4"/>
      <c r="C7" s="4"/>
      <c r="D7" s="8"/>
      <c r="E7" s="8"/>
      <c r="F7" s="9"/>
      <c r="G7" s="8"/>
      <c r="H7" s="8"/>
      <c r="I7" s="8"/>
      <c r="J7" s="8"/>
      <c r="K7" s="9"/>
      <c r="L7" s="8"/>
    </row>
    <row r="8" customFormat="false" ht="15" hidden="false" customHeight="false" outlineLevel="0" collapsed="false">
      <c r="A8" s="4" t="s">
        <v>481</v>
      </c>
      <c r="B8" s="4"/>
      <c r="C8" s="4"/>
      <c r="D8" s="8"/>
      <c r="E8" s="8"/>
      <c r="F8" s="9"/>
      <c r="G8" s="8"/>
      <c r="H8" s="8"/>
      <c r="I8" s="8"/>
      <c r="J8" s="8"/>
      <c r="K8" s="9"/>
      <c r="L8" s="8"/>
    </row>
    <row r="9" customFormat="false" ht="15" hidden="false" customHeight="false" outlineLevel="0" collapsed="false">
      <c r="A9" s="4" t="s">
        <v>482</v>
      </c>
      <c r="B9" s="4"/>
      <c r="C9" s="4"/>
      <c r="D9" s="8"/>
      <c r="E9" s="8"/>
      <c r="F9" s="9"/>
      <c r="G9" s="8"/>
      <c r="H9" s="8"/>
      <c r="I9" s="8"/>
      <c r="J9" s="8"/>
      <c r="K9" s="9"/>
      <c r="L9" s="8"/>
    </row>
    <row r="10" customFormat="false" ht="15" hidden="false" customHeight="false" outlineLevel="0" collapsed="false">
      <c r="A10" s="4" t="s">
        <v>483</v>
      </c>
      <c r="B10" s="4"/>
      <c r="C10" s="4"/>
      <c r="D10" s="8"/>
      <c r="E10" s="8"/>
      <c r="F10" s="9"/>
      <c r="G10" s="8"/>
      <c r="H10" s="8"/>
      <c r="I10" s="8"/>
      <c r="J10" s="8"/>
      <c r="K10" s="9"/>
      <c r="L10" s="8"/>
    </row>
    <row r="11" customFormat="false" ht="15" hidden="false" customHeight="false" outlineLevel="0" collapsed="false">
      <c r="A11" s="4" t="s">
        <v>484</v>
      </c>
      <c r="B11" s="4"/>
      <c r="C11" s="4"/>
      <c r="D11" s="8"/>
      <c r="E11" s="8"/>
      <c r="F11" s="9"/>
      <c r="G11" s="8"/>
      <c r="H11" s="8"/>
      <c r="I11" s="8"/>
      <c r="J11" s="8"/>
      <c r="K11" s="9"/>
      <c r="L11" s="8"/>
    </row>
    <row r="12" customFormat="false" ht="15" hidden="false" customHeight="false" outlineLevel="0" collapsed="false">
      <c r="A12" s="4" t="s">
        <v>485</v>
      </c>
      <c r="B12" s="4"/>
      <c r="C12" s="4"/>
      <c r="D12" s="8"/>
      <c r="E12" s="8"/>
      <c r="F12" s="9"/>
      <c r="G12" s="8"/>
      <c r="H12" s="8"/>
      <c r="I12" s="8"/>
      <c r="J12" s="8"/>
      <c r="K12" s="9"/>
      <c r="L12" s="8"/>
    </row>
    <row r="13" customFormat="false" ht="15" hidden="false" customHeight="false" outlineLevel="0" collapsed="false">
      <c r="A13" s="4" t="s">
        <v>486</v>
      </c>
      <c r="B13" s="4"/>
      <c r="C13" s="4"/>
      <c r="D13" s="8"/>
      <c r="E13" s="8"/>
      <c r="F13" s="9"/>
      <c r="G13" s="8"/>
      <c r="H13" s="8"/>
      <c r="I13" s="8"/>
      <c r="J13" s="8"/>
      <c r="K13" s="9"/>
      <c r="L13" s="8"/>
    </row>
    <row r="14" customFormat="false" ht="15" hidden="false" customHeight="false" outlineLevel="0" collapsed="false">
      <c r="A14" s="4" t="s">
        <v>487</v>
      </c>
      <c r="B14" s="4"/>
      <c r="C14" s="4"/>
      <c r="D14" s="8"/>
      <c r="E14" s="8"/>
      <c r="F14" s="9"/>
      <c r="G14" s="8"/>
      <c r="H14" s="8"/>
      <c r="I14" s="8"/>
      <c r="J14" s="8"/>
      <c r="K14" s="9"/>
      <c r="L14" s="8"/>
    </row>
    <row r="15" customFormat="false" ht="15" hidden="false" customHeight="false" outlineLevel="0" collapsed="false">
      <c r="A15" s="4" t="s">
        <v>488</v>
      </c>
      <c r="B15" s="4"/>
      <c r="C15" s="4"/>
      <c r="D15" s="8"/>
      <c r="E15" s="8"/>
      <c r="F15" s="9"/>
      <c r="G15" s="8"/>
      <c r="H15" s="8"/>
      <c r="I15" s="8"/>
      <c r="J15" s="8"/>
      <c r="K15" s="9"/>
      <c r="L15" s="8"/>
    </row>
    <row r="16" customFormat="false" ht="15" hidden="false" customHeight="false" outlineLevel="0" collapsed="false">
      <c r="A16" s="4" t="s">
        <v>489</v>
      </c>
      <c r="B16" s="4"/>
      <c r="C16" s="4"/>
      <c r="D16" s="8"/>
      <c r="E16" s="8"/>
      <c r="F16" s="9"/>
      <c r="G16" s="8"/>
      <c r="H16" s="8"/>
      <c r="I16" s="8"/>
      <c r="J16" s="8"/>
      <c r="K16" s="9"/>
      <c r="L16" s="8"/>
    </row>
    <row r="17" customFormat="false" ht="15" hidden="false" customHeight="false" outlineLevel="0" collapsed="false">
      <c r="A17" s="4" t="s">
        <v>490</v>
      </c>
      <c r="B17" s="4"/>
      <c r="C17" s="4"/>
      <c r="D17" s="8"/>
      <c r="E17" s="8"/>
      <c r="F17" s="9"/>
      <c r="G17" s="8"/>
      <c r="H17" s="8"/>
      <c r="I17" s="8"/>
      <c r="J17" s="8"/>
      <c r="K17" s="9"/>
      <c r="L17" s="8"/>
    </row>
    <row r="18" customFormat="false" ht="15" hidden="false" customHeight="false" outlineLevel="0" collapsed="false">
      <c r="A18" s="4" t="s">
        <v>491</v>
      </c>
      <c r="B18" s="4"/>
      <c r="C18" s="4"/>
      <c r="D18" s="8"/>
      <c r="E18" s="8"/>
      <c r="F18" s="9"/>
      <c r="G18" s="8"/>
      <c r="H18" s="8"/>
      <c r="I18" s="8"/>
      <c r="J18" s="8"/>
      <c r="K18" s="9"/>
      <c r="L18" s="8"/>
    </row>
    <row r="19" customFormat="false" ht="15" hidden="false" customHeight="false" outlineLevel="0" collapsed="false">
      <c r="A19" s="4" t="s">
        <v>492</v>
      </c>
      <c r="B19" s="4"/>
      <c r="C19" s="4"/>
      <c r="D19" s="8"/>
      <c r="E19" s="8"/>
      <c r="F19" s="9"/>
      <c r="G19" s="8"/>
      <c r="H19" s="8"/>
      <c r="I19" s="8"/>
      <c r="J19" s="8"/>
      <c r="K19" s="9"/>
      <c r="L19" s="8"/>
    </row>
    <row r="20" customFormat="false" ht="15" hidden="false" customHeight="false" outlineLevel="0" collapsed="false">
      <c r="A20" s="4" t="s">
        <v>493</v>
      </c>
      <c r="B20" s="4"/>
      <c r="C20" s="4"/>
      <c r="D20" s="8"/>
      <c r="E20" s="8"/>
      <c r="F20" s="9"/>
      <c r="G20" s="8"/>
      <c r="H20" s="8"/>
      <c r="I20" s="8"/>
      <c r="J20" s="8"/>
      <c r="K20" s="9"/>
      <c r="L20" s="8"/>
    </row>
    <row r="21" customFormat="false" ht="15" hidden="false" customHeight="false" outlineLevel="0" collapsed="false">
      <c r="A21" s="4" t="s">
        <v>494</v>
      </c>
      <c r="B21" s="4"/>
      <c r="C21" s="4"/>
      <c r="D21" s="8"/>
      <c r="E21" s="8"/>
      <c r="F21" s="9"/>
      <c r="G21" s="8"/>
      <c r="H21" s="8"/>
      <c r="I21" s="8"/>
      <c r="J21" s="8"/>
      <c r="K21" s="9"/>
      <c r="L21" s="8"/>
    </row>
    <row r="22" customFormat="false" ht="15" hidden="false" customHeight="false" outlineLevel="0" collapsed="false">
      <c r="A22" s="4" t="s">
        <v>495</v>
      </c>
      <c r="B22" s="4"/>
      <c r="C22" s="4"/>
      <c r="D22" s="8"/>
      <c r="E22" s="8"/>
      <c r="F22" s="9"/>
      <c r="G22" s="8"/>
      <c r="H22" s="8"/>
      <c r="I22" s="8"/>
      <c r="J22" s="8"/>
      <c r="K22" s="9"/>
      <c r="L22" s="8"/>
    </row>
    <row r="23" customFormat="false" ht="15" hidden="false" customHeight="false" outlineLevel="0" collapsed="false">
      <c r="A23" s="4" t="s">
        <v>496</v>
      </c>
      <c r="B23" s="4"/>
      <c r="C23" s="4"/>
      <c r="D23" s="8"/>
      <c r="E23" s="8"/>
      <c r="F23" s="9"/>
      <c r="G23" s="8"/>
      <c r="H23" s="8"/>
      <c r="I23" s="8"/>
      <c r="J23" s="8"/>
      <c r="K23" s="9"/>
      <c r="L23" s="8"/>
    </row>
    <row r="24" customFormat="false" ht="15" hidden="false" customHeight="false" outlineLevel="0" collapsed="false">
      <c r="A24" s="4" t="s">
        <v>497</v>
      </c>
      <c r="B24" s="4"/>
      <c r="C24" s="4"/>
      <c r="D24" s="8"/>
      <c r="E24" s="8"/>
      <c r="F24" s="9"/>
      <c r="G24" s="8"/>
      <c r="H24" s="8"/>
      <c r="I24" s="8"/>
      <c r="J24" s="8"/>
      <c r="K24" s="9"/>
      <c r="L24" s="8"/>
    </row>
    <row r="25" customFormat="false" ht="15" hidden="false" customHeight="false" outlineLevel="0" collapsed="false">
      <c r="A25" s="4" t="s">
        <v>498</v>
      </c>
      <c r="B25" s="4"/>
      <c r="C25" s="4"/>
      <c r="D25" s="8"/>
      <c r="E25" s="8"/>
      <c r="F25" s="9"/>
      <c r="G25" s="8"/>
      <c r="H25" s="8"/>
      <c r="I25" s="8"/>
      <c r="J25" s="8"/>
      <c r="K25" s="9"/>
      <c r="L25" s="8"/>
    </row>
    <row r="26" customFormat="false" ht="15" hidden="false" customHeight="false" outlineLevel="0" collapsed="false">
      <c r="A26" s="4" t="s">
        <v>499</v>
      </c>
      <c r="B26" s="4"/>
      <c r="C26" s="4"/>
      <c r="D26" s="8"/>
      <c r="E26" s="8"/>
      <c r="F26" s="9"/>
      <c r="G26" s="8"/>
      <c r="H26" s="8"/>
      <c r="I26" s="8"/>
      <c r="J26" s="8"/>
      <c r="K26" s="9"/>
      <c r="L26" s="8"/>
    </row>
    <row r="27" customFormat="false" ht="15" hidden="false" customHeight="false" outlineLevel="0" collapsed="false">
      <c r="A27" s="4" t="s">
        <v>500</v>
      </c>
      <c r="B27" s="4"/>
      <c r="C27" s="4"/>
      <c r="D27" s="8"/>
      <c r="E27" s="8"/>
      <c r="F27" s="9"/>
      <c r="G27" s="8"/>
      <c r="H27" s="8"/>
      <c r="I27" s="8"/>
      <c r="J27" s="8"/>
      <c r="K27" s="9"/>
      <c r="L27" s="8"/>
    </row>
    <row r="28" customFormat="false" ht="15" hidden="false" customHeight="false" outlineLevel="0" collapsed="false">
      <c r="A28" s="4" t="s">
        <v>501</v>
      </c>
      <c r="B28" s="4"/>
      <c r="C28" s="4"/>
      <c r="D28" s="8"/>
      <c r="E28" s="8"/>
      <c r="F28" s="9"/>
      <c r="G28" s="8"/>
      <c r="H28" s="8"/>
      <c r="I28" s="8"/>
      <c r="J28" s="8"/>
      <c r="K28" s="9"/>
      <c r="L28" s="8"/>
    </row>
    <row r="29" customFormat="false" ht="15" hidden="false" customHeight="false" outlineLevel="0" collapsed="false">
      <c r="A29" s="4" t="s">
        <v>502</v>
      </c>
      <c r="B29" s="4"/>
      <c r="C29" s="4"/>
      <c r="D29" s="8"/>
      <c r="E29" s="8"/>
      <c r="F29" s="9"/>
      <c r="G29" s="8"/>
      <c r="H29" s="8"/>
      <c r="I29" s="8"/>
      <c r="J29" s="8"/>
      <c r="K29" s="9"/>
      <c r="L29" s="8"/>
    </row>
    <row r="30" customFormat="false" ht="15" hidden="false" customHeight="false" outlineLevel="0" collapsed="false">
      <c r="A30" s="4" t="s">
        <v>503</v>
      </c>
      <c r="B30" s="4"/>
      <c r="C30" s="4"/>
      <c r="D30" s="8"/>
      <c r="E30" s="8"/>
      <c r="F30" s="9"/>
      <c r="G30" s="8"/>
      <c r="H30" s="8"/>
      <c r="I30" s="8"/>
      <c r="J30" s="8"/>
      <c r="K30" s="9"/>
      <c r="L30" s="8"/>
    </row>
    <row r="31" customFormat="false" ht="15" hidden="false" customHeight="false" outlineLevel="0" collapsed="false">
      <c r="A31" s="4" t="s">
        <v>504</v>
      </c>
      <c r="B31" s="4"/>
      <c r="C31" s="4"/>
      <c r="D31" s="8"/>
      <c r="E31" s="8"/>
      <c r="F31" s="9"/>
      <c r="G31" s="8"/>
      <c r="H31" s="8"/>
      <c r="I31" s="8"/>
      <c r="J31" s="8"/>
      <c r="K31" s="9"/>
      <c r="L31" s="8"/>
    </row>
    <row r="32" customFormat="false" ht="15" hidden="false" customHeight="false" outlineLevel="0" collapsed="false">
      <c r="A32" s="4" t="s">
        <v>505</v>
      </c>
      <c r="B32" s="4"/>
      <c r="C32" s="4"/>
      <c r="D32" s="8"/>
      <c r="E32" s="8"/>
      <c r="F32" s="9"/>
      <c r="G32" s="8"/>
      <c r="H32" s="8"/>
      <c r="I32" s="8"/>
      <c r="J32" s="8"/>
      <c r="K32" s="9"/>
      <c r="L32" s="8"/>
    </row>
    <row r="33" customFormat="false" ht="15" hidden="false" customHeight="false" outlineLevel="0" collapsed="false">
      <c r="A33" s="4" t="s">
        <v>506</v>
      </c>
      <c r="B33" s="4"/>
      <c r="C33" s="4"/>
      <c r="D33" s="8"/>
      <c r="E33" s="8"/>
      <c r="F33" s="9"/>
      <c r="G33" s="8"/>
      <c r="H33" s="8"/>
      <c r="I33" s="8"/>
      <c r="J33" s="8"/>
      <c r="K33" s="9"/>
      <c r="L33" s="8"/>
    </row>
    <row r="34" customFormat="false" ht="15" hidden="false" customHeight="false" outlineLevel="0" collapsed="false">
      <c r="A34" s="4" t="s">
        <v>507</v>
      </c>
      <c r="B34" s="4"/>
      <c r="C34" s="4"/>
      <c r="D34" s="8"/>
      <c r="E34" s="8"/>
      <c r="F34" s="9"/>
      <c r="G34" s="8"/>
      <c r="H34" s="8"/>
      <c r="I34" s="8"/>
      <c r="J34" s="8"/>
      <c r="K34" s="9"/>
      <c r="L34" s="8"/>
    </row>
    <row r="35" customFormat="false" ht="15" hidden="false" customHeight="false" outlineLevel="0" collapsed="false">
      <c r="A35" s="4" t="s">
        <v>508</v>
      </c>
      <c r="B35" s="4"/>
      <c r="C35" s="4"/>
      <c r="D35" s="8"/>
      <c r="E35" s="8"/>
      <c r="F35" s="9"/>
      <c r="G35" s="8"/>
      <c r="H35" s="8"/>
      <c r="I35" s="8"/>
      <c r="J35" s="8"/>
      <c r="K35" s="9"/>
      <c r="L35" s="8"/>
    </row>
    <row r="36" customFormat="false" ht="15" hidden="false" customHeight="false" outlineLevel="0" collapsed="false">
      <c r="A36" s="4" t="s">
        <v>509</v>
      </c>
      <c r="B36" s="4"/>
      <c r="C36" s="4"/>
      <c r="D36" s="8"/>
      <c r="E36" s="8"/>
      <c r="F36" s="9"/>
      <c r="G36" s="8"/>
      <c r="H36" s="8"/>
      <c r="I36" s="8"/>
      <c r="J36" s="8"/>
      <c r="K36" s="9"/>
      <c r="L36" s="8"/>
    </row>
    <row r="37" customFormat="false" ht="15" hidden="false" customHeight="false" outlineLevel="0" collapsed="false">
      <c r="A37" s="4" t="s">
        <v>510</v>
      </c>
      <c r="B37" s="4"/>
      <c r="C37" s="4"/>
      <c r="D37" s="8"/>
      <c r="E37" s="8"/>
      <c r="F37" s="9"/>
      <c r="G37" s="8"/>
      <c r="H37" s="8"/>
      <c r="I37" s="8"/>
      <c r="J37" s="8"/>
      <c r="K37" s="9"/>
      <c r="L37" s="8"/>
    </row>
    <row r="38" customFormat="false" ht="15" hidden="false" customHeight="false" outlineLevel="0" collapsed="false">
      <c r="A38" s="4" t="s">
        <v>511</v>
      </c>
      <c r="B38" s="4"/>
      <c r="C38" s="4"/>
      <c r="D38" s="8"/>
      <c r="E38" s="8"/>
      <c r="F38" s="9"/>
      <c r="G38" s="8"/>
      <c r="H38" s="8"/>
      <c r="I38" s="8"/>
      <c r="J38" s="8"/>
      <c r="K38" s="9"/>
      <c r="L38" s="8"/>
    </row>
    <row r="39" customFormat="false" ht="15" hidden="false" customHeight="false" outlineLevel="0" collapsed="false">
      <c r="A39" s="4" t="s">
        <v>512</v>
      </c>
      <c r="B39" s="4"/>
      <c r="C39" s="4"/>
      <c r="D39" s="8"/>
      <c r="E39" s="8"/>
      <c r="F39" s="9"/>
      <c r="G39" s="8"/>
      <c r="H39" s="8"/>
      <c r="I39" s="8"/>
      <c r="J39" s="8"/>
      <c r="K39" s="9"/>
      <c r="L39" s="8"/>
    </row>
    <row r="40" customFormat="false" ht="15" hidden="false" customHeight="false" outlineLevel="0" collapsed="false">
      <c r="A40" s="4" t="s">
        <v>513</v>
      </c>
      <c r="B40" s="4"/>
      <c r="C40" s="4"/>
      <c r="D40" s="8"/>
      <c r="E40" s="8"/>
      <c r="F40" s="9"/>
      <c r="G40" s="8"/>
      <c r="H40" s="8"/>
      <c r="I40" s="8"/>
      <c r="J40" s="8"/>
      <c r="K40" s="9"/>
      <c r="L40" s="8"/>
    </row>
    <row r="41" customFormat="false" ht="15" hidden="false" customHeight="false" outlineLevel="0" collapsed="false">
      <c r="A41" s="4" t="s">
        <v>514</v>
      </c>
      <c r="B41" s="4"/>
      <c r="C41" s="4"/>
      <c r="D41" s="8"/>
      <c r="E41" s="8"/>
      <c r="F41" s="9"/>
      <c r="G41" s="8"/>
      <c r="H41" s="8"/>
      <c r="I41" s="8"/>
      <c r="J41" s="8"/>
      <c r="K41" s="9"/>
      <c r="L41" s="8"/>
    </row>
    <row r="42" customFormat="false" ht="15" hidden="false" customHeight="false" outlineLevel="0" collapsed="false">
      <c r="A42" s="4" t="s">
        <v>515</v>
      </c>
      <c r="B42" s="4"/>
      <c r="C42" s="4"/>
      <c r="D42" s="8"/>
      <c r="E42" s="8"/>
      <c r="F42" s="9"/>
      <c r="G42" s="8"/>
      <c r="H42" s="8"/>
      <c r="I42" s="8"/>
      <c r="J42" s="8"/>
      <c r="K42" s="9"/>
      <c r="L42" s="8"/>
    </row>
    <row r="43" customFormat="false" ht="15" hidden="false" customHeight="false" outlineLevel="0" collapsed="false">
      <c r="A43" s="4" t="s">
        <v>516</v>
      </c>
      <c r="B43" s="4"/>
      <c r="C43" s="4"/>
      <c r="D43" s="8"/>
      <c r="E43" s="8"/>
      <c r="F43" s="9"/>
      <c r="G43" s="8"/>
      <c r="H43" s="8"/>
      <c r="I43" s="8"/>
      <c r="J43" s="8"/>
      <c r="K43" s="9"/>
      <c r="L43" s="8"/>
    </row>
    <row r="44" customFormat="false" ht="15" hidden="false" customHeight="false" outlineLevel="0" collapsed="false">
      <c r="A44" s="4" t="s">
        <v>517</v>
      </c>
      <c r="B44" s="4"/>
      <c r="C44" s="4"/>
      <c r="D44" s="8"/>
      <c r="E44" s="8"/>
      <c r="F44" s="9"/>
      <c r="G44" s="8"/>
      <c r="H44" s="8"/>
      <c r="I44" s="8"/>
      <c r="J44" s="8"/>
      <c r="K44" s="9"/>
      <c r="L44" s="8"/>
    </row>
    <row r="45" customFormat="false" ht="15" hidden="false" customHeight="false" outlineLevel="0" collapsed="false">
      <c r="A45" s="4" t="s">
        <v>518</v>
      </c>
      <c r="B45" s="4"/>
      <c r="C45" s="4"/>
      <c r="D45" s="8"/>
      <c r="E45" s="8"/>
      <c r="F45" s="9"/>
      <c r="G45" s="8"/>
      <c r="H45" s="8"/>
      <c r="I45" s="8"/>
      <c r="J45" s="8"/>
      <c r="K45" s="9"/>
      <c r="L45" s="8"/>
    </row>
  </sheetData>
  <mergeCells count="2">
    <mergeCell ref="A1:L1"/>
    <mergeCell ref="A2:L2"/>
  </mergeCells>
  <dataValidations count="1">
    <dataValidation allowBlank="false" errorStyle="stop" operator="between" showDropDown="false" showErrorMessage="false" showInputMessage="false" sqref="J6:J45" type="list">
      <formula1>"待核验,已核验,拒绝,已生效"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6" min="4" style="0" width="15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1" t="s">
        <v>519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520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521</v>
      </c>
      <c r="B5" s="3" t="s">
        <v>34</v>
      </c>
      <c r="C5" s="3" t="s">
        <v>143</v>
      </c>
      <c r="D5" s="3" t="s">
        <v>522</v>
      </c>
      <c r="E5" s="3" t="s">
        <v>523</v>
      </c>
      <c r="F5" s="3" t="s">
        <v>524</v>
      </c>
      <c r="G5" s="3" t="s">
        <v>525</v>
      </c>
      <c r="H5" s="3" t="s">
        <v>526</v>
      </c>
      <c r="I5" s="3" t="s">
        <v>42</v>
      </c>
      <c r="J5" s="3" t="s">
        <v>41</v>
      </c>
      <c r="K5" s="3" t="s">
        <v>527</v>
      </c>
    </row>
    <row r="6" customFormat="false" ht="15" hidden="false" customHeight="false" outlineLevel="0" collapsed="false">
      <c r="A6" s="4" t="s">
        <v>528</v>
      </c>
      <c r="B6" s="4" t="s">
        <v>46</v>
      </c>
      <c r="C6" s="4" t="s">
        <v>47</v>
      </c>
      <c r="D6" s="7" t="n">
        <v>0</v>
      </c>
      <c r="E6" s="7" t="n">
        <v>0</v>
      </c>
      <c r="F6" s="7" t="n">
        <v>0</v>
      </c>
      <c r="G6" s="8"/>
      <c r="H6" s="8"/>
      <c r="I6" s="8" t="s">
        <v>53</v>
      </c>
      <c r="J6" s="8" t="s">
        <v>263</v>
      </c>
      <c r="K6" s="8"/>
    </row>
    <row r="7" customFormat="false" ht="15" hidden="false" customHeight="false" outlineLevel="0" collapsed="false">
      <c r="A7" s="4" t="s">
        <v>529</v>
      </c>
      <c r="B7" s="4" t="s">
        <v>57</v>
      </c>
      <c r="C7" s="4" t="s">
        <v>58</v>
      </c>
      <c r="D7" s="7" t="n">
        <v>0</v>
      </c>
      <c r="E7" s="7" t="n">
        <v>0</v>
      </c>
      <c r="F7" s="7" t="n">
        <v>0</v>
      </c>
      <c r="G7" s="8"/>
      <c r="H7" s="8"/>
      <c r="I7" s="8" t="s">
        <v>53</v>
      </c>
      <c r="J7" s="8" t="s">
        <v>263</v>
      </c>
      <c r="K7" s="8"/>
    </row>
    <row r="8" customFormat="false" ht="15" hidden="false" customHeight="false" outlineLevel="0" collapsed="false">
      <c r="A8" s="4" t="s">
        <v>530</v>
      </c>
      <c r="B8" s="4" t="s">
        <v>64</v>
      </c>
      <c r="C8" s="4" t="s">
        <v>65</v>
      </c>
      <c r="D8" s="7" t="n">
        <v>0</v>
      </c>
      <c r="E8" s="7" t="n">
        <v>0</v>
      </c>
      <c r="F8" s="7" t="n">
        <v>0</v>
      </c>
      <c r="G8" s="8"/>
      <c r="H8" s="8"/>
      <c r="I8" s="8" t="s">
        <v>70</v>
      </c>
      <c r="J8" s="8" t="s">
        <v>263</v>
      </c>
      <c r="K8" s="8"/>
    </row>
    <row r="9" customFormat="false" ht="15" hidden="false" customHeight="false" outlineLevel="0" collapsed="false">
      <c r="A9" s="4" t="s">
        <v>531</v>
      </c>
      <c r="B9" s="4" t="s">
        <v>74</v>
      </c>
      <c r="C9" s="4" t="s">
        <v>75</v>
      </c>
      <c r="D9" s="7" t="n">
        <v>0</v>
      </c>
      <c r="E9" s="7" t="n">
        <v>0</v>
      </c>
      <c r="F9" s="7" t="n">
        <v>0</v>
      </c>
      <c r="G9" s="8"/>
      <c r="H9" s="8"/>
      <c r="I9" s="8" t="s">
        <v>78</v>
      </c>
      <c r="J9" s="8" t="s">
        <v>263</v>
      </c>
      <c r="K9" s="8"/>
    </row>
    <row r="10" customFormat="false" ht="15" hidden="false" customHeight="false" outlineLevel="0" collapsed="false">
      <c r="A10" s="4" t="s">
        <v>532</v>
      </c>
      <c r="B10" s="4" t="s">
        <v>82</v>
      </c>
      <c r="C10" s="4" t="s">
        <v>83</v>
      </c>
      <c r="D10" s="7" t="n">
        <v>0</v>
      </c>
      <c r="E10" s="7" t="n">
        <v>0</v>
      </c>
      <c r="F10" s="7" t="n">
        <v>0</v>
      </c>
      <c r="G10" s="8"/>
      <c r="H10" s="8"/>
      <c r="I10" s="8" t="s">
        <v>86</v>
      </c>
      <c r="J10" s="8" t="s">
        <v>263</v>
      </c>
      <c r="K10" s="8"/>
    </row>
    <row r="11" customFormat="false" ht="15" hidden="false" customHeight="false" outlineLevel="0" collapsed="false">
      <c r="A11" s="4" t="s">
        <v>533</v>
      </c>
      <c r="B11" s="4" t="s">
        <v>90</v>
      </c>
      <c r="C11" s="4" t="s">
        <v>91</v>
      </c>
      <c r="D11" s="7" t="n">
        <v>0</v>
      </c>
      <c r="E11" s="7" t="n">
        <v>0</v>
      </c>
      <c r="F11" s="7" t="n">
        <v>0</v>
      </c>
      <c r="G11" s="8"/>
      <c r="H11" s="8"/>
      <c r="I11" s="8" t="s">
        <v>95</v>
      </c>
      <c r="J11" s="8" t="s">
        <v>263</v>
      </c>
      <c r="K11" s="8"/>
    </row>
    <row r="12" customFormat="false" ht="15" hidden="false" customHeight="false" outlineLevel="0" collapsed="false">
      <c r="A12" s="4" t="s">
        <v>534</v>
      </c>
      <c r="B12" s="4" t="s">
        <v>99</v>
      </c>
      <c r="C12" s="4" t="s">
        <v>100</v>
      </c>
      <c r="D12" s="7" t="n">
        <v>0</v>
      </c>
      <c r="E12" s="7" t="n">
        <v>0</v>
      </c>
      <c r="F12" s="7" t="n">
        <v>0</v>
      </c>
      <c r="G12" s="8"/>
      <c r="H12" s="8"/>
      <c r="I12" s="8" t="s">
        <v>103</v>
      </c>
      <c r="J12" s="8" t="s">
        <v>263</v>
      </c>
      <c r="K12" s="8"/>
    </row>
    <row r="13" customFormat="false" ht="15" hidden="false" customHeight="false" outlineLevel="0" collapsed="false">
      <c r="A13" s="4" t="s">
        <v>535</v>
      </c>
      <c r="B13" s="4" t="s">
        <v>107</v>
      </c>
      <c r="C13" s="4" t="s">
        <v>108</v>
      </c>
      <c r="D13" s="7" t="n">
        <v>0</v>
      </c>
      <c r="E13" s="7" t="n">
        <v>0</v>
      </c>
      <c r="F13" s="7" t="n">
        <v>0</v>
      </c>
      <c r="G13" s="8"/>
      <c r="H13" s="8"/>
      <c r="I13" s="8" t="s">
        <v>70</v>
      </c>
      <c r="J13" s="8" t="s">
        <v>263</v>
      </c>
      <c r="K13" s="8"/>
    </row>
    <row r="14" customFormat="false" ht="15" hidden="false" customHeight="false" outlineLevel="0" collapsed="false">
      <c r="A14" s="4" t="s">
        <v>536</v>
      </c>
      <c r="B14" s="4" t="s">
        <v>112</v>
      </c>
      <c r="C14" s="4" t="s">
        <v>113</v>
      </c>
      <c r="D14" s="7" t="n">
        <v>0</v>
      </c>
      <c r="E14" s="7" t="n">
        <v>0</v>
      </c>
      <c r="F14" s="7" t="n">
        <v>0</v>
      </c>
      <c r="G14" s="8"/>
      <c r="H14" s="8"/>
      <c r="I14" s="8" t="s">
        <v>116</v>
      </c>
      <c r="J14" s="8" t="s">
        <v>263</v>
      </c>
      <c r="K14" s="8"/>
    </row>
    <row r="15" customFormat="false" ht="15" hidden="false" customHeight="false" outlineLevel="0" collapsed="false">
      <c r="A15" s="4" t="s">
        <v>537</v>
      </c>
      <c r="B15" s="4" t="s">
        <v>119</v>
      </c>
      <c r="C15" s="4" t="s">
        <v>120</v>
      </c>
      <c r="D15" s="7" t="n">
        <v>0</v>
      </c>
      <c r="E15" s="7" t="n">
        <v>0</v>
      </c>
      <c r="F15" s="7" t="n">
        <v>0</v>
      </c>
      <c r="G15" s="8"/>
      <c r="H15" s="8"/>
      <c r="I15" s="8" t="s">
        <v>122</v>
      </c>
      <c r="J15" s="8" t="s">
        <v>263</v>
      </c>
      <c r="K15" s="8"/>
    </row>
    <row r="16" customFormat="false" ht="15" hidden="false" customHeight="false" outlineLevel="0" collapsed="false">
      <c r="A16" s="4" t="s">
        <v>538</v>
      </c>
      <c r="B16" s="4" t="s">
        <v>125</v>
      </c>
      <c r="C16" s="4" t="s">
        <v>126</v>
      </c>
      <c r="D16" s="7" t="n">
        <v>0</v>
      </c>
      <c r="E16" s="7" t="n">
        <v>0</v>
      </c>
      <c r="F16" s="7" t="n">
        <v>0</v>
      </c>
      <c r="G16" s="8"/>
      <c r="H16" s="8"/>
      <c r="I16" s="8" t="s">
        <v>70</v>
      </c>
      <c r="J16" s="8" t="s">
        <v>263</v>
      </c>
      <c r="K16" s="8"/>
    </row>
    <row r="17" customFormat="false" ht="15" hidden="false" customHeight="false" outlineLevel="0" collapsed="false">
      <c r="A17" s="4" t="s">
        <v>539</v>
      </c>
      <c r="B17" s="4" t="s">
        <v>133</v>
      </c>
      <c r="C17" s="4" t="s">
        <v>134</v>
      </c>
      <c r="D17" s="7" t="n">
        <v>0</v>
      </c>
      <c r="E17" s="7" t="n">
        <v>0</v>
      </c>
      <c r="F17" s="7" t="n">
        <v>0</v>
      </c>
      <c r="G17" s="8"/>
      <c r="H17" s="8"/>
      <c r="I17" s="8" t="s">
        <v>136</v>
      </c>
      <c r="J17" s="8" t="s">
        <v>263</v>
      </c>
      <c r="K17" s="8"/>
    </row>
  </sheetData>
  <mergeCells count="2">
    <mergeCell ref="A1:K1"/>
    <mergeCell ref="A2:K2"/>
  </mergeCells>
  <conditionalFormatting sqref="J6:J17">
    <cfRule type="containsText" priority="2" operator="containsText" aboveAverage="0" equalAverage="0" bottom="0" percent="0" rank="0" text="已完成" dxfId="11">
      <formula>NOT(ISERROR(SEARCH("已完成",J6)))</formula>
    </cfRule>
    <cfRule type="containsText" priority="3" operator="containsText" aboveAverage="0" equalAverage="0" bottom="0" percent="0" rank="0" text="高" dxfId="12">
      <formula>NOT(ISERROR(SEARCH("高",J6)))</formula>
    </cfRule>
  </conditionalFormatting>
  <dataValidations count="1">
    <dataValidation allowBlank="false" errorStyle="stop" operator="between" showDropDown="false" showErrorMessage="false" showInputMessage="false" sqref="J6:J17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7" min="5" style="0" width="34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38"/>
  </cols>
  <sheetData>
    <row r="1" customFormat="false" ht="30" hidden="false" customHeight="true" outlineLevel="0" collapsed="false">
      <c r="A1" s="1" t="s">
        <v>540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541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542</v>
      </c>
      <c r="B5" s="3" t="s">
        <v>141</v>
      </c>
      <c r="C5" s="3" t="s">
        <v>143</v>
      </c>
      <c r="D5" s="3" t="s">
        <v>543</v>
      </c>
      <c r="E5" s="3" t="s">
        <v>544</v>
      </c>
      <c r="F5" s="3" t="s">
        <v>545</v>
      </c>
      <c r="G5" s="3" t="s">
        <v>546</v>
      </c>
      <c r="H5" s="3" t="s">
        <v>547</v>
      </c>
      <c r="I5" s="3" t="s">
        <v>311</v>
      </c>
      <c r="J5" s="3" t="s">
        <v>548</v>
      </c>
      <c r="K5" s="3" t="s">
        <v>549</v>
      </c>
      <c r="L5" s="3" t="s">
        <v>41</v>
      </c>
      <c r="M5" s="3" t="s">
        <v>550</v>
      </c>
    </row>
    <row r="6" customFormat="false" ht="15" hidden="false" customHeight="false" outlineLevel="0" collapsed="false">
      <c r="A6" s="4" t="s">
        <v>551</v>
      </c>
      <c r="B6" s="4" t="s">
        <v>175</v>
      </c>
      <c r="C6" s="4" t="s">
        <v>65</v>
      </c>
      <c r="D6" s="5" t="n">
        <v>904000</v>
      </c>
      <c r="E6" s="4" t="s">
        <v>181</v>
      </c>
      <c r="F6" s="8"/>
      <c r="G6" s="8"/>
      <c r="H6" s="8"/>
      <c r="I6" s="8" t="s">
        <v>70</v>
      </c>
      <c r="J6" s="8"/>
      <c r="K6" s="9"/>
      <c r="L6" s="8" t="s">
        <v>552</v>
      </c>
      <c r="M6" s="8"/>
    </row>
    <row r="7" customFormat="false" ht="15" hidden="false" customHeight="false" outlineLevel="0" collapsed="false">
      <c r="A7" s="4" t="s">
        <v>553</v>
      </c>
      <c r="B7" s="4" t="s">
        <v>193</v>
      </c>
      <c r="C7" s="4" t="s">
        <v>91</v>
      </c>
      <c r="D7" s="5" t="n">
        <v>565000</v>
      </c>
      <c r="E7" s="4" t="s">
        <v>197</v>
      </c>
      <c r="F7" s="8"/>
      <c r="G7" s="8"/>
      <c r="H7" s="8"/>
      <c r="I7" s="8" t="s">
        <v>95</v>
      </c>
      <c r="J7" s="8"/>
      <c r="K7" s="9"/>
      <c r="L7" s="8" t="s">
        <v>552</v>
      </c>
      <c r="M7" s="8"/>
    </row>
    <row r="8" customFormat="false" ht="15" hidden="false" customHeight="false" outlineLevel="0" collapsed="false">
      <c r="A8" s="4" t="s">
        <v>554</v>
      </c>
      <c r="B8" s="4" t="s">
        <v>217</v>
      </c>
      <c r="C8" s="4" t="s">
        <v>126</v>
      </c>
      <c r="D8" s="5" t="n">
        <v>226000</v>
      </c>
      <c r="E8" s="4" t="s">
        <v>222</v>
      </c>
      <c r="F8" s="8"/>
      <c r="G8" s="8"/>
      <c r="H8" s="8"/>
      <c r="I8" s="8" t="s">
        <v>70</v>
      </c>
      <c r="J8" s="8"/>
      <c r="K8" s="9"/>
      <c r="L8" s="8" t="s">
        <v>552</v>
      </c>
      <c r="M8" s="8"/>
    </row>
    <row r="9" customFormat="false" ht="15" hidden="false" customHeight="false" outlineLevel="0" collapsed="false">
      <c r="A9" s="4" t="s">
        <v>555</v>
      </c>
      <c r="B9" s="4" t="s">
        <v>235</v>
      </c>
      <c r="C9" s="4" t="s">
        <v>65</v>
      </c>
      <c r="D9" s="5" t="n">
        <v>-61000</v>
      </c>
      <c r="E9" s="4" t="s">
        <v>240</v>
      </c>
      <c r="F9" s="8"/>
      <c r="G9" s="8"/>
      <c r="H9" s="8"/>
      <c r="I9" s="8" t="s">
        <v>70</v>
      </c>
      <c r="J9" s="8"/>
      <c r="K9" s="9"/>
      <c r="L9" s="8" t="s">
        <v>552</v>
      </c>
      <c r="M9" s="8"/>
    </row>
    <row r="10" customFormat="false" ht="15" hidden="false" customHeight="false" outlineLevel="0" collapsed="false">
      <c r="A10" s="4" t="s">
        <v>555</v>
      </c>
      <c r="B10" s="4"/>
      <c r="C10" s="4"/>
      <c r="D10" s="5" t="n">
        <v>0</v>
      </c>
      <c r="E10" s="4"/>
      <c r="F10" s="8"/>
      <c r="G10" s="8"/>
      <c r="H10" s="8"/>
      <c r="I10" s="8"/>
      <c r="J10" s="8"/>
      <c r="K10" s="9"/>
      <c r="L10" s="8"/>
      <c r="M10" s="8"/>
    </row>
    <row r="11" customFormat="false" ht="15" hidden="false" customHeight="false" outlineLevel="0" collapsed="false">
      <c r="A11" s="4" t="s">
        <v>556</v>
      </c>
      <c r="B11" s="4"/>
      <c r="C11" s="4"/>
      <c r="D11" s="5" t="n">
        <v>0</v>
      </c>
      <c r="E11" s="4"/>
      <c r="F11" s="8"/>
      <c r="G11" s="8"/>
      <c r="H11" s="8"/>
      <c r="I11" s="8"/>
      <c r="J11" s="8"/>
      <c r="K11" s="9"/>
      <c r="L11" s="8"/>
      <c r="M11" s="8"/>
    </row>
    <row r="12" customFormat="false" ht="15" hidden="false" customHeight="false" outlineLevel="0" collapsed="false">
      <c r="A12" s="4" t="s">
        <v>557</v>
      </c>
      <c r="B12" s="4"/>
      <c r="C12" s="4"/>
      <c r="D12" s="5" t="n">
        <v>0</v>
      </c>
      <c r="E12" s="4"/>
      <c r="F12" s="8"/>
      <c r="G12" s="8"/>
      <c r="H12" s="8"/>
      <c r="I12" s="8"/>
      <c r="J12" s="8"/>
      <c r="K12" s="9"/>
      <c r="L12" s="8"/>
      <c r="M12" s="8"/>
    </row>
    <row r="13" customFormat="false" ht="15" hidden="false" customHeight="false" outlineLevel="0" collapsed="false">
      <c r="A13" s="4" t="s">
        <v>558</v>
      </c>
      <c r="B13" s="4"/>
      <c r="C13" s="4"/>
      <c r="D13" s="5" t="n">
        <v>0</v>
      </c>
      <c r="E13" s="4"/>
      <c r="F13" s="8"/>
      <c r="G13" s="8"/>
      <c r="H13" s="8"/>
      <c r="I13" s="8"/>
      <c r="J13" s="8"/>
      <c r="K13" s="9"/>
      <c r="L13" s="8"/>
      <c r="M13" s="8"/>
    </row>
    <row r="14" customFormat="false" ht="15" hidden="false" customHeight="false" outlineLevel="0" collapsed="false">
      <c r="A14" s="4" t="s">
        <v>559</v>
      </c>
      <c r="B14" s="4"/>
      <c r="C14" s="4"/>
      <c r="D14" s="5" t="n">
        <v>0</v>
      </c>
      <c r="E14" s="4"/>
      <c r="F14" s="8"/>
      <c r="G14" s="8"/>
      <c r="H14" s="8"/>
      <c r="I14" s="8"/>
      <c r="J14" s="8"/>
      <c r="K14" s="9"/>
      <c r="L14" s="8"/>
      <c r="M14" s="8"/>
    </row>
    <row r="15" customFormat="false" ht="15" hidden="false" customHeight="false" outlineLevel="0" collapsed="false">
      <c r="A15" s="4" t="s">
        <v>560</v>
      </c>
      <c r="B15" s="4"/>
      <c r="C15" s="4"/>
      <c r="D15" s="5" t="n">
        <v>0</v>
      </c>
      <c r="E15" s="4"/>
      <c r="F15" s="8"/>
      <c r="G15" s="8"/>
      <c r="H15" s="8"/>
      <c r="I15" s="8"/>
      <c r="J15" s="8"/>
      <c r="K15" s="9"/>
      <c r="L15" s="8"/>
      <c r="M15" s="8"/>
    </row>
    <row r="16" customFormat="false" ht="15" hidden="false" customHeight="false" outlineLevel="0" collapsed="false">
      <c r="A16" s="4" t="s">
        <v>561</v>
      </c>
      <c r="B16" s="4"/>
      <c r="C16" s="4"/>
      <c r="D16" s="5" t="n">
        <v>0</v>
      </c>
      <c r="E16" s="4"/>
      <c r="F16" s="8"/>
      <c r="G16" s="8"/>
      <c r="H16" s="8"/>
      <c r="I16" s="8"/>
      <c r="J16" s="8"/>
      <c r="K16" s="9"/>
      <c r="L16" s="8"/>
      <c r="M16" s="8"/>
    </row>
    <row r="17" customFormat="false" ht="15" hidden="false" customHeight="false" outlineLevel="0" collapsed="false">
      <c r="A17" s="4" t="s">
        <v>562</v>
      </c>
      <c r="B17" s="4"/>
      <c r="C17" s="4"/>
      <c r="D17" s="5" t="n">
        <v>0</v>
      </c>
      <c r="E17" s="4"/>
      <c r="F17" s="8"/>
      <c r="G17" s="8"/>
      <c r="H17" s="8"/>
      <c r="I17" s="8"/>
      <c r="J17" s="8"/>
      <c r="K17" s="9"/>
      <c r="L17" s="8"/>
      <c r="M17" s="8"/>
    </row>
    <row r="18" customFormat="false" ht="15" hidden="false" customHeight="false" outlineLevel="0" collapsed="false">
      <c r="A18" s="4" t="s">
        <v>563</v>
      </c>
      <c r="B18" s="4"/>
      <c r="C18" s="4"/>
      <c r="D18" s="5" t="n">
        <v>0</v>
      </c>
      <c r="E18" s="4"/>
      <c r="F18" s="8"/>
      <c r="G18" s="8"/>
      <c r="H18" s="8"/>
      <c r="I18" s="8"/>
      <c r="J18" s="8"/>
      <c r="K18" s="9"/>
      <c r="L18" s="8"/>
      <c r="M18" s="8"/>
    </row>
    <row r="19" customFormat="false" ht="15" hidden="false" customHeight="false" outlineLevel="0" collapsed="false">
      <c r="A19" s="4" t="s">
        <v>564</v>
      </c>
      <c r="B19" s="4"/>
      <c r="C19" s="4"/>
      <c r="D19" s="5" t="n">
        <v>0</v>
      </c>
      <c r="E19" s="4"/>
      <c r="F19" s="8"/>
      <c r="G19" s="8"/>
      <c r="H19" s="8"/>
      <c r="I19" s="8"/>
      <c r="J19" s="8"/>
      <c r="K19" s="9"/>
      <c r="L19" s="8"/>
      <c r="M19" s="8"/>
    </row>
    <row r="20" customFormat="false" ht="15" hidden="false" customHeight="false" outlineLevel="0" collapsed="false">
      <c r="A20" s="4" t="s">
        <v>565</v>
      </c>
      <c r="B20" s="4"/>
      <c r="C20" s="4"/>
      <c r="D20" s="5" t="n">
        <v>0</v>
      </c>
      <c r="E20" s="4"/>
      <c r="F20" s="8"/>
      <c r="G20" s="8"/>
      <c r="H20" s="8"/>
      <c r="I20" s="8"/>
      <c r="J20" s="8"/>
      <c r="K20" s="9"/>
      <c r="L20" s="8"/>
      <c r="M20" s="8"/>
    </row>
    <row r="21" customFormat="false" ht="15" hidden="false" customHeight="false" outlineLevel="0" collapsed="false">
      <c r="A21" s="4" t="s">
        <v>566</v>
      </c>
      <c r="B21" s="4"/>
      <c r="C21" s="4"/>
      <c r="D21" s="5" t="n">
        <v>0</v>
      </c>
      <c r="E21" s="4"/>
      <c r="F21" s="8"/>
      <c r="G21" s="8"/>
      <c r="H21" s="8"/>
      <c r="I21" s="8"/>
      <c r="J21" s="8"/>
      <c r="K21" s="9"/>
      <c r="L21" s="8"/>
      <c r="M21" s="8"/>
    </row>
    <row r="22" customFormat="false" ht="15" hidden="false" customHeight="false" outlineLevel="0" collapsed="false">
      <c r="A22" s="4" t="s">
        <v>567</v>
      </c>
      <c r="B22" s="4"/>
      <c r="C22" s="4"/>
      <c r="D22" s="5" t="n">
        <v>0</v>
      </c>
      <c r="E22" s="4"/>
      <c r="F22" s="8"/>
      <c r="G22" s="8"/>
      <c r="H22" s="8"/>
      <c r="I22" s="8"/>
      <c r="J22" s="8"/>
      <c r="K22" s="9"/>
      <c r="L22" s="8"/>
      <c r="M22" s="8"/>
    </row>
    <row r="23" customFormat="false" ht="15" hidden="false" customHeight="false" outlineLevel="0" collapsed="false">
      <c r="A23" s="4" t="s">
        <v>568</v>
      </c>
      <c r="B23" s="4"/>
      <c r="C23" s="4"/>
      <c r="D23" s="5" t="n">
        <v>0</v>
      </c>
      <c r="E23" s="4"/>
      <c r="F23" s="8"/>
      <c r="G23" s="8"/>
      <c r="H23" s="8"/>
      <c r="I23" s="8"/>
      <c r="J23" s="8"/>
      <c r="K23" s="9"/>
      <c r="L23" s="8"/>
      <c r="M23" s="8"/>
    </row>
    <row r="24" customFormat="false" ht="15" hidden="false" customHeight="false" outlineLevel="0" collapsed="false">
      <c r="A24" s="4" t="s">
        <v>569</v>
      </c>
      <c r="B24" s="4"/>
      <c r="C24" s="4"/>
      <c r="D24" s="5" t="n">
        <v>0</v>
      </c>
      <c r="E24" s="4"/>
      <c r="F24" s="8"/>
      <c r="G24" s="8"/>
      <c r="H24" s="8"/>
      <c r="I24" s="8"/>
      <c r="J24" s="8"/>
      <c r="K24" s="9"/>
      <c r="L24" s="8"/>
      <c r="M24" s="8"/>
    </row>
    <row r="25" customFormat="false" ht="15" hidden="false" customHeight="false" outlineLevel="0" collapsed="false">
      <c r="A25" s="4" t="s">
        <v>570</v>
      </c>
      <c r="B25" s="4"/>
      <c r="C25" s="4"/>
      <c r="D25" s="5" t="n">
        <v>0</v>
      </c>
      <c r="E25" s="4"/>
      <c r="F25" s="8"/>
      <c r="G25" s="8"/>
      <c r="H25" s="8"/>
      <c r="I25" s="8"/>
      <c r="J25" s="8"/>
      <c r="K25" s="9"/>
      <c r="L25" s="8"/>
      <c r="M25" s="8"/>
    </row>
    <row r="26" customFormat="false" ht="15" hidden="false" customHeight="false" outlineLevel="0" collapsed="false">
      <c r="A26" s="4" t="s">
        <v>571</v>
      </c>
      <c r="B26" s="4"/>
      <c r="C26" s="4"/>
      <c r="D26" s="5" t="n">
        <v>0</v>
      </c>
      <c r="E26" s="4"/>
      <c r="F26" s="8"/>
      <c r="G26" s="8"/>
      <c r="H26" s="8"/>
      <c r="I26" s="8"/>
      <c r="J26" s="8"/>
      <c r="K26" s="9"/>
      <c r="L26" s="8"/>
      <c r="M26" s="8"/>
    </row>
    <row r="27" customFormat="false" ht="15" hidden="false" customHeight="false" outlineLevel="0" collapsed="false">
      <c r="A27" s="4" t="s">
        <v>572</v>
      </c>
      <c r="B27" s="4"/>
      <c r="C27" s="4"/>
      <c r="D27" s="5" t="n">
        <v>0</v>
      </c>
      <c r="E27" s="4"/>
      <c r="F27" s="8"/>
      <c r="G27" s="8"/>
      <c r="H27" s="8"/>
      <c r="I27" s="8"/>
      <c r="J27" s="8"/>
      <c r="K27" s="9"/>
      <c r="L27" s="8"/>
      <c r="M27" s="8"/>
    </row>
    <row r="28" customFormat="false" ht="15" hidden="false" customHeight="false" outlineLevel="0" collapsed="false">
      <c r="A28" s="4" t="s">
        <v>573</v>
      </c>
      <c r="B28" s="4"/>
      <c r="C28" s="4"/>
      <c r="D28" s="5" t="n">
        <v>0</v>
      </c>
      <c r="E28" s="4"/>
      <c r="F28" s="8"/>
      <c r="G28" s="8"/>
      <c r="H28" s="8"/>
      <c r="I28" s="8"/>
      <c r="J28" s="8"/>
      <c r="K28" s="9"/>
      <c r="L28" s="8"/>
      <c r="M28" s="8"/>
    </row>
    <row r="29" customFormat="false" ht="15" hidden="false" customHeight="false" outlineLevel="0" collapsed="false">
      <c r="A29" s="4" t="s">
        <v>574</v>
      </c>
      <c r="B29" s="4"/>
      <c r="C29" s="4"/>
      <c r="D29" s="5" t="n">
        <v>0</v>
      </c>
      <c r="E29" s="4"/>
      <c r="F29" s="8"/>
      <c r="G29" s="8"/>
      <c r="H29" s="8"/>
      <c r="I29" s="8"/>
      <c r="J29" s="8"/>
      <c r="K29" s="9"/>
      <c r="L29" s="8"/>
      <c r="M29" s="8"/>
    </row>
    <row r="30" customFormat="false" ht="15" hidden="false" customHeight="false" outlineLevel="0" collapsed="false">
      <c r="A30" s="4" t="s">
        <v>575</v>
      </c>
      <c r="B30" s="4"/>
      <c r="C30" s="4"/>
      <c r="D30" s="5" t="n">
        <v>0</v>
      </c>
      <c r="E30" s="4"/>
      <c r="F30" s="8"/>
      <c r="G30" s="8"/>
      <c r="H30" s="8"/>
      <c r="I30" s="8"/>
      <c r="J30" s="8"/>
      <c r="K30" s="9"/>
      <c r="L30" s="8"/>
      <c r="M30" s="8"/>
    </row>
    <row r="31" customFormat="false" ht="15" hidden="false" customHeight="false" outlineLevel="0" collapsed="false">
      <c r="A31" s="4" t="s">
        <v>576</v>
      </c>
      <c r="B31" s="4"/>
      <c r="C31" s="4"/>
      <c r="D31" s="5" t="n">
        <v>0</v>
      </c>
      <c r="E31" s="4"/>
      <c r="F31" s="8"/>
      <c r="G31" s="8"/>
      <c r="H31" s="8"/>
      <c r="I31" s="8"/>
      <c r="J31" s="8"/>
      <c r="K31" s="9"/>
      <c r="L31" s="8"/>
      <c r="M31" s="8"/>
    </row>
    <row r="32" customFormat="false" ht="15" hidden="false" customHeight="false" outlineLevel="0" collapsed="false">
      <c r="A32" s="4" t="s">
        <v>577</v>
      </c>
      <c r="B32" s="4"/>
      <c r="C32" s="4"/>
      <c r="D32" s="5" t="n">
        <v>0</v>
      </c>
      <c r="E32" s="4"/>
      <c r="F32" s="8"/>
      <c r="G32" s="8"/>
      <c r="H32" s="8"/>
      <c r="I32" s="8"/>
      <c r="J32" s="8"/>
      <c r="K32" s="9"/>
      <c r="L32" s="8"/>
      <c r="M32" s="8"/>
    </row>
    <row r="33" customFormat="false" ht="15" hidden="false" customHeight="false" outlineLevel="0" collapsed="false">
      <c r="A33" s="4" t="s">
        <v>578</v>
      </c>
      <c r="B33" s="4"/>
      <c r="C33" s="4"/>
      <c r="D33" s="5" t="n">
        <v>0</v>
      </c>
      <c r="E33" s="4"/>
      <c r="F33" s="8"/>
      <c r="G33" s="8"/>
      <c r="H33" s="8"/>
      <c r="I33" s="8"/>
      <c r="J33" s="8"/>
      <c r="K33" s="9"/>
      <c r="L33" s="8"/>
      <c r="M33" s="8"/>
    </row>
    <row r="34" customFormat="false" ht="15" hidden="false" customHeight="false" outlineLevel="0" collapsed="false">
      <c r="A34" s="4" t="s">
        <v>579</v>
      </c>
      <c r="B34" s="4"/>
      <c r="C34" s="4"/>
      <c r="D34" s="5" t="n">
        <v>0</v>
      </c>
      <c r="E34" s="4"/>
      <c r="F34" s="8"/>
      <c r="G34" s="8"/>
      <c r="H34" s="8"/>
      <c r="I34" s="8"/>
      <c r="J34" s="8"/>
      <c r="K34" s="9"/>
      <c r="L34" s="8"/>
      <c r="M34" s="8"/>
    </row>
    <row r="35" customFormat="false" ht="15" hidden="false" customHeight="false" outlineLevel="0" collapsed="false">
      <c r="A35" s="4" t="s">
        <v>580</v>
      </c>
      <c r="B35" s="4"/>
      <c r="C35" s="4"/>
      <c r="D35" s="5" t="n">
        <v>0</v>
      </c>
      <c r="E35" s="4"/>
      <c r="F35" s="8"/>
      <c r="G35" s="8"/>
      <c r="H35" s="8"/>
      <c r="I35" s="8"/>
      <c r="J35" s="8"/>
      <c r="K35" s="9"/>
      <c r="L35" s="8"/>
      <c r="M35" s="8"/>
    </row>
    <row r="36" customFormat="false" ht="15" hidden="false" customHeight="false" outlineLevel="0" collapsed="false">
      <c r="A36" s="4" t="s">
        <v>581</v>
      </c>
      <c r="B36" s="4"/>
      <c r="C36" s="4"/>
      <c r="D36" s="5" t="n">
        <v>0</v>
      </c>
      <c r="E36" s="4"/>
      <c r="F36" s="8"/>
      <c r="G36" s="8"/>
      <c r="H36" s="8"/>
      <c r="I36" s="8"/>
      <c r="J36" s="8"/>
      <c r="K36" s="9"/>
      <c r="L36" s="8"/>
      <c r="M36" s="8"/>
    </row>
    <row r="37" customFormat="false" ht="15" hidden="false" customHeight="false" outlineLevel="0" collapsed="false">
      <c r="A37" s="4" t="s">
        <v>582</v>
      </c>
      <c r="B37" s="4"/>
      <c r="C37" s="4"/>
      <c r="D37" s="5" t="n">
        <v>0</v>
      </c>
      <c r="E37" s="4"/>
      <c r="F37" s="8"/>
      <c r="G37" s="8"/>
      <c r="H37" s="8"/>
      <c r="I37" s="8"/>
      <c r="J37" s="8"/>
      <c r="K37" s="9"/>
      <c r="L37" s="8"/>
      <c r="M37" s="8"/>
    </row>
    <row r="38" customFormat="false" ht="15" hidden="false" customHeight="false" outlineLevel="0" collapsed="false">
      <c r="A38" s="4" t="s">
        <v>583</v>
      </c>
      <c r="B38" s="4"/>
      <c r="C38" s="4"/>
      <c r="D38" s="5" t="n">
        <v>0</v>
      </c>
      <c r="E38" s="4"/>
      <c r="F38" s="8"/>
      <c r="G38" s="8"/>
      <c r="H38" s="8"/>
      <c r="I38" s="8"/>
      <c r="J38" s="8"/>
      <c r="K38" s="9"/>
      <c r="L38" s="8"/>
      <c r="M38" s="8"/>
    </row>
    <row r="39" customFormat="false" ht="15" hidden="false" customHeight="false" outlineLevel="0" collapsed="false">
      <c r="A39" s="4" t="s">
        <v>584</v>
      </c>
      <c r="B39" s="4"/>
      <c r="C39" s="4"/>
      <c r="D39" s="5" t="n">
        <v>0</v>
      </c>
      <c r="E39" s="4"/>
      <c r="F39" s="8"/>
      <c r="G39" s="8"/>
      <c r="H39" s="8"/>
      <c r="I39" s="8"/>
      <c r="J39" s="8"/>
      <c r="K39" s="9"/>
      <c r="L39" s="8"/>
      <c r="M39" s="8"/>
    </row>
    <row r="40" customFormat="false" ht="15" hidden="false" customHeight="false" outlineLevel="0" collapsed="false">
      <c r="A40" s="4" t="s">
        <v>585</v>
      </c>
      <c r="B40" s="4"/>
      <c r="C40" s="4"/>
      <c r="D40" s="5" t="n">
        <v>0</v>
      </c>
      <c r="E40" s="4"/>
      <c r="F40" s="8"/>
      <c r="G40" s="8"/>
      <c r="H40" s="8"/>
      <c r="I40" s="8"/>
      <c r="J40" s="8"/>
      <c r="K40" s="9"/>
      <c r="L40" s="8"/>
      <c r="M40" s="8"/>
    </row>
    <row r="41" customFormat="false" ht="15" hidden="false" customHeight="false" outlineLevel="0" collapsed="false">
      <c r="A41" s="4" t="s">
        <v>586</v>
      </c>
      <c r="B41" s="4"/>
      <c r="C41" s="4"/>
      <c r="D41" s="5" t="n">
        <v>0</v>
      </c>
      <c r="E41" s="4"/>
      <c r="F41" s="8"/>
      <c r="G41" s="8"/>
      <c r="H41" s="8"/>
      <c r="I41" s="8"/>
      <c r="J41" s="8"/>
      <c r="K41" s="9"/>
      <c r="L41" s="8"/>
      <c r="M41" s="8"/>
    </row>
    <row r="42" customFormat="false" ht="15" hidden="false" customHeight="false" outlineLevel="0" collapsed="false">
      <c r="A42" s="4" t="s">
        <v>587</v>
      </c>
      <c r="B42" s="4"/>
      <c r="C42" s="4"/>
      <c r="D42" s="5" t="n">
        <v>0</v>
      </c>
      <c r="E42" s="4"/>
      <c r="F42" s="8"/>
      <c r="G42" s="8"/>
      <c r="H42" s="8"/>
      <c r="I42" s="8"/>
      <c r="J42" s="8"/>
      <c r="K42" s="9"/>
      <c r="L42" s="8"/>
      <c r="M42" s="8"/>
    </row>
    <row r="43" customFormat="false" ht="15" hidden="false" customHeight="false" outlineLevel="0" collapsed="false">
      <c r="A43" s="4" t="s">
        <v>588</v>
      </c>
      <c r="B43" s="4"/>
      <c r="C43" s="4"/>
      <c r="D43" s="5" t="n">
        <v>0</v>
      </c>
      <c r="E43" s="4"/>
      <c r="F43" s="8"/>
      <c r="G43" s="8"/>
      <c r="H43" s="8"/>
      <c r="I43" s="8"/>
      <c r="J43" s="8"/>
      <c r="K43" s="9"/>
      <c r="L43" s="8"/>
      <c r="M43" s="8"/>
    </row>
    <row r="44" customFormat="false" ht="15" hidden="false" customHeight="false" outlineLevel="0" collapsed="false">
      <c r="A44" s="4" t="s">
        <v>589</v>
      </c>
      <c r="B44" s="4"/>
      <c r="C44" s="4"/>
      <c r="D44" s="5" t="n">
        <v>0</v>
      </c>
      <c r="E44" s="4"/>
      <c r="F44" s="8"/>
      <c r="G44" s="8"/>
      <c r="H44" s="8"/>
      <c r="I44" s="8"/>
      <c r="J44" s="8"/>
      <c r="K44" s="9"/>
      <c r="L44" s="8"/>
      <c r="M44" s="8"/>
    </row>
    <row r="45" customFormat="false" ht="15" hidden="false" customHeight="false" outlineLevel="0" collapsed="false">
      <c r="A45" s="4" t="s">
        <v>590</v>
      </c>
      <c r="B45" s="4"/>
      <c r="C45" s="4"/>
      <c r="D45" s="5" t="n">
        <v>0</v>
      </c>
      <c r="E45" s="4"/>
      <c r="F45" s="8"/>
      <c r="G45" s="8"/>
      <c r="H45" s="8"/>
      <c r="I45" s="8"/>
      <c r="J45" s="8"/>
      <c r="K45" s="9"/>
      <c r="L45" s="8"/>
      <c r="M45" s="8"/>
    </row>
    <row r="46" customFormat="false" ht="15" hidden="false" customHeight="false" outlineLevel="0" collapsed="false">
      <c r="A46" s="4" t="s">
        <v>591</v>
      </c>
      <c r="B46" s="4"/>
      <c r="C46" s="4"/>
      <c r="D46" s="4" t="n">
        <v>0</v>
      </c>
      <c r="E46" s="4"/>
      <c r="F46" s="4"/>
      <c r="G46" s="4"/>
      <c r="H46" s="4"/>
      <c r="I46" s="4"/>
      <c r="J46" s="4"/>
      <c r="K46" s="4"/>
      <c r="L46" s="4"/>
      <c r="M46" s="4"/>
    </row>
  </sheetData>
  <mergeCells count="2">
    <mergeCell ref="A1:M1"/>
    <mergeCell ref="A2:M2"/>
  </mergeCells>
  <dataValidations count="1">
    <dataValidation allowBlank="false" errorStyle="stop" operator="between" showDropDown="false" showErrorMessage="false" showInputMessage="false" sqref="L6:L45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42"/>
  </cols>
  <sheetData>
    <row r="1" customFormat="false" ht="30" hidden="false" customHeight="true" outlineLevel="0" collapsed="false">
      <c r="A1" s="1" t="s">
        <v>592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593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594</v>
      </c>
      <c r="B5" s="3" t="s">
        <v>34</v>
      </c>
      <c r="C5" s="3" t="s">
        <v>143</v>
      </c>
      <c r="D5" s="3" t="s">
        <v>595</v>
      </c>
      <c r="E5" s="3" t="s">
        <v>151</v>
      </c>
      <c r="F5" s="3" t="s">
        <v>596</v>
      </c>
      <c r="G5" s="3" t="s">
        <v>597</v>
      </c>
      <c r="H5" s="3" t="s">
        <v>598</v>
      </c>
      <c r="I5" s="3" t="s">
        <v>311</v>
      </c>
      <c r="J5" s="3" t="s">
        <v>41</v>
      </c>
      <c r="K5" s="3" t="s">
        <v>599</v>
      </c>
    </row>
    <row r="6" customFormat="false" ht="15" hidden="false" customHeight="false" outlineLevel="0" collapsed="false">
      <c r="A6" s="4" t="s">
        <v>600</v>
      </c>
      <c r="B6" s="4" t="s">
        <v>74</v>
      </c>
      <c r="C6" s="4" t="s">
        <v>75</v>
      </c>
      <c r="D6" s="4" t="s">
        <v>183</v>
      </c>
      <c r="E6" s="5" t="n">
        <v>678000</v>
      </c>
      <c r="F6" s="10" t="n">
        <v>46235</v>
      </c>
      <c r="G6" s="10" t="n">
        <v>46235</v>
      </c>
      <c r="H6" s="8" t="s">
        <v>601</v>
      </c>
      <c r="I6" s="8" t="s">
        <v>78</v>
      </c>
      <c r="J6" s="8" t="s">
        <v>52</v>
      </c>
      <c r="K6" s="8"/>
    </row>
    <row r="7" customFormat="false" ht="15" hidden="false" customHeight="false" outlineLevel="0" collapsed="false">
      <c r="A7" s="4" t="s">
        <v>602</v>
      </c>
      <c r="B7" s="4" t="s">
        <v>99</v>
      </c>
      <c r="C7" s="4" t="s">
        <v>100</v>
      </c>
      <c r="D7" s="4" t="s">
        <v>199</v>
      </c>
      <c r="E7" s="5" t="n">
        <v>1130000</v>
      </c>
      <c r="F7" s="10" t="n">
        <v>46143</v>
      </c>
      <c r="G7" s="10" t="n">
        <v>46246</v>
      </c>
      <c r="H7" s="8" t="s">
        <v>603</v>
      </c>
      <c r="I7" s="8" t="s">
        <v>103</v>
      </c>
      <c r="J7" s="8" t="s">
        <v>52</v>
      </c>
      <c r="K7" s="8"/>
    </row>
    <row r="8" customFormat="false" ht="15" hidden="false" customHeight="false" outlineLevel="0" collapsed="false">
      <c r="A8" s="4" t="s">
        <v>604</v>
      </c>
      <c r="B8" s="4" t="s">
        <v>125</v>
      </c>
      <c r="C8" s="4" t="s">
        <v>126</v>
      </c>
      <c r="D8" s="4" t="s">
        <v>605</v>
      </c>
      <c r="E8" s="5" t="n">
        <v>300000</v>
      </c>
      <c r="F8" s="10" t="n">
        <v>46174</v>
      </c>
      <c r="G8" s="10" t="n">
        <v>46218</v>
      </c>
      <c r="H8" s="8" t="s">
        <v>606</v>
      </c>
      <c r="I8" s="8" t="s">
        <v>70</v>
      </c>
      <c r="J8" s="8" t="s">
        <v>173</v>
      </c>
      <c r="K8" s="8" t="s">
        <v>607</v>
      </c>
    </row>
    <row r="9" customFormat="false" ht="15" hidden="false" customHeight="false" outlineLevel="0" collapsed="false">
      <c r="A9" s="4" t="s">
        <v>608</v>
      </c>
      <c r="B9" s="4"/>
      <c r="C9" s="4"/>
      <c r="D9" s="4"/>
      <c r="E9" s="5" t="n">
        <v>0</v>
      </c>
      <c r="F9" s="10"/>
      <c r="G9" s="10"/>
      <c r="H9" s="8"/>
      <c r="I9" s="8"/>
      <c r="J9" s="8"/>
      <c r="K9" s="8"/>
    </row>
    <row r="10" customFormat="false" ht="15" hidden="false" customHeight="false" outlineLevel="0" collapsed="false">
      <c r="A10" s="4" t="s">
        <v>609</v>
      </c>
      <c r="B10" s="4"/>
      <c r="C10" s="4"/>
      <c r="D10" s="4"/>
      <c r="E10" s="5" t="n">
        <v>0</v>
      </c>
      <c r="F10" s="10"/>
      <c r="G10" s="10"/>
      <c r="H10" s="8"/>
      <c r="I10" s="8"/>
      <c r="J10" s="8"/>
      <c r="K10" s="8"/>
    </row>
    <row r="11" customFormat="false" ht="15" hidden="false" customHeight="false" outlineLevel="0" collapsed="false">
      <c r="A11" s="4" t="s">
        <v>610</v>
      </c>
      <c r="B11" s="4"/>
      <c r="C11" s="4"/>
      <c r="D11" s="4"/>
      <c r="E11" s="5" t="n">
        <v>0</v>
      </c>
      <c r="F11" s="10"/>
      <c r="G11" s="10"/>
      <c r="H11" s="8"/>
      <c r="I11" s="8"/>
      <c r="J11" s="8"/>
      <c r="K11" s="8"/>
    </row>
    <row r="12" customFormat="false" ht="15" hidden="false" customHeight="false" outlineLevel="0" collapsed="false">
      <c r="A12" s="4" t="s">
        <v>611</v>
      </c>
      <c r="B12" s="4"/>
      <c r="C12" s="4"/>
      <c r="D12" s="4"/>
      <c r="E12" s="5" t="n">
        <v>0</v>
      </c>
      <c r="F12" s="10"/>
      <c r="G12" s="10"/>
      <c r="H12" s="8"/>
      <c r="I12" s="8"/>
      <c r="J12" s="8"/>
      <c r="K12" s="8"/>
    </row>
    <row r="13" customFormat="false" ht="15" hidden="false" customHeight="false" outlineLevel="0" collapsed="false">
      <c r="A13" s="4" t="s">
        <v>612</v>
      </c>
      <c r="B13" s="4"/>
      <c r="C13" s="4"/>
      <c r="D13" s="4"/>
      <c r="E13" s="5" t="n">
        <v>0</v>
      </c>
      <c r="F13" s="10"/>
      <c r="G13" s="10"/>
      <c r="H13" s="8"/>
      <c r="I13" s="8"/>
      <c r="J13" s="8"/>
      <c r="K13" s="8"/>
    </row>
    <row r="14" customFormat="false" ht="15" hidden="false" customHeight="false" outlineLevel="0" collapsed="false">
      <c r="A14" s="4" t="s">
        <v>613</v>
      </c>
      <c r="B14" s="4"/>
      <c r="C14" s="4"/>
      <c r="D14" s="4"/>
      <c r="E14" s="5" t="n">
        <v>0</v>
      </c>
      <c r="F14" s="10"/>
      <c r="G14" s="10"/>
      <c r="H14" s="8"/>
      <c r="I14" s="8"/>
      <c r="J14" s="8"/>
      <c r="K14" s="8"/>
    </row>
    <row r="15" customFormat="false" ht="15" hidden="false" customHeight="false" outlineLevel="0" collapsed="false">
      <c r="A15" s="4" t="s">
        <v>614</v>
      </c>
      <c r="B15" s="4"/>
      <c r="C15" s="4"/>
      <c r="D15" s="4"/>
      <c r="E15" s="5" t="n">
        <v>0</v>
      </c>
      <c r="F15" s="10"/>
      <c r="G15" s="10"/>
      <c r="H15" s="8"/>
      <c r="I15" s="8"/>
      <c r="J15" s="8"/>
      <c r="K15" s="8"/>
    </row>
    <row r="16" customFormat="false" ht="15" hidden="false" customHeight="false" outlineLevel="0" collapsed="false">
      <c r="A16" s="4" t="s">
        <v>615</v>
      </c>
      <c r="B16" s="4"/>
      <c r="C16" s="4"/>
      <c r="D16" s="4"/>
      <c r="E16" s="5" t="n">
        <v>0</v>
      </c>
      <c r="F16" s="10"/>
      <c r="G16" s="10"/>
      <c r="H16" s="8"/>
      <c r="I16" s="8"/>
      <c r="J16" s="8"/>
      <c r="K16" s="8"/>
    </row>
    <row r="17" customFormat="false" ht="15" hidden="false" customHeight="false" outlineLevel="0" collapsed="false">
      <c r="A17" s="4" t="s">
        <v>616</v>
      </c>
      <c r="B17" s="4"/>
      <c r="C17" s="4"/>
      <c r="D17" s="4"/>
      <c r="E17" s="5" t="n">
        <v>0</v>
      </c>
      <c r="F17" s="10"/>
      <c r="G17" s="10"/>
      <c r="H17" s="8"/>
      <c r="I17" s="8"/>
      <c r="J17" s="8"/>
      <c r="K17" s="8"/>
    </row>
    <row r="18" customFormat="false" ht="15" hidden="false" customHeight="false" outlineLevel="0" collapsed="false">
      <c r="A18" s="4" t="s">
        <v>617</v>
      </c>
      <c r="B18" s="4"/>
      <c r="C18" s="4"/>
      <c r="D18" s="4"/>
      <c r="E18" s="5" t="n">
        <v>0</v>
      </c>
      <c r="F18" s="10"/>
      <c r="G18" s="10"/>
      <c r="H18" s="8"/>
      <c r="I18" s="8"/>
      <c r="J18" s="8"/>
      <c r="K18" s="8"/>
    </row>
    <row r="19" customFormat="false" ht="15" hidden="false" customHeight="false" outlineLevel="0" collapsed="false">
      <c r="A19" s="4" t="s">
        <v>618</v>
      </c>
      <c r="B19" s="4"/>
      <c r="C19" s="4"/>
      <c r="D19" s="4"/>
      <c r="E19" s="5" t="n">
        <v>0</v>
      </c>
      <c r="F19" s="10"/>
      <c r="G19" s="10"/>
      <c r="H19" s="8"/>
      <c r="I19" s="8"/>
      <c r="J19" s="8"/>
      <c r="K19" s="8"/>
    </row>
    <row r="20" customFormat="false" ht="15" hidden="false" customHeight="false" outlineLevel="0" collapsed="false">
      <c r="A20" s="4" t="s">
        <v>619</v>
      </c>
      <c r="B20" s="4"/>
      <c r="C20" s="4"/>
      <c r="D20" s="4"/>
      <c r="E20" s="5" t="n">
        <v>0</v>
      </c>
      <c r="F20" s="10"/>
      <c r="G20" s="10"/>
      <c r="H20" s="8"/>
      <c r="I20" s="8"/>
      <c r="J20" s="8"/>
      <c r="K20" s="8"/>
    </row>
    <row r="21" customFormat="false" ht="15" hidden="false" customHeight="false" outlineLevel="0" collapsed="false">
      <c r="A21" s="4" t="s">
        <v>620</v>
      </c>
      <c r="B21" s="4"/>
      <c r="C21" s="4"/>
      <c r="D21" s="4"/>
      <c r="E21" s="5" t="n">
        <v>0</v>
      </c>
      <c r="F21" s="10"/>
      <c r="G21" s="10"/>
      <c r="H21" s="8"/>
      <c r="I21" s="8"/>
      <c r="J21" s="8"/>
      <c r="K21" s="8"/>
    </row>
    <row r="22" customFormat="false" ht="15" hidden="false" customHeight="false" outlineLevel="0" collapsed="false">
      <c r="A22" s="4" t="s">
        <v>621</v>
      </c>
      <c r="B22" s="4"/>
      <c r="C22" s="4"/>
      <c r="D22" s="4"/>
      <c r="E22" s="5" t="n">
        <v>0</v>
      </c>
      <c r="F22" s="10"/>
      <c r="G22" s="10"/>
      <c r="H22" s="8"/>
      <c r="I22" s="8"/>
      <c r="J22" s="8"/>
      <c r="K22" s="8"/>
    </row>
    <row r="23" customFormat="false" ht="15" hidden="false" customHeight="false" outlineLevel="0" collapsed="false">
      <c r="A23" s="4" t="s">
        <v>622</v>
      </c>
      <c r="B23" s="4"/>
      <c r="C23" s="4"/>
      <c r="D23" s="4"/>
      <c r="E23" s="5" t="n">
        <v>0</v>
      </c>
      <c r="F23" s="10"/>
      <c r="G23" s="10"/>
      <c r="H23" s="8"/>
      <c r="I23" s="8"/>
      <c r="J23" s="8"/>
      <c r="K23" s="8"/>
    </row>
    <row r="24" customFormat="false" ht="15" hidden="false" customHeight="false" outlineLevel="0" collapsed="false">
      <c r="A24" s="4" t="s">
        <v>623</v>
      </c>
      <c r="B24" s="4"/>
      <c r="C24" s="4"/>
      <c r="D24" s="4"/>
      <c r="E24" s="5" t="n">
        <v>0</v>
      </c>
      <c r="F24" s="10"/>
      <c r="G24" s="10"/>
      <c r="H24" s="8"/>
      <c r="I24" s="8"/>
      <c r="J24" s="8"/>
      <c r="K24" s="8"/>
    </row>
    <row r="25" customFormat="false" ht="15" hidden="false" customHeight="false" outlineLevel="0" collapsed="false">
      <c r="A25" s="4" t="s">
        <v>624</v>
      </c>
      <c r="B25" s="4"/>
      <c r="C25" s="4"/>
      <c r="D25" s="4"/>
      <c r="E25" s="5" t="n">
        <v>0</v>
      </c>
      <c r="F25" s="10"/>
      <c r="G25" s="10"/>
      <c r="H25" s="8"/>
      <c r="I25" s="8"/>
      <c r="J25" s="8"/>
      <c r="K25" s="8"/>
    </row>
    <row r="26" customFormat="false" ht="15" hidden="false" customHeight="false" outlineLevel="0" collapsed="false">
      <c r="A26" s="4" t="s">
        <v>625</v>
      </c>
      <c r="B26" s="4"/>
      <c r="C26" s="4"/>
      <c r="D26" s="4"/>
      <c r="E26" s="5" t="n">
        <v>0</v>
      </c>
      <c r="F26" s="10"/>
      <c r="G26" s="10"/>
      <c r="H26" s="8"/>
      <c r="I26" s="8"/>
      <c r="J26" s="8"/>
      <c r="K26" s="8"/>
    </row>
    <row r="27" customFormat="false" ht="15" hidden="false" customHeight="false" outlineLevel="0" collapsed="false">
      <c r="A27" s="4" t="s">
        <v>626</v>
      </c>
      <c r="B27" s="4"/>
      <c r="C27" s="4"/>
      <c r="D27" s="4"/>
      <c r="E27" s="5" t="n">
        <v>0</v>
      </c>
      <c r="F27" s="10"/>
      <c r="G27" s="10"/>
      <c r="H27" s="8"/>
      <c r="I27" s="8"/>
      <c r="J27" s="8"/>
      <c r="K27" s="8"/>
    </row>
    <row r="28" customFormat="false" ht="15" hidden="false" customHeight="false" outlineLevel="0" collapsed="false">
      <c r="A28" s="4" t="s">
        <v>627</v>
      </c>
      <c r="B28" s="4"/>
      <c r="C28" s="4"/>
      <c r="D28" s="4"/>
      <c r="E28" s="5" t="n">
        <v>0</v>
      </c>
      <c r="F28" s="10"/>
      <c r="G28" s="10"/>
      <c r="H28" s="8"/>
      <c r="I28" s="8"/>
      <c r="J28" s="8"/>
      <c r="K28" s="8"/>
    </row>
    <row r="29" customFormat="false" ht="15" hidden="false" customHeight="false" outlineLevel="0" collapsed="false">
      <c r="A29" s="4" t="s">
        <v>628</v>
      </c>
      <c r="B29" s="4"/>
      <c r="C29" s="4"/>
      <c r="D29" s="4"/>
      <c r="E29" s="5" t="n">
        <v>0</v>
      </c>
      <c r="F29" s="10"/>
      <c r="G29" s="10"/>
      <c r="H29" s="8"/>
      <c r="I29" s="8"/>
      <c r="J29" s="8"/>
      <c r="K29" s="8"/>
    </row>
    <row r="30" customFormat="false" ht="15" hidden="false" customHeight="false" outlineLevel="0" collapsed="false">
      <c r="A30" s="4" t="s">
        <v>629</v>
      </c>
      <c r="B30" s="4"/>
      <c r="C30" s="4"/>
      <c r="D30" s="4"/>
      <c r="E30" s="5" t="n">
        <v>0</v>
      </c>
      <c r="F30" s="10"/>
      <c r="G30" s="10"/>
      <c r="H30" s="8"/>
      <c r="I30" s="8"/>
      <c r="J30" s="8"/>
      <c r="K30" s="8"/>
    </row>
    <row r="31" customFormat="false" ht="15" hidden="false" customHeight="false" outlineLevel="0" collapsed="false">
      <c r="A31" s="4" t="s">
        <v>630</v>
      </c>
      <c r="B31" s="4"/>
      <c r="C31" s="4"/>
      <c r="D31" s="4"/>
      <c r="E31" s="5" t="n">
        <v>0</v>
      </c>
      <c r="F31" s="10"/>
      <c r="G31" s="10"/>
      <c r="H31" s="8"/>
      <c r="I31" s="8"/>
      <c r="J31" s="8"/>
      <c r="K31" s="8"/>
    </row>
    <row r="32" customFormat="false" ht="15" hidden="false" customHeight="false" outlineLevel="0" collapsed="false">
      <c r="A32" s="4" t="s">
        <v>631</v>
      </c>
      <c r="B32" s="4"/>
      <c r="C32" s="4"/>
      <c r="D32" s="4"/>
      <c r="E32" s="5" t="n">
        <v>0</v>
      </c>
      <c r="F32" s="10"/>
      <c r="G32" s="10"/>
      <c r="H32" s="8"/>
      <c r="I32" s="8"/>
      <c r="J32" s="8"/>
      <c r="K32" s="8"/>
    </row>
    <row r="33" customFormat="false" ht="15" hidden="false" customHeight="false" outlineLevel="0" collapsed="false">
      <c r="A33" s="4" t="s">
        <v>632</v>
      </c>
      <c r="B33" s="4"/>
      <c r="C33" s="4"/>
      <c r="D33" s="4"/>
      <c r="E33" s="5" t="n">
        <v>0</v>
      </c>
      <c r="F33" s="10"/>
      <c r="G33" s="10"/>
      <c r="H33" s="8"/>
      <c r="I33" s="8"/>
      <c r="J33" s="8"/>
      <c r="K33" s="8"/>
    </row>
    <row r="34" customFormat="false" ht="15" hidden="false" customHeight="false" outlineLevel="0" collapsed="false">
      <c r="A34" s="4" t="s">
        <v>633</v>
      </c>
      <c r="B34" s="4"/>
      <c r="C34" s="4"/>
      <c r="D34" s="4"/>
      <c r="E34" s="5" t="n">
        <v>0</v>
      </c>
      <c r="F34" s="10"/>
      <c r="G34" s="10"/>
      <c r="H34" s="8"/>
      <c r="I34" s="8"/>
      <c r="J34" s="8"/>
      <c r="K34" s="8"/>
    </row>
    <row r="35" customFormat="false" ht="15" hidden="false" customHeight="false" outlineLevel="0" collapsed="false">
      <c r="A35" s="4" t="s">
        <v>634</v>
      </c>
      <c r="B35" s="4"/>
      <c r="C35" s="4"/>
      <c r="D35" s="4"/>
      <c r="E35" s="5" t="n">
        <v>0</v>
      </c>
      <c r="F35" s="10"/>
      <c r="G35" s="10"/>
      <c r="H35" s="8"/>
      <c r="I35" s="8"/>
      <c r="J35" s="8"/>
      <c r="K35" s="8"/>
    </row>
    <row r="36" customFormat="false" ht="15" hidden="false" customHeight="false" outlineLevel="0" collapsed="false">
      <c r="A36" s="4" t="s">
        <v>635</v>
      </c>
      <c r="B36" s="4"/>
      <c r="C36" s="4"/>
      <c r="D36" s="4"/>
      <c r="E36" s="5" t="n">
        <v>0</v>
      </c>
      <c r="F36" s="10"/>
      <c r="G36" s="10"/>
      <c r="H36" s="8"/>
      <c r="I36" s="8"/>
      <c r="J36" s="8"/>
      <c r="K36" s="8"/>
    </row>
    <row r="37" customFormat="false" ht="15" hidden="false" customHeight="false" outlineLevel="0" collapsed="false">
      <c r="A37" s="4" t="s">
        <v>636</v>
      </c>
      <c r="B37" s="4"/>
      <c r="C37" s="4"/>
      <c r="D37" s="4"/>
      <c r="E37" s="5" t="n">
        <v>0</v>
      </c>
      <c r="F37" s="10"/>
      <c r="G37" s="10"/>
      <c r="H37" s="8"/>
      <c r="I37" s="8"/>
      <c r="J37" s="8"/>
      <c r="K37" s="8"/>
    </row>
    <row r="38" customFormat="false" ht="15" hidden="false" customHeight="false" outlineLevel="0" collapsed="false">
      <c r="A38" s="4" t="s">
        <v>637</v>
      </c>
      <c r="B38" s="4"/>
      <c r="C38" s="4"/>
      <c r="D38" s="4"/>
      <c r="E38" s="5" t="n">
        <v>0</v>
      </c>
      <c r="F38" s="10"/>
      <c r="G38" s="10"/>
      <c r="H38" s="8"/>
      <c r="I38" s="8"/>
      <c r="J38" s="8"/>
      <c r="K38" s="8"/>
    </row>
    <row r="39" customFormat="false" ht="15" hidden="false" customHeight="false" outlineLevel="0" collapsed="false">
      <c r="A39" s="4" t="s">
        <v>638</v>
      </c>
      <c r="B39" s="4"/>
      <c r="C39" s="4"/>
      <c r="D39" s="4"/>
      <c r="E39" s="5" t="n">
        <v>0</v>
      </c>
      <c r="F39" s="10"/>
      <c r="G39" s="10"/>
      <c r="H39" s="8"/>
      <c r="I39" s="8"/>
      <c r="J39" s="8"/>
      <c r="K39" s="8"/>
    </row>
    <row r="40" customFormat="false" ht="15" hidden="false" customHeight="false" outlineLevel="0" collapsed="false">
      <c r="A40" s="4" t="s">
        <v>639</v>
      </c>
      <c r="B40" s="4"/>
      <c r="C40" s="4"/>
      <c r="D40" s="4"/>
      <c r="E40" s="5" t="n">
        <v>0</v>
      </c>
      <c r="F40" s="10"/>
      <c r="G40" s="10"/>
      <c r="H40" s="8"/>
      <c r="I40" s="8"/>
      <c r="J40" s="8"/>
      <c r="K40" s="8"/>
    </row>
    <row r="41" customFormat="false" ht="15" hidden="false" customHeight="false" outlineLevel="0" collapsed="false">
      <c r="A41" s="4" t="s">
        <v>640</v>
      </c>
      <c r="B41" s="4"/>
      <c r="C41" s="4"/>
      <c r="D41" s="4"/>
      <c r="E41" s="5" t="n">
        <v>0</v>
      </c>
      <c r="F41" s="10"/>
      <c r="G41" s="10"/>
      <c r="H41" s="8"/>
      <c r="I41" s="8"/>
      <c r="J41" s="8"/>
      <c r="K41" s="8"/>
    </row>
    <row r="42" customFormat="false" ht="15" hidden="false" customHeight="false" outlineLevel="0" collapsed="false">
      <c r="A42" s="4" t="s">
        <v>641</v>
      </c>
      <c r="B42" s="4"/>
      <c r="C42" s="4"/>
      <c r="D42" s="4"/>
      <c r="E42" s="5" t="n">
        <v>0</v>
      </c>
      <c r="F42" s="10"/>
      <c r="G42" s="10"/>
      <c r="H42" s="8"/>
      <c r="I42" s="8"/>
      <c r="J42" s="8"/>
      <c r="K42" s="8"/>
    </row>
    <row r="43" customFormat="false" ht="15" hidden="false" customHeight="false" outlineLevel="0" collapsed="false">
      <c r="A43" s="4" t="s">
        <v>642</v>
      </c>
      <c r="B43" s="4"/>
      <c r="C43" s="4"/>
      <c r="D43" s="4"/>
      <c r="E43" s="5" t="n">
        <v>0</v>
      </c>
      <c r="F43" s="10"/>
      <c r="G43" s="10"/>
      <c r="H43" s="8"/>
      <c r="I43" s="8"/>
      <c r="J43" s="8"/>
      <c r="K43" s="8"/>
    </row>
    <row r="44" customFormat="false" ht="15" hidden="false" customHeight="false" outlineLevel="0" collapsed="false">
      <c r="A44" s="4" t="s">
        <v>643</v>
      </c>
      <c r="B44" s="4"/>
      <c r="C44" s="4"/>
      <c r="D44" s="4"/>
      <c r="E44" s="5" t="n">
        <v>0</v>
      </c>
      <c r="F44" s="10"/>
      <c r="G44" s="10"/>
      <c r="H44" s="8"/>
      <c r="I44" s="8"/>
      <c r="J44" s="8"/>
      <c r="K44" s="8"/>
    </row>
    <row r="45" customFormat="false" ht="15" hidden="false" customHeight="false" outlineLevel="0" collapsed="false">
      <c r="A45" s="4" t="s">
        <v>644</v>
      </c>
      <c r="B45" s="4"/>
      <c r="C45" s="4"/>
      <c r="D45" s="4"/>
      <c r="E45" s="5" t="n">
        <v>0</v>
      </c>
      <c r="F45" s="10"/>
      <c r="G45" s="10"/>
      <c r="H45" s="8"/>
      <c r="I45" s="8"/>
      <c r="J45" s="8"/>
      <c r="K45" s="8"/>
    </row>
  </sheetData>
  <mergeCells count="2">
    <mergeCell ref="A1:K1"/>
    <mergeCell ref="A2:K2"/>
  </mergeCells>
  <dataValidations count="1">
    <dataValidation allowBlank="false" errorStyle="stop" operator="between" showDropDown="false" showErrorMessage="false" showInputMessage="false" sqref="J6:J45" type="list">
      <formula1>"正常,关注,逾期,已结算,退款中"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45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645</v>
      </c>
      <c r="B1" s="1"/>
      <c r="C1" s="1"/>
      <c r="D1" s="1"/>
      <c r="E1" s="1"/>
    </row>
    <row r="2" customFormat="false" ht="28" hidden="false" customHeight="true" outlineLevel="0" collapsed="false">
      <c r="A2" s="2" t="s">
        <v>646</v>
      </c>
      <c r="B2" s="2"/>
      <c r="C2" s="2"/>
      <c r="D2" s="2"/>
      <c r="E2" s="2"/>
    </row>
    <row r="5" customFormat="false" ht="34" hidden="false" customHeight="true" outlineLevel="0" collapsed="false">
      <c r="A5" s="3" t="s">
        <v>2</v>
      </c>
      <c r="B5" s="3" t="s">
        <v>647</v>
      </c>
      <c r="C5" s="3" t="s">
        <v>648</v>
      </c>
      <c r="D5" s="3" t="s">
        <v>649</v>
      </c>
      <c r="E5" s="3" t="s">
        <v>650</v>
      </c>
    </row>
    <row r="6" customFormat="false" ht="21.8" hidden="false" customHeight="false" outlineLevel="0" collapsed="false">
      <c r="A6" s="4" t="s">
        <v>651</v>
      </c>
      <c r="B6" s="4" t="s">
        <v>652</v>
      </c>
      <c r="C6" s="4" t="s">
        <v>653</v>
      </c>
      <c r="D6" s="4" t="s">
        <v>654</v>
      </c>
      <c r="E6" s="4" t="s">
        <v>655</v>
      </c>
    </row>
    <row r="7" customFormat="false" ht="15" hidden="false" customHeight="false" outlineLevel="0" collapsed="false">
      <c r="A7" s="4" t="s">
        <v>656</v>
      </c>
      <c r="B7" s="4" t="s">
        <v>657</v>
      </c>
      <c r="C7" s="4" t="s">
        <v>658</v>
      </c>
      <c r="D7" s="4" t="s">
        <v>659</v>
      </c>
      <c r="E7" s="4" t="s">
        <v>660</v>
      </c>
    </row>
    <row r="8" customFormat="false" ht="15" hidden="false" customHeight="false" outlineLevel="0" collapsed="false">
      <c r="A8" s="4" t="s">
        <v>661</v>
      </c>
      <c r="B8" s="4" t="s">
        <v>662</v>
      </c>
      <c r="C8" s="4" t="s">
        <v>663</v>
      </c>
      <c r="D8" s="4" t="s">
        <v>664</v>
      </c>
      <c r="E8" s="4" t="s">
        <v>665</v>
      </c>
    </row>
    <row r="9" customFormat="false" ht="15" hidden="false" customHeight="false" outlineLevel="0" collapsed="false">
      <c r="A9" s="4" t="s">
        <v>666</v>
      </c>
      <c r="B9" s="4" t="s">
        <v>667</v>
      </c>
      <c r="C9" s="4" t="s">
        <v>668</v>
      </c>
      <c r="D9" s="4" t="s">
        <v>669</v>
      </c>
      <c r="E9" s="4" t="s">
        <v>670</v>
      </c>
    </row>
    <row r="10" customFormat="false" ht="15" hidden="false" customHeight="false" outlineLevel="0" collapsed="false">
      <c r="A10" s="4" t="s">
        <v>671</v>
      </c>
      <c r="B10" s="4" t="s">
        <v>672</v>
      </c>
      <c r="C10" s="4" t="s">
        <v>673</v>
      </c>
      <c r="D10" s="4" t="s">
        <v>674</v>
      </c>
      <c r="E10" s="4" t="s">
        <v>675</v>
      </c>
    </row>
    <row r="11" customFormat="false" ht="15" hidden="false" customHeight="false" outlineLevel="0" collapsed="false">
      <c r="A11" s="4" t="s">
        <v>676</v>
      </c>
      <c r="B11" s="4" t="s">
        <v>677</v>
      </c>
      <c r="C11" s="4" t="s">
        <v>678</v>
      </c>
      <c r="D11" s="4" t="s">
        <v>679</v>
      </c>
      <c r="E11" s="4" t="s">
        <v>680</v>
      </c>
    </row>
    <row r="12" customFormat="false" ht="15" hidden="false" customHeight="false" outlineLevel="0" collapsed="false">
      <c r="A12" s="4" t="s">
        <v>681</v>
      </c>
      <c r="B12" s="4" t="s">
        <v>682</v>
      </c>
      <c r="C12" s="4" t="s">
        <v>683</v>
      </c>
      <c r="D12" s="4" t="s">
        <v>684</v>
      </c>
      <c r="E12" s="4" t="s">
        <v>685</v>
      </c>
    </row>
    <row r="13" customFormat="false" ht="15" hidden="false" customHeight="false" outlineLevel="0" collapsed="false">
      <c r="A13" s="4" t="s">
        <v>686</v>
      </c>
      <c r="B13" s="4" t="s">
        <v>687</v>
      </c>
      <c r="C13" s="4" t="s">
        <v>688</v>
      </c>
      <c r="D13" s="4" t="s">
        <v>689</v>
      </c>
      <c r="E13" s="4" t="s">
        <v>690</v>
      </c>
    </row>
    <row r="14" customFormat="false" ht="15" hidden="false" customHeight="false" outlineLevel="0" collapsed="false">
      <c r="A14" s="4" t="s">
        <v>691</v>
      </c>
      <c r="B14" s="4" t="s">
        <v>692</v>
      </c>
      <c r="C14" s="4" t="s">
        <v>693</v>
      </c>
      <c r="D14" s="4" t="s">
        <v>694</v>
      </c>
      <c r="E14" s="4" t="s">
        <v>695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" t="s">
        <v>696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697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698</v>
      </c>
      <c r="B5" s="3" t="s">
        <v>699</v>
      </c>
      <c r="C5" s="3" t="s">
        <v>700</v>
      </c>
      <c r="D5" s="3" t="s">
        <v>701</v>
      </c>
      <c r="E5" s="3" t="s">
        <v>702</v>
      </c>
      <c r="F5" s="3" t="s">
        <v>703</v>
      </c>
      <c r="G5" s="3" t="s">
        <v>469</v>
      </c>
      <c r="H5" s="3" t="s">
        <v>704</v>
      </c>
    </row>
    <row r="6" customFormat="false" ht="15" hidden="false" customHeight="false" outlineLevel="0" collapsed="false">
      <c r="A6" s="4" t="s">
        <v>705</v>
      </c>
      <c r="B6" s="4" t="s">
        <v>706</v>
      </c>
      <c r="C6" s="4" t="s">
        <v>707</v>
      </c>
      <c r="D6" s="4" t="s">
        <v>708</v>
      </c>
      <c r="E6" s="4" t="s">
        <v>709</v>
      </c>
      <c r="F6" s="8" t="s">
        <v>263</v>
      </c>
      <c r="G6" s="8"/>
      <c r="H6" s="9"/>
    </row>
    <row r="7" customFormat="false" ht="15" hidden="false" customHeight="false" outlineLevel="0" collapsed="false">
      <c r="A7" s="4" t="s">
        <v>710</v>
      </c>
      <c r="B7" s="4" t="s">
        <v>711</v>
      </c>
      <c r="C7" s="4" t="s">
        <v>712</v>
      </c>
      <c r="D7" s="4" t="s">
        <v>713</v>
      </c>
      <c r="E7" s="4" t="s">
        <v>714</v>
      </c>
      <c r="F7" s="8" t="s">
        <v>263</v>
      </c>
      <c r="G7" s="8"/>
      <c r="H7" s="9"/>
    </row>
    <row r="8" customFormat="false" ht="15" hidden="false" customHeight="false" outlineLevel="0" collapsed="false">
      <c r="A8" s="4" t="s">
        <v>715</v>
      </c>
      <c r="B8" s="4" t="s">
        <v>716</v>
      </c>
      <c r="C8" s="4" t="s">
        <v>717</v>
      </c>
      <c r="D8" s="4" t="s">
        <v>718</v>
      </c>
      <c r="E8" s="4" t="s">
        <v>719</v>
      </c>
      <c r="F8" s="8" t="s">
        <v>263</v>
      </c>
      <c r="G8" s="8"/>
      <c r="H8" s="9"/>
    </row>
    <row r="9" customFormat="false" ht="15" hidden="false" customHeight="false" outlineLevel="0" collapsed="false">
      <c r="A9" s="4" t="s">
        <v>720</v>
      </c>
      <c r="B9" s="4" t="s">
        <v>721</v>
      </c>
      <c r="C9" s="4" t="s">
        <v>717</v>
      </c>
      <c r="D9" s="4" t="s">
        <v>722</v>
      </c>
      <c r="E9" s="4" t="s">
        <v>723</v>
      </c>
      <c r="F9" s="8" t="s">
        <v>263</v>
      </c>
      <c r="G9" s="8"/>
      <c r="H9" s="9"/>
    </row>
    <row r="10" customFormat="false" ht="15" hidden="false" customHeight="false" outlineLevel="0" collapsed="false">
      <c r="A10" s="4" t="s">
        <v>724</v>
      </c>
      <c r="B10" s="4" t="s">
        <v>725</v>
      </c>
      <c r="C10" s="4" t="s">
        <v>717</v>
      </c>
      <c r="D10" s="4" t="s">
        <v>726</v>
      </c>
      <c r="E10" s="4" t="s">
        <v>727</v>
      </c>
      <c r="F10" s="8" t="s">
        <v>263</v>
      </c>
      <c r="G10" s="8"/>
      <c r="H10" s="9"/>
    </row>
    <row r="11" customFormat="false" ht="15" hidden="false" customHeight="false" outlineLevel="0" collapsed="false">
      <c r="A11" s="4" t="s">
        <v>728</v>
      </c>
      <c r="B11" s="4" t="s">
        <v>729</v>
      </c>
      <c r="C11" s="4" t="s">
        <v>730</v>
      </c>
      <c r="D11" s="4" t="s">
        <v>731</v>
      </c>
      <c r="E11" s="4" t="s">
        <v>732</v>
      </c>
      <c r="F11" s="8" t="s">
        <v>263</v>
      </c>
      <c r="G11" s="8"/>
      <c r="H11" s="9"/>
    </row>
    <row r="12" customFormat="false" ht="15" hidden="false" customHeight="false" outlineLevel="0" collapsed="false">
      <c r="A12" s="4" t="s">
        <v>733</v>
      </c>
      <c r="B12" s="4" t="s">
        <v>734</v>
      </c>
      <c r="C12" s="4" t="s">
        <v>730</v>
      </c>
      <c r="D12" s="4" t="s">
        <v>735</v>
      </c>
      <c r="E12" s="4" t="s">
        <v>736</v>
      </c>
      <c r="F12" s="8" t="s">
        <v>263</v>
      </c>
      <c r="G12" s="8"/>
      <c r="H12" s="9"/>
    </row>
    <row r="13" customFormat="false" ht="15" hidden="false" customHeight="false" outlineLevel="0" collapsed="false">
      <c r="A13" s="4" t="s">
        <v>737</v>
      </c>
      <c r="B13" s="4" t="s">
        <v>716</v>
      </c>
      <c r="C13" s="4" t="s">
        <v>730</v>
      </c>
      <c r="D13" s="4" t="s">
        <v>738</v>
      </c>
      <c r="E13" s="4" t="s">
        <v>739</v>
      </c>
      <c r="F13" s="8" t="s">
        <v>263</v>
      </c>
      <c r="G13" s="8"/>
      <c r="H13" s="9"/>
    </row>
    <row r="14" customFormat="false" ht="15" hidden="false" customHeight="false" outlineLevel="0" collapsed="false">
      <c r="A14" s="4" t="s">
        <v>740</v>
      </c>
      <c r="B14" s="4" t="s">
        <v>716</v>
      </c>
      <c r="C14" s="4" t="s">
        <v>741</v>
      </c>
      <c r="D14" s="4" t="s">
        <v>742</v>
      </c>
      <c r="E14" s="4" t="s">
        <v>743</v>
      </c>
      <c r="F14" s="8" t="s">
        <v>263</v>
      </c>
      <c r="G14" s="8"/>
      <c r="H14" s="9"/>
    </row>
  </sheetData>
  <mergeCells count="2">
    <mergeCell ref="A1:H1"/>
    <mergeCell ref="A2:H2"/>
  </mergeCells>
  <conditionalFormatting sqref="F6:F14">
    <cfRule type="containsText" priority="2" operator="containsText" aboveAverage="0" equalAverage="0" bottom="0" percent="0" rank="0" text="已完成" dxfId="13">
      <formula>NOT(ISERROR(SEARCH("已完成",F6)))</formula>
    </cfRule>
    <cfRule type="containsText" priority="3" operator="containsText" aboveAverage="0" equalAverage="0" bottom="0" percent="0" rank="0" text="高" dxfId="14">
      <formula>NOT(ISERROR(SEARCH("高",F6)))</formula>
    </cfRule>
  </conditionalFormatting>
  <dataValidations count="1">
    <dataValidation allowBlank="false" errorStyle="stop" operator="between" showDropDown="false" showErrorMessage="false" showInputMessage="false" sqref="F6:F14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48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744</v>
      </c>
      <c r="B1" s="1"/>
      <c r="C1" s="1"/>
      <c r="D1" s="1"/>
      <c r="E1" s="1"/>
    </row>
    <row r="2" customFormat="false" ht="28" hidden="false" customHeight="true" outlineLevel="0" collapsed="false">
      <c r="A2" s="2" t="s">
        <v>745</v>
      </c>
      <c r="B2" s="2"/>
      <c r="C2" s="2"/>
      <c r="D2" s="2"/>
      <c r="E2" s="2"/>
    </row>
    <row r="5" customFormat="false" ht="34" hidden="false" customHeight="true" outlineLevel="0" collapsed="false">
      <c r="A5" s="3" t="s">
        <v>746</v>
      </c>
      <c r="B5" s="3" t="s">
        <v>544</v>
      </c>
      <c r="C5" s="3" t="s">
        <v>747</v>
      </c>
      <c r="D5" s="3" t="s">
        <v>748</v>
      </c>
      <c r="E5" s="3" t="s">
        <v>41</v>
      </c>
    </row>
    <row r="6" customFormat="false" ht="15" hidden="false" customHeight="false" outlineLevel="0" collapsed="false">
      <c r="A6" s="4" t="s">
        <v>749</v>
      </c>
      <c r="B6" s="4" t="s">
        <v>750</v>
      </c>
      <c r="C6" s="4" t="s">
        <v>751</v>
      </c>
      <c r="D6" s="8"/>
      <c r="E6" s="8" t="s">
        <v>263</v>
      </c>
    </row>
    <row r="7" customFormat="false" ht="15" hidden="false" customHeight="false" outlineLevel="0" collapsed="false">
      <c r="A7" s="4" t="s">
        <v>749</v>
      </c>
      <c r="B7" s="4" t="s">
        <v>752</v>
      </c>
      <c r="C7" s="4" t="s">
        <v>753</v>
      </c>
      <c r="D7" s="8"/>
      <c r="E7" s="8" t="s">
        <v>263</v>
      </c>
    </row>
    <row r="8" customFormat="false" ht="15" hidden="false" customHeight="false" outlineLevel="0" collapsed="false">
      <c r="A8" s="4" t="s">
        <v>749</v>
      </c>
      <c r="B8" s="4" t="s">
        <v>754</v>
      </c>
      <c r="C8" s="4" t="s">
        <v>755</v>
      </c>
      <c r="D8" s="8"/>
      <c r="E8" s="8" t="s">
        <v>263</v>
      </c>
    </row>
    <row r="9" customFormat="false" ht="15" hidden="false" customHeight="false" outlineLevel="0" collapsed="false">
      <c r="A9" s="4" t="s">
        <v>749</v>
      </c>
      <c r="B9" s="4" t="s">
        <v>756</v>
      </c>
      <c r="C9" s="4" t="s">
        <v>757</v>
      </c>
      <c r="D9" s="8"/>
      <c r="E9" s="8" t="s">
        <v>263</v>
      </c>
    </row>
    <row r="10" customFormat="false" ht="15" hidden="false" customHeight="false" outlineLevel="0" collapsed="false">
      <c r="A10" s="4" t="s">
        <v>758</v>
      </c>
      <c r="B10" s="4" t="s">
        <v>759</v>
      </c>
      <c r="C10" s="4" t="s">
        <v>760</v>
      </c>
      <c r="D10" s="8"/>
      <c r="E10" s="8" t="s">
        <v>263</v>
      </c>
    </row>
    <row r="11" customFormat="false" ht="15" hidden="false" customHeight="false" outlineLevel="0" collapsed="false">
      <c r="A11" s="4" t="s">
        <v>758</v>
      </c>
      <c r="B11" s="4" t="s">
        <v>761</v>
      </c>
      <c r="C11" s="4" t="s">
        <v>762</v>
      </c>
      <c r="D11" s="8"/>
      <c r="E11" s="8" t="s">
        <v>263</v>
      </c>
    </row>
    <row r="12" customFormat="false" ht="15" hidden="false" customHeight="false" outlineLevel="0" collapsed="false">
      <c r="A12" s="4" t="s">
        <v>758</v>
      </c>
      <c r="B12" s="4" t="s">
        <v>763</v>
      </c>
      <c r="C12" s="4" t="s">
        <v>764</v>
      </c>
      <c r="D12" s="8"/>
      <c r="E12" s="8" t="s">
        <v>263</v>
      </c>
    </row>
    <row r="13" customFormat="false" ht="15" hidden="false" customHeight="false" outlineLevel="0" collapsed="false">
      <c r="A13" s="4" t="s">
        <v>758</v>
      </c>
      <c r="B13" s="4" t="s">
        <v>765</v>
      </c>
      <c r="C13" s="4" t="s">
        <v>766</v>
      </c>
      <c r="D13" s="8"/>
      <c r="E13" s="8" t="s">
        <v>263</v>
      </c>
    </row>
  </sheetData>
  <mergeCells count="2">
    <mergeCell ref="A1:E1"/>
    <mergeCell ref="A2:E2"/>
  </mergeCells>
  <conditionalFormatting sqref="E6:E13">
    <cfRule type="containsText" priority="2" operator="containsText" aboveAverage="0" equalAverage="0" bottom="0" percent="0" rank="0" text="已完成" dxfId="15">
      <formula>NOT(ISERROR(SEARCH("已完成",E6)))</formula>
    </cfRule>
    <cfRule type="containsText" priority="3" operator="containsText" aboveAverage="0" equalAverage="0" bottom="0" percent="0" rank="0" text="高" dxfId="16">
      <formula>NOT(ISERROR(SEARCH("高",E6)))</formula>
    </cfRule>
  </conditionalFormatting>
  <dataValidations count="1">
    <dataValidation allowBlank="false" errorStyle="stop" operator="between" showDropDown="false" showErrorMessage="false" showInputMessage="false" sqref="E6:E13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54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767</v>
      </c>
      <c r="B1" s="1"/>
      <c r="C1" s="1"/>
      <c r="D1" s="1"/>
    </row>
    <row r="2" customFormat="false" ht="28" hidden="false" customHeight="true" outlineLevel="0" collapsed="false">
      <c r="A2" s="2" t="s">
        <v>768</v>
      </c>
      <c r="B2" s="2"/>
      <c r="C2" s="2"/>
      <c r="D2" s="2"/>
    </row>
    <row r="5" customFormat="false" ht="34" hidden="false" customHeight="true" outlineLevel="0" collapsed="false">
      <c r="A5" s="3" t="s">
        <v>769</v>
      </c>
      <c r="B5" s="3" t="s">
        <v>770</v>
      </c>
      <c r="C5" s="3" t="s">
        <v>771</v>
      </c>
      <c r="D5" s="3" t="s">
        <v>701</v>
      </c>
    </row>
    <row r="6" customFormat="false" ht="15" hidden="false" customHeight="false" outlineLevel="0" collapsed="false">
      <c r="A6" s="4" t="s">
        <v>772</v>
      </c>
      <c r="B6" s="4" t="s">
        <v>773</v>
      </c>
      <c r="C6" s="4" t="s">
        <v>774</v>
      </c>
      <c r="D6" s="4" t="s">
        <v>775</v>
      </c>
    </row>
    <row r="7" customFormat="false" ht="15" hidden="false" customHeight="false" outlineLevel="0" collapsed="false">
      <c r="A7" s="4" t="s">
        <v>776</v>
      </c>
      <c r="B7" s="4" t="s">
        <v>777</v>
      </c>
      <c r="C7" s="4" t="s">
        <v>778</v>
      </c>
      <c r="D7" s="4" t="s">
        <v>779</v>
      </c>
    </row>
    <row r="8" customFormat="false" ht="15" hidden="false" customHeight="false" outlineLevel="0" collapsed="false">
      <c r="A8" s="4" t="s">
        <v>780</v>
      </c>
      <c r="B8" s="4" t="s">
        <v>781</v>
      </c>
      <c r="C8" s="4" t="s">
        <v>782</v>
      </c>
      <c r="D8" s="4" t="s">
        <v>783</v>
      </c>
    </row>
    <row r="9" customFormat="false" ht="15" hidden="false" customHeight="false" outlineLevel="0" collapsed="false">
      <c r="A9" s="4" t="s">
        <v>784</v>
      </c>
      <c r="B9" s="4" t="s">
        <v>785</v>
      </c>
      <c r="C9" s="4" t="s">
        <v>786</v>
      </c>
      <c r="D9" s="4" t="s">
        <v>787</v>
      </c>
    </row>
    <row r="10" customFormat="false" ht="15" hidden="false" customHeight="false" outlineLevel="0" collapsed="false">
      <c r="A10" s="4" t="s">
        <v>788</v>
      </c>
      <c r="B10" s="4" t="s">
        <v>789</v>
      </c>
      <c r="C10" s="4" t="s">
        <v>790</v>
      </c>
      <c r="D10" s="4" t="s">
        <v>791</v>
      </c>
    </row>
    <row r="11" customFormat="false" ht="15" hidden="false" customHeight="false" outlineLevel="0" collapsed="false">
      <c r="A11" s="4" t="s">
        <v>792</v>
      </c>
      <c r="B11" s="4" t="s">
        <v>793</v>
      </c>
      <c r="C11" s="4" t="s">
        <v>794</v>
      </c>
      <c r="D11" s="4" t="s">
        <v>795</v>
      </c>
    </row>
    <row r="12" customFormat="false" ht="15" hidden="false" customHeight="false" outlineLevel="0" collapsed="false">
      <c r="A12" s="4" t="s">
        <v>796</v>
      </c>
      <c r="B12" s="4" t="s">
        <v>797</v>
      </c>
      <c r="C12" s="4" t="s">
        <v>798</v>
      </c>
      <c r="D12" s="4" t="s">
        <v>799</v>
      </c>
    </row>
    <row r="13" customFormat="false" ht="15" hidden="false" customHeight="false" outlineLevel="0" collapsed="false">
      <c r="A13" s="4" t="s">
        <v>800</v>
      </c>
      <c r="B13" s="4" t="s">
        <v>801</v>
      </c>
      <c r="C13" s="4" t="s">
        <v>802</v>
      </c>
      <c r="D13" s="4" t="s">
        <v>803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28"/>
    <col collapsed="false" customWidth="true" hidden="false" outlineLevel="0" max="12" min="12" style="0" width="34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30" hidden="false" customHeight="true" outlineLevel="0" collapsed="false">
      <c r="A1" s="1" t="s">
        <v>804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8" hidden="false" customHeight="true" outlineLevel="0" collapsed="false">
      <c r="A2" s="2" t="s">
        <v>805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customFormat="false" ht="34" hidden="false" customHeight="true" outlineLevel="0" collapsed="false">
      <c r="A5" s="3" t="s">
        <v>806</v>
      </c>
      <c r="B5" s="3" t="s">
        <v>143</v>
      </c>
      <c r="C5" s="3" t="s">
        <v>807</v>
      </c>
      <c r="D5" s="3" t="s">
        <v>808</v>
      </c>
      <c r="E5" s="3" t="s">
        <v>401</v>
      </c>
      <c r="F5" s="3" t="s">
        <v>809</v>
      </c>
      <c r="G5" s="3" t="s">
        <v>311</v>
      </c>
      <c r="H5" s="3" t="s">
        <v>548</v>
      </c>
      <c r="I5" s="3" t="s">
        <v>549</v>
      </c>
      <c r="J5" s="3" t="s">
        <v>471</v>
      </c>
      <c r="K5" s="3" t="s">
        <v>810</v>
      </c>
      <c r="L5" s="3" t="s">
        <v>811</v>
      </c>
      <c r="M5" s="3" t="s">
        <v>469</v>
      </c>
      <c r="N5" s="3" t="s">
        <v>41</v>
      </c>
      <c r="O5" s="3" t="s">
        <v>527</v>
      </c>
    </row>
    <row r="6" customFormat="false" ht="15" hidden="false" customHeight="false" outlineLevel="0" collapsed="false">
      <c r="A6" s="4" t="s">
        <v>812</v>
      </c>
      <c r="B6" s="8" t="s">
        <v>813</v>
      </c>
      <c r="C6" s="8" t="s">
        <v>814</v>
      </c>
      <c r="D6" s="8" t="s">
        <v>815</v>
      </c>
      <c r="E6" s="7" t="n">
        <v>226000</v>
      </c>
      <c r="F6" s="8" t="s">
        <v>816</v>
      </c>
      <c r="G6" s="8" t="s">
        <v>477</v>
      </c>
      <c r="H6" s="8" t="s">
        <v>817</v>
      </c>
      <c r="I6" s="9" t="n">
        <v>46277</v>
      </c>
      <c r="J6" s="8" t="s">
        <v>818</v>
      </c>
      <c r="K6" s="8" t="s">
        <v>819</v>
      </c>
      <c r="L6" s="8" t="s">
        <v>820</v>
      </c>
      <c r="M6" s="8" t="s">
        <v>821</v>
      </c>
      <c r="N6" s="8" t="s">
        <v>552</v>
      </c>
      <c r="O6" s="8"/>
    </row>
    <row r="7" customFormat="false" ht="15" hidden="false" customHeight="false" outlineLevel="0" collapsed="false">
      <c r="A7" s="4" t="s">
        <v>822</v>
      </c>
      <c r="B7" s="8" t="s">
        <v>823</v>
      </c>
      <c r="C7" s="8" t="s">
        <v>824</v>
      </c>
      <c r="D7" s="8" t="s">
        <v>825</v>
      </c>
      <c r="E7" s="7" t="n">
        <v>61000</v>
      </c>
      <c r="F7" s="8" t="s">
        <v>826</v>
      </c>
      <c r="G7" s="8" t="s">
        <v>706</v>
      </c>
      <c r="H7" s="8" t="s">
        <v>827</v>
      </c>
      <c r="I7" s="9" t="n">
        <v>46280</v>
      </c>
      <c r="J7" s="8" t="s">
        <v>828</v>
      </c>
      <c r="K7" s="8" t="s">
        <v>829</v>
      </c>
      <c r="L7" s="8" t="s">
        <v>830</v>
      </c>
      <c r="M7" s="8" t="s">
        <v>716</v>
      </c>
      <c r="N7" s="8" t="s">
        <v>552</v>
      </c>
      <c r="O7" s="8"/>
    </row>
    <row r="8" customFormat="false" ht="15" hidden="false" customHeight="false" outlineLevel="0" collapsed="false">
      <c r="A8" s="4" t="s">
        <v>831</v>
      </c>
      <c r="B8" s="8" t="s">
        <v>832</v>
      </c>
      <c r="C8" s="8" t="s">
        <v>833</v>
      </c>
      <c r="D8" s="8" t="s">
        <v>834</v>
      </c>
      <c r="E8" s="7" t="n">
        <v>113000</v>
      </c>
      <c r="F8" s="8" t="s">
        <v>835</v>
      </c>
      <c r="G8" s="8" t="s">
        <v>706</v>
      </c>
      <c r="H8" s="8" t="s">
        <v>836</v>
      </c>
      <c r="I8" s="9" t="n">
        <v>46285</v>
      </c>
      <c r="J8" s="8" t="s">
        <v>837</v>
      </c>
      <c r="K8" s="8" t="s">
        <v>838</v>
      </c>
      <c r="L8" s="8" t="s">
        <v>839</v>
      </c>
      <c r="M8" s="8" t="s">
        <v>716</v>
      </c>
      <c r="N8" s="8" t="s">
        <v>840</v>
      </c>
      <c r="O8" s="8"/>
    </row>
    <row r="9" customFormat="false" ht="15" hidden="false" customHeight="false" outlineLevel="0" collapsed="false">
      <c r="A9" s="4" t="s">
        <v>841</v>
      </c>
      <c r="B9" s="8"/>
      <c r="C9" s="8"/>
      <c r="D9" s="8"/>
      <c r="E9" s="7" t="n">
        <v>0</v>
      </c>
      <c r="F9" s="8"/>
      <c r="G9" s="8"/>
      <c r="H9" s="8"/>
      <c r="I9" s="9"/>
      <c r="J9" s="8"/>
      <c r="K9" s="8"/>
      <c r="L9" s="8"/>
      <c r="M9" s="8"/>
      <c r="N9" s="8"/>
      <c r="O9" s="8"/>
    </row>
    <row r="10" customFormat="false" ht="15" hidden="false" customHeight="false" outlineLevel="0" collapsed="false">
      <c r="A10" s="4" t="s">
        <v>842</v>
      </c>
      <c r="B10" s="8"/>
      <c r="C10" s="8"/>
      <c r="D10" s="8"/>
      <c r="E10" s="7" t="n">
        <v>0</v>
      </c>
      <c r="F10" s="8"/>
      <c r="G10" s="8"/>
      <c r="H10" s="8"/>
      <c r="I10" s="9"/>
      <c r="J10" s="8"/>
      <c r="K10" s="8"/>
      <c r="L10" s="8"/>
      <c r="M10" s="8"/>
      <c r="N10" s="8"/>
      <c r="O10" s="8"/>
    </row>
    <row r="11" customFormat="false" ht="15" hidden="false" customHeight="false" outlineLevel="0" collapsed="false">
      <c r="A11" s="4" t="s">
        <v>843</v>
      </c>
      <c r="B11" s="8"/>
      <c r="C11" s="8"/>
      <c r="D11" s="8"/>
      <c r="E11" s="7" t="n">
        <v>0</v>
      </c>
      <c r="F11" s="8"/>
      <c r="G11" s="8"/>
      <c r="H11" s="8"/>
      <c r="I11" s="9"/>
      <c r="J11" s="8"/>
      <c r="K11" s="8"/>
      <c r="L11" s="8"/>
      <c r="M11" s="8"/>
      <c r="N11" s="8"/>
      <c r="O11" s="8"/>
    </row>
    <row r="12" customFormat="false" ht="15" hidden="false" customHeight="false" outlineLevel="0" collapsed="false">
      <c r="A12" s="4" t="s">
        <v>844</v>
      </c>
      <c r="B12" s="8"/>
      <c r="C12" s="8"/>
      <c r="D12" s="8"/>
      <c r="E12" s="7" t="n">
        <v>0</v>
      </c>
      <c r="F12" s="8"/>
      <c r="G12" s="8"/>
      <c r="H12" s="8"/>
      <c r="I12" s="9"/>
      <c r="J12" s="8"/>
      <c r="K12" s="8"/>
      <c r="L12" s="8"/>
      <c r="M12" s="8"/>
      <c r="N12" s="8"/>
      <c r="O12" s="8"/>
    </row>
    <row r="13" customFormat="false" ht="15" hidden="false" customHeight="false" outlineLevel="0" collapsed="false">
      <c r="A13" s="4" t="s">
        <v>845</v>
      </c>
      <c r="B13" s="8"/>
      <c r="C13" s="8"/>
      <c r="D13" s="8"/>
      <c r="E13" s="7" t="n">
        <v>0</v>
      </c>
      <c r="F13" s="8"/>
      <c r="G13" s="8"/>
      <c r="H13" s="8"/>
      <c r="I13" s="9"/>
      <c r="J13" s="8"/>
      <c r="K13" s="8"/>
      <c r="L13" s="8"/>
      <c r="M13" s="8"/>
      <c r="N13" s="8"/>
      <c r="O13" s="8"/>
    </row>
    <row r="14" customFormat="false" ht="15" hidden="false" customHeight="false" outlineLevel="0" collapsed="false">
      <c r="A14" s="4" t="s">
        <v>846</v>
      </c>
      <c r="B14" s="8"/>
      <c r="C14" s="8"/>
      <c r="D14" s="8"/>
      <c r="E14" s="7" t="n">
        <v>0</v>
      </c>
      <c r="F14" s="8"/>
      <c r="G14" s="8"/>
      <c r="H14" s="8"/>
      <c r="I14" s="9"/>
      <c r="J14" s="8"/>
      <c r="K14" s="8"/>
      <c r="L14" s="8"/>
      <c r="M14" s="8"/>
      <c r="N14" s="8"/>
      <c r="O14" s="8"/>
    </row>
    <row r="15" customFormat="false" ht="15" hidden="false" customHeight="false" outlineLevel="0" collapsed="false">
      <c r="A15" s="4" t="s">
        <v>847</v>
      </c>
      <c r="B15" s="8"/>
      <c r="C15" s="8"/>
      <c r="D15" s="8"/>
      <c r="E15" s="7" t="n">
        <v>0</v>
      </c>
      <c r="F15" s="8"/>
      <c r="G15" s="8"/>
      <c r="H15" s="8"/>
      <c r="I15" s="9"/>
      <c r="J15" s="8"/>
      <c r="K15" s="8"/>
      <c r="L15" s="8"/>
      <c r="M15" s="8"/>
      <c r="N15" s="8"/>
      <c r="O15" s="8"/>
    </row>
    <row r="16" customFormat="false" ht="15" hidden="false" customHeight="false" outlineLevel="0" collapsed="false">
      <c r="A16" s="4" t="s">
        <v>848</v>
      </c>
      <c r="B16" s="8"/>
      <c r="C16" s="8"/>
      <c r="D16" s="8"/>
      <c r="E16" s="7" t="n">
        <v>0</v>
      </c>
      <c r="F16" s="8"/>
      <c r="G16" s="8"/>
      <c r="H16" s="8"/>
      <c r="I16" s="9"/>
      <c r="J16" s="8"/>
      <c r="K16" s="8"/>
      <c r="L16" s="8"/>
      <c r="M16" s="8"/>
      <c r="N16" s="8"/>
      <c r="O16" s="8"/>
    </row>
    <row r="17" customFormat="false" ht="15" hidden="false" customHeight="false" outlineLevel="0" collapsed="false">
      <c r="A17" s="4" t="s">
        <v>849</v>
      </c>
      <c r="B17" s="8"/>
      <c r="C17" s="8"/>
      <c r="D17" s="8"/>
      <c r="E17" s="7" t="n">
        <v>0</v>
      </c>
      <c r="F17" s="8"/>
      <c r="G17" s="8"/>
      <c r="H17" s="8"/>
      <c r="I17" s="9"/>
      <c r="J17" s="8"/>
      <c r="K17" s="8"/>
      <c r="L17" s="8"/>
      <c r="M17" s="8"/>
      <c r="N17" s="8"/>
      <c r="O17" s="8"/>
    </row>
    <row r="18" customFormat="false" ht="15" hidden="false" customHeight="false" outlineLevel="0" collapsed="false">
      <c r="A18" s="4" t="s">
        <v>850</v>
      </c>
      <c r="B18" s="8"/>
      <c r="C18" s="8"/>
      <c r="D18" s="8"/>
      <c r="E18" s="7" t="n">
        <v>0</v>
      </c>
      <c r="F18" s="8"/>
      <c r="G18" s="8"/>
      <c r="H18" s="8"/>
      <c r="I18" s="9"/>
      <c r="J18" s="8"/>
      <c r="K18" s="8"/>
      <c r="L18" s="8"/>
      <c r="M18" s="8"/>
      <c r="N18" s="8"/>
      <c r="O18" s="8"/>
    </row>
    <row r="19" customFormat="false" ht="15" hidden="false" customHeight="false" outlineLevel="0" collapsed="false">
      <c r="A19" s="4" t="s">
        <v>851</v>
      </c>
      <c r="B19" s="8"/>
      <c r="C19" s="8"/>
      <c r="D19" s="8"/>
      <c r="E19" s="7" t="n">
        <v>0</v>
      </c>
      <c r="F19" s="8"/>
      <c r="G19" s="8"/>
      <c r="H19" s="8"/>
      <c r="I19" s="9"/>
      <c r="J19" s="8"/>
      <c r="K19" s="8"/>
      <c r="L19" s="8"/>
      <c r="M19" s="8"/>
      <c r="N19" s="8"/>
      <c r="O19" s="8"/>
    </row>
    <row r="20" customFormat="false" ht="15" hidden="false" customHeight="false" outlineLevel="0" collapsed="false">
      <c r="A20" s="4" t="s">
        <v>852</v>
      </c>
      <c r="B20" s="8"/>
      <c r="C20" s="8"/>
      <c r="D20" s="8"/>
      <c r="E20" s="7" t="n">
        <v>0</v>
      </c>
      <c r="F20" s="8"/>
      <c r="G20" s="8"/>
      <c r="H20" s="8"/>
      <c r="I20" s="9"/>
      <c r="J20" s="8"/>
      <c r="K20" s="8"/>
      <c r="L20" s="8"/>
      <c r="M20" s="8"/>
      <c r="N20" s="8"/>
      <c r="O20" s="8"/>
    </row>
    <row r="21" customFormat="false" ht="15" hidden="false" customHeight="false" outlineLevel="0" collapsed="false">
      <c r="A21" s="4" t="s">
        <v>853</v>
      </c>
      <c r="B21" s="8"/>
      <c r="C21" s="8"/>
      <c r="D21" s="8"/>
      <c r="E21" s="7" t="n">
        <v>0</v>
      </c>
      <c r="F21" s="8"/>
      <c r="G21" s="8"/>
      <c r="H21" s="8"/>
      <c r="I21" s="9"/>
      <c r="J21" s="8"/>
      <c r="K21" s="8"/>
      <c r="L21" s="8"/>
      <c r="M21" s="8"/>
      <c r="N21" s="8"/>
      <c r="O21" s="8"/>
    </row>
    <row r="22" customFormat="false" ht="15" hidden="false" customHeight="false" outlineLevel="0" collapsed="false">
      <c r="A22" s="4" t="s">
        <v>854</v>
      </c>
      <c r="B22" s="8"/>
      <c r="C22" s="8"/>
      <c r="D22" s="8"/>
      <c r="E22" s="7" t="n">
        <v>0</v>
      </c>
      <c r="F22" s="8"/>
      <c r="G22" s="8"/>
      <c r="H22" s="8"/>
      <c r="I22" s="9"/>
      <c r="J22" s="8"/>
      <c r="K22" s="8"/>
      <c r="L22" s="8"/>
      <c r="M22" s="8"/>
      <c r="N22" s="8"/>
      <c r="O22" s="8"/>
    </row>
    <row r="23" customFormat="false" ht="15" hidden="false" customHeight="false" outlineLevel="0" collapsed="false">
      <c r="A23" s="4" t="s">
        <v>855</v>
      </c>
      <c r="B23" s="8"/>
      <c r="C23" s="8"/>
      <c r="D23" s="8"/>
      <c r="E23" s="7" t="n">
        <v>0</v>
      </c>
      <c r="F23" s="8"/>
      <c r="G23" s="8"/>
      <c r="H23" s="8"/>
      <c r="I23" s="9"/>
      <c r="J23" s="8"/>
      <c r="K23" s="8"/>
      <c r="L23" s="8"/>
      <c r="M23" s="8"/>
      <c r="N23" s="8"/>
      <c r="O23" s="8"/>
    </row>
    <row r="24" customFormat="false" ht="15" hidden="false" customHeight="false" outlineLevel="0" collapsed="false">
      <c r="A24" s="4" t="s">
        <v>856</v>
      </c>
      <c r="B24" s="8"/>
      <c r="C24" s="8"/>
      <c r="D24" s="8"/>
      <c r="E24" s="7" t="n">
        <v>0</v>
      </c>
      <c r="F24" s="8"/>
      <c r="G24" s="8"/>
      <c r="H24" s="8"/>
      <c r="I24" s="9"/>
      <c r="J24" s="8"/>
      <c r="K24" s="8"/>
      <c r="L24" s="8"/>
      <c r="M24" s="8"/>
      <c r="N24" s="8"/>
      <c r="O24" s="8"/>
    </row>
    <row r="25" customFormat="false" ht="15" hidden="false" customHeight="false" outlineLevel="0" collapsed="false">
      <c r="A25" s="4" t="s">
        <v>857</v>
      </c>
      <c r="B25" s="8"/>
      <c r="C25" s="8"/>
      <c r="D25" s="8"/>
      <c r="E25" s="7" t="n">
        <v>0</v>
      </c>
      <c r="F25" s="8"/>
      <c r="G25" s="8"/>
      <c r="H25" s="8"/>
      <c r="I25" s="9"/>
      <c r="J25" s="8"/>
      <c r="K25" s="8"/>
      <c r="L25" s="8"/>
      <c r="M25" s="8"/>
      <c r="N25" s="8"/>
      <c r="O25" s="8"/>
    </row>
    <row r="26" customFormat="false" ht="15" hidden="false" customHeight="false" outlineLevel="0" collapsed="false">
      <c r="A26" s="4" t="s">
        <v>858</v>
      </c>
      <c r="B26" s="8"/>
      <c r="C26" s="8"/>
      <c r="D26" s="8"/>
      <c r="E26" s="7" t="n">
        <v>0</v>
      </c>
      <c r="F26" s="8"/>
      <c r="G26" s="8"/>
      <c r="H26" s="8"/>
      <c r="I26" s="9"/>
      <c r="J26" s="8"/>
      <c r="K26" s="8"/>
      <c r="L26" s="8"/>
      <c r="M26" s="8"/>
      <c r="N26" s="8"/>
      <c r="O26" s="8"/>
    </row>
    <row r="27" customFormat="false" ht="15" hidden="false" customHeight="false" outlineLevel="0" collapsed="false">
      <c r="A27" s="4" t="s">
        <v>859</v>
      </c>
      <c r="B27" s="8"/>
      <c r="C27" s="8"/>
      <c r="D27" s="8"/>
      <c r="E27" s="7" t="n">
        <v>0</v>
      </c>
      <c r="F27" s="8"/>
      <c r="G27" s="8"/>
      <c r="H27" s="8"/>
      <c r="I27" s="9"/>
      <c r="J27" s="8"/>
      <c r="K27" s="8"/>
      <c r="L27" s="8"/>
      <c r="M27" s="8"/>
      <c r="N27" s="8"/>
      <c r="O27" s="8"/>
    </row>
    <row r="28" customFormat="false" ht="15" hidden="false" customHeight="false" outlineLevel="0" collapsed="false">
      <c r="A28" s="4" t="s">
        <v>860</v>
      </c>
      <c r="B28" s="8"/>
      <c r="C28" s="8"/>
      <c r="D28" s="8"/>
      <c r="E28" s="7" t="n">
        <v>0</v>
      </c>
      <c r="F28" s="8"/>
      <c r="G28" s="8"/>
      <c r="H28" s="8"/>
      <c r="I28" s="9"/>
      <c r="J28" s="8"/>
      <c r="K28" s="8"/>
      <c r="L28" s="8"/>
      <c r="M28" s="8"/>
      <c r="N28" s="8"/>
      <c r="O28" s="8"/>
    </row>
    <row r="29" customFormat="false" ht="15" hidden="false" customHeight="false" outlineLevel="0" collapsed="false">
      <c r="A29" s="4" t="s">
        <v>861</v>
      </c>
      <c r="B29" s="8"/>
      <c r="C29" s="8"/>
      <c r="D29" s="8"/>
      <c r="E29" s="7" t="n">
        <v>0</v>
      </c>
      <c r="F29" s="8"/>
      <c r="G29" s="8"/>
      <c r="H29" s="8"/>
      <c r="I29" s="9"/>
      <c r="J29" s="8"/>
      <c r="K29" s="8"/>
      <c r="L29" s="8"/>
      <c r="M29" s="8"/>
      <c r="N29" s="8"/>
      <c r="O29" s="8"/>
    </row>
    <row r="30" customFormat="false" ht="15" hidden="false" customHeight="false" outlineLevel="0" collapsed="false">
      <c r="A30" s="4" t="s">
        <v>862</v>
      </c>
      <c r="B30" s="8"/>
      <c r="C30" s="8"/>
      <c r="D30" s="8"/>
      <c r="E30" s="7" t="n">
        <v>0</v>
      </c>
      <c r="F30" s="8"/>
      <c r="G30" s="8"/>
      <c r="H30" s="8"/>
      <c r="I30" s="9"/>
      <c r="J30" s="8"/>
      <c r="K30" s="8"/>
      <c r="L30" s="8"/>
      <c r="M30" s="8"/>
      <c r="N30" s="8"/>
      <c r="O30" s="8"/>
    </row>
    <row r="31" customFormat="false" ht="15" hidden="false" customHeight="false" outlineLevel="0" collapsed="false">
      <c r="A31" s="4" t="s">
        <v>863</v>
      </c>
      <c r="B31" s="8"/>
      <c r="C31" s="8"/>
      <c r="D31" s="8"/>
      <c r="E31" s="7" t="n">
        <v>0</v>
      </c>
      <c r="F31" s="8"/>
      <c r="G31" s="8"/>
      <c r="H31" s="8"/>
      <c r="I31" s="9"/>
      <c r="J31" s="8"/>
      <c r="K31" s="8"/>
      <c r="L31" s="8"/>
      <c r="M31" s="8"/>
      <c r="N31" s="8"/>
      <c r="O31" s="8"/>
    </row>
    <row r="32" customFormat="false" ht="15" hidden="false" customHeight="false" outlineLevel="0" collapsed="false">
      <c r="A32" s="4" t="s">
        <v>864</v>
      </c>
      <c r="B32" s="8"/>
      <c r="C32" s="8"/>
      <c r="D32" s="8"/>
      <c r="E32" s="7" t="n">
        <v>0</v>
      </c>
      <c r="F32" s="8"/>
      <c r="G32" s="8"/>
      <c r="H32" s="8"/>
      <c r="I32" s="9"/>
      <c r="J32" s="8"/>
      <c r="K32" s="8"/>
      <c r="L32" s="8"/>
      <c r="M32" s="8"/>
      <c r="N32" s="8"/>
      <c r="O32" s="8"/>
    </row>
    <row r="33" customFormat="false" ht="15" hidden="false" customHeight="false" outlineLevel="0" collapsed="false">
      <c r="A33" s="4" t="s">
        <v>865</v>
      </c>
      <c r="B33" s="8"/>
      <c r="C33" s="8"/>
      <c r="D33" s="8"/>
      <c r="E33" s="7" t="n">
        <v>0</v>
      </c>
      <c r="F33" s="8"/>
      <c r="G33" s="8"/>
      <c r="H33" s="8"/>
      <c r="I33" s="9"/>
      <c r="J33" s="8"/>
      <c r="K33" s="8"/>
      <c r="L33" s="8"/>
      <c r="M33" s="8"/>
      <c r="N33" s="8"/>
      <c r="O33" s="8"/>
    </row>
    <row r="34" customFormat="false" ht="15" hidden="false" customHeight="false" outlineLevel="0" collapsed="false">
      <c r="A34" s="4" t="s">
        <v>866</v>
      </c>
      <c r="B34" s="8"/>
      <c r="C34" s="8"/>
      <c r="D34" s="8"/>
      <c r="E34" s="7" t="n">
        <v>0</v>
      </c>
      <c r="F34" s="8"/>
      <c r="G34" s="8"/>
      <c r="H34" s="8"/>
      <c r="I34" s="9"/>
      <c r="J34" s="8"/>
      <c r="K34" s="8"/>
      <c r="L34" s="8"/>
      <c r="M34" s="8"/>
      <c r="N34" s="8"/>
      <c r="O34" s="8"/>
    </row>
    <row r="35" customFormat="false" ht="15" hidden="false" customHeight="false" outlineLevel="0" collapsed="false">
      <c r="A35" s="4" t="s">
        <v>867</v>
      </c>
      <c r="B35" s="8"/>
      <c r="C35" s="8"/>
      <c r="D35" s="8"/>
      <c r="E35" s="7" t="n">
        <v>0</v>
      </c>
      <c r="F35" s="8"/>
      <c r="G35" s="8"/>
      <c r="H35" s="8"/>
      <c r="I35" s="9"/>
      <c r="J35" s="8"/>
      <c r="K35" s="8"/>
      <c r="L35" s="8"/>
      <c r="M35" s="8"/>
      <c r="N35" s="8"/>
      <c r="O35" s="8"/>
    </row>
    <row r="36" customFormat="false" ht="15" hidden="false" customHeight="false" outlineLevel="0" collapsed="false">
      <c r="A36" s="4" t="s">
        <v>868</v>
      </c>
      <c r="B36" s="8"/>
      <c r="C36" s="8"/>
      <c r="D36" s="8"/>
      <c r="E36" s="7" t="n">
        <v>0</v>
      </c>
      <c r="F36" s="8"/>
      <c r="G36" s="8"/>
      <c r="H36" s="8"/>
      <c r="I36" s="9"/>
      <c r="J36" s="8"/>
      <c r="K36" s="8"/>
      <c r="L36" s="8"/>
      <c r="M36" s="8"/>
      <c r="N36" s="8"/>
      <c r="O36" s="8"/>
    </row>
    <row r="37" customFormat="false" ht="15" hidden="false" customHeight="false" outlineLevel="0" collapsed="false">
      <c r="A37" s="4" t="s">
        <v>869</v>
      </c>
      <c r="B37" s="8"/>
      <c r="C37" s="8"/>
      <c r="D37" s="8"/>
      <c r="E37" s="7" t="n">
        <v>0</v>
      </c>
      <c r="F37" s="8"/>
      <c r="G37" s="8"/>
      <c r="H37" s="8"/>
      <c r="I37" s="9"/>
      <c r="J37" s="8"/>
      <c r="K37" s="8"/>
      <c r="L37" s="8"/>
      <c r="M37" s="8"/>
      <c r="N37" s="8"/>
      <c r="O37" s="8"/>
    </row>
    <row r="38" customFormat="false" ht="15" hidden="false" customHeight="false" outlineLevel="0" collapsed="false">
      <c r="A38" s="4" t="s">
        <v>870</v>
      </c>
      <c r="B38" s="8"/>
      <c r="C38" s="8"/>
      <c r="D38" s="8"/>
      <c r="E38" s="7" t="n">
        <v>0</v>
      </c>
      <c r="F38" s="8"/>
      <c r="G38" s="8"/>
      <c r="H38" s="8"/>
      <c r="I38" s="9"/>
      <c r="J38" s="8"/>
      <c r="K38" s="8"/>
      <c r="L38" s="8"/>
      <c r="M38" s="8"/>
      <c r="N38" s="8"/>
      <c r="O38" s="8"/>
    </row>
    <row r="39" customFormat="false" ht="15" hidden="false" customHeight="false" outlineLevel="0" collapsed="false">
      <c r="A39" s="4" t="s">
        <v>871</v>
      </c>
      <c r="B39" s="8"/>
      <c r="C39" s="8"/>
      <c r="D39" s="8"/>
      <c r="E39" s="7" t="n">
        <v>0</v>
      </c>
      <c r="F39" s="8"/>
      <c r="G39" s="8"/>
      <c r="H39" s="8"/>
      <c r="I39" s="9"/>
      <c r="J39" s="8"/>
      <c r="K39" s="8"/>
      <c r="L39" s="8"/>
      <c r="M39" s="8"/>
      <c r="N39" s="8"/>
      <c r="O39" s="8"/>
    </row>
    <row r="40" customFormat="false" ht="15" hidden="false" customHeight="false" outlineLevel="0" collapsed="false">
      <c r="A40" s="4" t="s">
        <v>872</v>
      </c>
      <c r="B40" s="8"/>
      <c r="C40" s="8"/>
      <c r="D40" s="8"/>
      <c r="E40" s="7" t="n">
        <v>0</v>
      </c>
      <c r="F40" s="8"/>
      <c r="G40" s="8"/>
      <c r="H40" s="8"/>
      <c r="I40" s="9"/>
      <c r="J40" s="8"/>
      <c r="K40" s="8"/>
      <c r="L40" s="8"/>
      <c r="M40" s="8"/>
      <c r="N40" s="8"/>
      <c r="O40" s="8"/>
    </row>
    <row r="41" customFormat="false" ht="15" hidden="false" customHeight="false" outlineLevel="0" collapsed="false">
      <c r="A41" s="4" t="s">
        <v>873</v>
      </c>
      <c r="B41" s="8"/>
      <c r="C41" s="8"/>
      <c r="D41" s="8"/>
      <c r="E41" s="7" t="n">
        <v>0</v>
      </c>
      <c r="F41" s="8"/>
      <c r="G41" s="8"/>
      <c r="H41" s="8"/>
      <c r="I41" s="9"/>
      <c r="J41" s="8"/>
      <c r="K41" s="8"/>
      <c r="L41" s="8"/>
      <c r="M41" s="8"/>
      <c r="N41" s="8"/>
      <c r="O41" s="8"/>
    </row>
    <row r="42" customFormat="false" ht="15" hidden="false" customHeight="false" outlineLevel="0" collapsed="false">
      <c r="A42" s="4" t="s">
        <v>874</v>
      </c>
      <c r="B42" s="8"/>
      <c r="C42" s="8"/>
      <c r="D42" s="8"/>
      <c r="E42" s="7" t="n">
        <v>0</v>
      </c>
      <c r="F42" s="8"/>
      <c r="G42" s="8"/>
      <c r="H42" s="8"/>
      <c r="I42" s="9"/>
      <c r="J42" s="8"/>
      <c r="K42" s="8"/>
      <c r="L42" s="8"/>
      <c r="M42" s="8"/>
      <c r="N42" s="8"/>
      <c r="O42" s="8"/>
    </row>
    <row r="43" customFormat="false" ht="15" hidden="false" customHeight="false" outlineLevel="0" collapsed="false">
      <c r="A43" s="4" t="s">
        <v>875</v>
      </c>
      <c r="B43" s="8"/>
      <c r="C43" s="8"/>
      <c r="D43" s="8"/>
      <c r="E43" s="7" t="n">
        <v>0</v>
      </c>
      <c r="F43" s="8"/>
      <c r="G43" s="8"/>
      <c r="H43" s="8"/>
      <c r="I43" s="9"/>
      <c r="J43" s="8"/>
      <c r="K43" s="8"/>
      <c r="L43" s="8"/>
      <c r="M43" s="8"/>
      <c r="N43" s="8"/>
      <c r="O43" s="8"/>
    </row>
    <row r="44" customFormat="false" ht="15" hidden="false" customHeight="false" outlineLevel="0" collapsed="false">
      <c r="A44" s="4" t="s">
        <v>876</v>
      </c>
      <c r="B44" s="8"/>
      <c r="C44" s="8"/>
      <c r="D44" s="8"/>
      <c r="E44" s="7" t="n">
        <v>0</v>
      </c>
      <c r="F44" s="8"/>
      <c r="G44" s="8"/>
      <c r="H44" s="8"/>
      <c r="I44" s="9"/>
      <c r="J44" s="8"/>
      <c r="K44" s="8"/>
      <c r="L44" s="8"/>
      <c r="M44" s="8"/>
      <c r="N44" s="8"/>
      <c r="O44" s="8"/>
    </row>
    <row r="45" customFormat="false" ht="15" hidden="false" customHeight="false" outlineLevel="0" collapsed="false">
      <c r="A45" s="4" t="s">
        <v>877</v>
      </c>
      <c r="B45" s="8"/>
      <c r="C45" s="8"/>
      <c r="D45" s="8"/>
      <c r="E45" s="7" t="n">
        <v>0</v>
      </c>
      <c r="F45" s="8"/>
      <c r="G45" s="8"/>
      <c r="H45" s="8"/>
      <c r="I45" s="9"/>
      <c r="J45" s="8"/>
      <c r="K45" s="8"/>
      <c r="L45" s="8"/>
      <c r="M45" s="8"/>
      <c r="N45" s="8"/>
      <c r="O45" s="8"/>
    </row>
    <row r="46" customFormat="false" ht="15" hidden="false" customHeight="false" outlineLevel="0" collapsed="false">
      <c r="A46" s="4" t="s">
        <v>878</v>
      </c>
      <c r="B46" s="8"/>
      <c r="C46" s="8"/>
      <c r="D46" s="8"/>
      <c r="E46" s="7" t="n">
        <v>0</v>
      </c>
      <c r="F46" s="8"/>
      <c r="G46" s="8"/>
      <c r="H46" s="8"/>
      <c r="I46" s="9"/>
      <c r="J46" s="8"/>
      <c r="K46" s="8"/>
      <c r="L46" s="8"/>
      <c r="M46" s="8"/>
      <c r="N46" s="8"/>
      <c r="O46" s="8"/>
    </row>
    <row r="47" customFormat="false" ht="15" hidden="false" customHeight="false" outlineLevel="0" collapsed="false">
      <c r="A47" s="4" t="s">
        <v>879</v>
      </c>
      <c r="B47" s="8"/>
      <c r="C47" s="8"/>
      <c r="D47" s="8"/>
      <c r="E47" s="7" t="n">
        <v>0</v>
      </c>
      <c r="F47" s="8"/>
      <c r="G47" s="8"/>
      <c r="H47" s="8"/>
      <c r="I47" s="9"/>
      <c r="J47" s="8"/>
      <c r="K47" s="8"/>
      <c r="L47" s="8"/>
      <c r="M47" s="8"/>
      <c r="N47" s="8"/>
      <c r="O47" s="8"/>
    </row>
    <row r="48" customFormat="false" ht="15" hidden="false" customHeight="false" outlineLevel="0" collapsed="false">
      <c r="A48" s="4" t="s">
        <v>880</v>
      </c>
      <c r="B48" s="8"/>
      <c r="C48" s="8"/>
      <c r="D48" s="8"/>
      <c r="E48" s="7" t="n">
        <v>0</v>
      </c>
      <c r="F48" s="8"/>
      <c r="G48" s="8"/>
      <c r="H48" s="8"/>
      <c r="I48" s="9"/>
      <c r="J48" s="8"/>
      <c r="K48" s="8"/>
      <c r="L48" s="8"/>
      <c r="M48" s="8"/>
      <c r="N48" s="8"/>
      <c r="O48" s="8"/>
    </row>
    <row r="49" customFormat="false" ht="15" hidden="false" customHeight="false" outlineLevel="0" collapsed="false">
      <c r="A49" s="4" t="s">
        <v>881</v>
      </c>
      <c r="B49" s="8"/>
      <c r="C49" s="8"/>
      <c r="D49" s="8"/>
      <c r="E49" s="7" t="n">
        <v>0</v>
      </c>
      <c r="F49" s="8"/>
      <c r="G49" s="8"/>
      <c r="H49" s="8"/>
      <c r="I49" s="9"/>
      <c r="J49" s="8"/>
      <c r="K49" s="8"/>
      <c r="L49" s="8"/>
      <c r="M49" s="8"/>
      <c r="N49" s="8"/>
      <c r="O49" s="8"/>
    </row>
    <row r="50" customFormat="false" ht="15" hidden="false" customHeight="false" outlineLevel="0" collapsed="false">
      <c r="A50" s="4" t="s">
        <v>882</v>
      </c>
      <c r="B50" s="8"/>
      <c r="C50" s="8"/>
      <c r="D50" s="8"/>
      <c r="E50" s="7" t="n">
        <v>0</v>
      </c>
      <c r="F50" s="8"/>
      <c r="G50" s="8"/>
      <c r="H50" s="8"/>
      <c r="I50" s="9"/>
      <c r="J50" s="8"/>
      <c r="K50" s="8"/>
      <c r="L50" s="8"/>
      <c r="M50" s="8"/>
      <c r="N50" s="8"/>
      <c r="O50" s="8"/>
    </row>
    <row r="51" customFormat="false" ht="15" hidden="false" customHeight="false" outlineLevel="0" collapsed="false">
      <c r="A51" s="4" t="s">
        <v>883</v>
      </c>
      <c r="B51" s="8"/>
      <c r="C51" s="8"/>
      <c r="D51" s="8"/>
      <c r="E51" s="7" t="n">
        <v>0</v>
      </c>
      <c r="F51" s="8"/>
      <c r="G51" s="8"/>
      <c r="H51" s="8"/>
      <c r="I51" s="9"/>
      <c r="J51" s="8"/>
      <c r="K51" s="8"/>
      <c r="L51" s="8"/>
      <c r="M51" s="8"/>
      <c r="N51" s="8"/>
      <c r="O51" s="8"/>
    </row>
    <row r="52" customFormat="false" ht="15" hidden="false" customHeight="false" outlineLevel="0" collapsed="false">
      <c r="A52" s="4" t="s">
        <v>884</v>
      </c>
      <c r="B52" s="8"/>
      <c r="C52" s="8"/>
      <c r="D52" s="8"/>
      <c r="E52" s="7" t="n">
        <v>0</v>
      </c>
      <c r="F52" s="8"/>
      <c r="G52" s="8"/>
      <c r="H52" s="8"/>
      <c r="I52" s="9"/>
      <c r="J52" s="8"/>
      <c r="K52" s="8"/>
      <c r="L52" s="8"/>
      <c r="M52" s="8"/>
      <c r="N52" s="8"/>
      <c r="O52" s="8"/>
    </row>
    <row r="53" customFormat="false" ht="15" hidden="false" customHeight="false" outlineLevel="0" collapsed="false">
      <c r="A53" s="4" t="s">
        <v>885</v>
      </c>
      <c r="B53" s="8"/>
      <c r="C53" s="8"/>
      <c r="D53" s="8"/>
      <c r="E53" s="7" t="n">
        <v>0</v>
      </c>
      <c r="F53" s="8"/>
      <c r="G53" s="8"/>
      <c r="H53" s="8"/>
      <c r="I53" s="9"/>
      <c r="J53" s="8"/>
      <c r="K53" s="8"/>
      <c r="L53" s="8"/>
      <c r="M53" s="8"/>
      <c r="N53" s="8"/>
      <c r="O53" s="8"/>
    </row>
    <row r="54" customFormat="false" ht="15" hidden="false" customHeight="false" outlineLevel="0" collapsed="false">
      <c r="A54" s="4" t="s">
        <v>886</v>
      </c>
      <c r="B54" s="8"/>
      <c r="C54" s="8"/>
      <c r="D54" s="8"/>
      <c r="E54" s="7" t="n">
        <v>0</v>
      </c>
      <c r="F54" s="8"/>
      <c r="G54" s="8"/>
      <c r="H54" s="8"/>
      <c r="I54" s="9"/>
      <c r="J54" s="8"/>
      <c r="K54" s="8"/>
      <c r="L54" s="8"/>
      <c r="M54" s="8"/>
      <c r="N54" s="8"/>
      <c r="O54" s="8"/>
    </row>
    <row r="55" customFormat="false" ht="15" hidden="false" customHeight="false" outlineLevel="0" collapsed="false">
      <c r="A55" s="4" t="s">
        <v>887</v>
      </c>
      <c r="B55" s="8"/>
      <c r="C55" s="8"/>
      <c r="D55" s="8"/>
      <c r="E55" s="7" t="n">
        <v>0</v>
      </c>
      <c r="F55" s="8"/>
      <c r="G55" s="8"/>
      <c r="H55" s="8"/>
      <c r="I55" s="9"/>
      <c r="J55" s="8"/>
      <c r="K55" s="8"/>
      <c r="L55" s="8"/>
      <c r="M55" s="8"/>
      <c r="N55" s="8"/>
      <c r="O55" s="8"/>
    </row>
    <row r="56" customFormat="false" ht="15" hidden="false" customHeight="false" outlineLevel="0" collapsed="false">
      <c r="A56" s="4" t="s">
        <v>888</v>
      </c>
      <c r="B56" s="8"/>
      <c r="C56" s="8"/>
      <c r="D56" s="8"/>
      <c r="E56" s="7" t="n">
        <v>0</v>
      </c>
      <c r="F56" s="8"/>
      <c r="G56" s="8"/>
      <c r="H56" s="8"/>
      <c r="I56" s="9"/>
      <c r="J56" s="8"/>
      <c r="K56" s="8"/>
      <c r="L56" s="8"/>
      <c r="M56" s="8"/>
      <c r="N56" s="8"/>
      <c r="O56" s="8"/>
    </row>
    <row r="57" customFormat="false" ht="15" hidden="false" customHeight="false" outlineLevel="0" collapsed="false">
      <c r="A57" s="4" t="s">
        <v>889</v>
      </c>
      <c r="B57" s="8"/>
      <c r="C57" s="8"/>
      <c r="D57" s="8"/>
      <c r="E57" s="7" t="n">
        <v>0</v>
      </c>
      <c r="F57" s="8"/>
      <c r="G57" s="8"/>
      <c r="H57" s="8"/>
      <c r="I57" s="9"/>
      <c r="J57" s="8"/>
      <c r="K57" s="8"/>
      <c r="L57" s="8"/>
      <c r="M57" s="8"/>
      <c r="N57" s="8"/>
      <c r="O57" s="8"/>
    </row>
    <row r="58" customFormat="false" ht="15" hidden="false" customHeight="false" outlineLevel="0" collapsed="false">
      <c r="A58" s="4" t="s">
        <v>890</v>
      </c>
      <c r="B58" s="8"/>
      <c r="C58" s="8"/>
      <c r="D58" s="8"/>
      <c r="E58" s="7" t="n">
        <v>0</v>
      </c>
      <c r="F58" s="8"/>
      <c r="G58" s="8"/>
      <c r="H58" s="8"/>
      <c r="I58" s="9"/>
      <c r="J58" s="8"/>
      <c r="K58" s="8"/>
      <c r="L58" s="8"/>
      <c r="M58" s="8"/>
      <c r="N58" s="8"/>
      <c r="O58" s="8"/>
    </row>
    <row r="59" customFormat="false" ht="15" hidden="false" customHeight="false" outlineLevel="0" collapsed="false">
      <c r="A59" s="4" t="s">
        <v>891</v>
      </c>
      <c r="B59" s="8"/>
      <c r="C59" s="8"/>
      <c r="D59" s="8"/>
      <c r="E59" s="7" t="n">
        <v>0</v>
      </c>
      <c r="F59" s="8"/>
      <c r="G59" s="8"/>
      <c r="H59" s="8"/>
      <c r="I59" s="9"/>
      <c r="J59" s="8"/>
      <c r="K59" s="8"/>
      <c r="L59" s="8"/>
      <c r="M59" s="8"/>
      <c r="N59" s="8"/>
      <c r="O59" s="8"/>
    </row>
    <row r="60" customFormat="false" ht="15" hidden="false" customHeight="false" outlineLevel="0" collapsed="false">
      <c r="A60" s="4" t="s">
        <v>892</v>
      </c>
      <c r="B60" s="8"/>
      <c r="C60" s="8"/>
      <c r="D60" s="8"/>
      <c r="E60" s="7" t="n">
        <v>0</v>
      </c>
      <c r="F60" s="8"/>
      <c r="G60" s="8"/>
      <c r="H60" s="8"/>
      <c r="I60" s="9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A61" s="4" t="s">
        <v>893</v>
      </c>
      <c r="B61" s="8"/>
      <c r="C61" s="8"/>
      <c r="D61" s="8"/>
      <c r="E61" s="7" t="n">
        <v>0</v>
      </c>
      <c r="F61" s="8"/>
      <c r="G61" s="8"/>
      <c r="H61" s="8"/>
      <c r="I61" s="9"/>
      <c r="J61" s="8"/>
      <c r="K61" s="8"/>
      <c r="L61" s="8"/>
      <c r="M61" s="8"/>
      <c r="N61" s="8"/>
      <c r="O61" s="8"/>
    </row>
    <row r="62" customFormat="false" ht="15" hidden="false" customHeight="false" outlineLevel="0" collapsed="false">
      <c r="A62" s="4" t="s">
        <v>894</v>
      </c>
      <c r="B62" s="8"/>
      <c r="C62" s="8"/>
      <c r="D62" s="8"/>
      <c r="E62" s="7" t="n">
        <v>0</v>
      </c>
      <c r="F62" s="8"/>
      <c r="G62" s="8"/>
      <c r="H62" s="8"/>
      <c r="I62" s="9"/>
      <c r="J62" s="8"/>
      <c r="K62" s="8"/>
      <c r="L62" s="8"/>
      <c r="M62" s="8"/>
      <c r="N62" s="8"/>
      <c r="O62" s="8"/>
    </row>
    <row r="63" customFormat="false" ht="15" hidden="false" customHeight="false" outlineLevel="0" collapsed="false">
      <c r="A63" s="4" t="s">
        <v>895</v>
      </c>
      <c r="B63" s="8"/>
      <c r="C63" s="8"/>
      <c r="D63" s="8"/>
      <c r="E63" s="7" t="n">
        <v>0</v>
      </c>
      <c r="F63" s="8"/>
      <c r="G63" s="8"/>
      <c r="H63" s="8"/>
      <c r="I63" s="9"/>
      <c r="J63" s="8"/>
      <c r="K63" s="8"/>
      <c r="L63" s="8"/>
      <c r="M63" s="8"/>
      <c r="N63" s="8"/>
      <c r="O63" s="8"/>
    </row>
    <row r="64" customFormat="false" ht="15" hidden="false" customHeight="false" outlineLevel="0" collapsed="false">
      <c r="A64" s="4" t="s">
        <v>896</v>
      </c>
      <c r="B64" s="8"/>
      <c r="C64" s="8"/>
      <c r="D64" s="8"/>
      <c r="E64" s="7" t="n">
        <v>0</v>
      </c>
      <c r="F64" s="8"/>
      <c r="G64" s="8"/>
      <c r="H64" s="8"/>
      <c r="I64" s="9"/>
      <c r="J64" s="8"/>
      <c r="K64" s="8"/>
      <c r="L64" s="8"/>
      <c r="M64" s="8"/>
      <c r="N64" s="8"/>
      <c r="O64" s="8"/>
    </row>
    <row r="65" customFormat="false" ht="15" hidden="false" customHeight="false" outlineLevel="0" collapsed="false">
      <c r="A65" s="4" t="s">
        <v>897</v>
      </c>
      <c r="B65" s="8"/>
      <c r="C65" s="8"/>
      <c r="D65" s="8"/>
      <c r="E65" s="7" t="n">
        <v>0</v>
      </c>
      <c r="F65" s="8"/>
      <c r="G65" s="8"/>
      <c r="H65" s="8"/>
      <c r="I65" s="9"/>
      <c r="J65" s="8"/>
      <c r="K65" s="8"/>
      <c r="L65" s="8"/>
      <c r="M65" s="8"/>
      <c r="N65" s="8"/>
      <c r="O65" s="8"/>
    </row>
  </sheetData>
  <mergeCells count="2">
    <mergeCell ref="A1:O1"/>
    <mergeCell ref="A2:O2"/>
  </mergeCells>
  <dataValidations count="1">
    <dataValidation allowBlank="false" errorStyle="stop" operator="between" showDropDown="false" showErrorMessage="false" showInputMessage="false" sqref="N6:N65" type="list">
      <formula1>"Open,In Progress,Resolved,Closed,Accepted Risk"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898</v>
      </c>
      <c r="B1" s="1"/>
      <c r="C1" s="1"/>
      <c r="D1" s="1"/>
      <c r="E1" s="1"/>
    </row>
    <row r="2" customFormat="false" ht="28" hidden="false" customHeight="true" outlineLevel="0" collapsed="false">
      <c r="A2" s="2" t="s">
        <v>899</v>
      </c>
      <c r="B2" s="2"/>
      <c r="C2" s="2"/>
      <c r="D2" s="2"/>
      <c r="E2" s="2"/>
    </row>
    <row r="5" customFormat="false" ht="34" hidden="false" customHeight="true" outlineLevel="0" collapsed="false">
      <c r="A5" s="3" t="s">
        <v>544</v>
      </c>
      <c r="B5" s="3" t="s">
        <v>900</v>
      </c>
      <c r="C5" s="3" t="s">
        <v>716</v>
      </c>
      <c r="D5" s="3" t="s">
        <v>901</v>
      </c>
      <c r="E5" s="3" t="s">
        <v>902</v>
      </c>
    </row>
    <row r="6" customFormat="false" ht="15" hidden="false" customHeight="false" outlineLevel="0" collapsed="false">
      <c r="A6" s="4" t="s">
        <v>903</v>
      </c>
      <c r="B6" s="4" t="s">
        <v>904</v>
      </c>
      <c r="C6" s="4" t="s">
        <v>905</v>
      </c>
      <c r="D6" s="4" t="s">
        <v>906</v>
      </c>
      <c r="E6" s="4" t="s">
        <v>907</v>
      </c>
    </row>
    <row r="7" customFormat="false" ht="15" hidden="false" customHeight="false" outlineLevel="0" collapsed="false">
      <c r="A7" s="4" t="s">
        <v>908</v>
      </c>
      <c r="B7" s="4" t="s">
        <v>909</v>
      </c>
      <c r="C7" s="4" t="s">
        <v>910</v>
      </c>
      <c r="D7" s="4" t="s">
        <v>911</v>
      </c>
      <c r="E7" s="4" t="s">
        <v>907</v>
      </c>
    </row>
    <row r="8" customFormat="false" ht="15" hidden="false" customHeight="false" outlineLevel="0" collapsed="false">
      <c r="A8" s="4" t="s">
        <v>912</v>
      </c>
      <c r="B8" s="4" t="s">
        <v>913</v>
      </c>
      <c r="C8" s="4" t="s">
        <v>914</v>
      </c>
      <c r="D8" s="4" t="s">
        <v>906</v>
      </c>
      <c r="E8" s="4" t="s">
        <v>915</v>
      </c>
    </row>
    <row r="9" customFormat="false" ht="15" hidden="false" customHeight="false" outlineLevel="0" collapsed="false">
      <c r="A9" s="4" t="s">
        <v>916</v>
      </c>
      <c r="B9" s="4" t="s">
        <v>917</v>
      </c>
      <c r="C9" s="4" t="s">
        <v>918</v>
      </c>
      <c r="D9" s="4" t="s">
        <v>919</v>
      </c>
      <c r="E9" s="4" t="s">
        <v>920</v>
      </c>
    </row>
    <row r="10" customFormat="false" ht="15" hidden="false" customHeight="false" outlineLevel="0" collapsed="false">
      <c r="A10" s="4" t="s">
        <v>921</v>
      </c>
      <c r="B10" s="4" t="s">
        <v>922</v>
      </c>
      <c r="C10" s="4" t="s">
        <v>923</v>
      </c>
      <c r="D10" s="4" t="s">
        <v>924</v>
      </c>
      <c r="E10" s="4" t="s">
        <v>716</v>
      </c>
    </row>
    <row r="11" customFormat="false" ht="15" hidden="false" customHeight="false" outlineLevel="0" collapsed="false">
      <c r="A11" s="4" t="s">
        <v>925</v>
      </c>
      <c r="B11" s="4" t="s">
        <v>926</v>
      </c>
      <c r="C11" s="4" t="s">
        <v>927</v>
      </c>
      <c r="D11" s="4" t="s">
        <v>928</v>
      </c>
      <c r="E11" s="4" t="s">
        <v>716</v>
      </c>
    </row>
    <row r="12" customFormat="false" ht="15" hidden="false" customHeight="false" outlineLevel="0" collapsed="false">
      <c r="A12" s="4" t="s">
        <v>929</v>
      </c>
      <c r="B12" s="4" t="s">
        <v>930</v>
      </c>
      <c r="C12" s="4" t="s">
        <v>931</v>
      </c>
      <c r="D12" s="4" t="s">
        <v>932</v>
      </c>
      <c r="E12" s="4" t="s">
        <v>821</v>
      </c>
    </row>
    <row r="13" customFormat="false" ht="15" hidden="false" customHeight="false" outlineLevel="0" collapsed="false">
      <c r="A13" s="4" t="s">
        <v>933</v>
      </c>
      <c r="B13" s="4" t="s">
        <v>934</v>
      </c>
      <c r="C13" s="4" t="s">
        <v>935</v>
      </c>
      <c r="D13" s="4" t="s">
        <v>936</v>
      </c>
      <c r="E13" s="4" t="s">
        <v>915</v>
      </c>
    </row>
    <row r="14" customFormat="false" ht="15" hidden="false" customHeight="false" outlineLevel="0" collapsed="false">
      <c r="A14" s="4" t="s">
        <v>834</v>
      </c>
      <c r="B14" s="4" t="s">
        <v>936</v>
      </c>
      <c r="C14" s="4" t="s">
        <v>937</v>
      </c>
      <c r="D14" s="4" t="s">
        <v>938</v>
      </c>
      <c r="E14" s="4" t="s">
        <v>716</v>
      </c>
    </row>
    <row r="15" customFormat="false" ht="15" hidden="false" customHeight="false" outlineLevel="0" collapsed="false">
      <c r="A15" s="4" t="s">
        <v>939</v>
      </c>
      <c r="B15" s="4" t="s">
        <v>932</v>
      </c>
      <c r="C15" s="4" t="s">
        <v>940</v>
      </c>
      <c r="D15" s="4" t="s">
        <v>941</v>
      </c>
      <c r="E15" s="4" t="s">
        <v>920</v>
      </c>
    </row>
    <row r="16" customFormat="false" ht="15" hidden="false" customHeight="false" outlineLevel="0" collapsed="false">
      <c r="A16" s="4" t="s">
        <v>942</v>
      </c>
      <c r="B16" s="4" t="s">
        <v>913</v>
      </c>
      <c r="C16" s="4" t="s">
        <v>943</v>
      </c>
      <c r="D16" s="4" t="s">
        <v>944</v>
      </c>
      <c r="E16" s="4" t="s">
        <v>907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" t="s">
        <v>945</v>
      </c>
      <c r="B1" s="1"/>
      <c r="C1" s="1"/>
      <c r="D1" s="1"/>
      <c r="E1" s="1"/>
      <c r="F1" s="1"/>
      <c r="G1" s="1"/>
    </row>
    <row r="2" customFormat="false" ht="28" hidden="false" customHeight="true" outlineLevel="0" collapsed="false">
      <c r="A2" s="2" t="s">
        <v>946</v>
      </c>
      <c r="B2" s="2"/>
      <c r="C2" s="2"/>
      <c r="D2" s="2"/>
      <c r="E2" s="2"/>
      <c r="F2" s="2"/>
      <c r="G2" s="2"/>
    </row>
    <row r="5" customFormat="false" ht="34" hidden="false" customHeight="true" outlineLevel="0" collapsed="false">
      <c r="A5" s="3" t="s">
        <v>947</v>
      </c>
      <c r="B5" s="3" t="s">
        <v>948</v>
      </c>
      <c r="C5" s="3" t="s">
        <v>949</v>
      </c>
      <c r="D5" s="3" t="s">
        <v>950</v>
      </c>
      <c r="E5" s="3" t="s">
        <v>951</v>
      </c>
      <c r="F5" s="3" t="s">
        <v>952</v>
      </c>
      <c r="G5" s="3" t="s">
        <v>953</v>
      </c>
    </row>
    <row r="6" customFormat="false" ht="21.8" hidden="false" customHeight="false" outlineLevel="0" collapsed="false">
      <c r="A6" s="4" t="s">
        <v>954</v>
      </c>
      <c r="B6" s="4" t="s">
        <v>955</v>
      </c>
      <c r="C6" s="4" t="s">
        <v>956</v>
      </c>
      <c r="D6" s="4" t="s">
        <v>957</v>
      </c>
      <c r="E6" s="4" t="s">
        <v>958</v>
      </c>
      <c r="F6" s="4" t="s">
        <v>959</v>
      </c>
      <c r="G6" s="8"/>
    </row>
    <row r="7" customFormat="false" ht="15" hidden="false" customHeight="false" outlineLevel="0" collapsed="false">
      <c r="A7" s="4" t="s">
        <v>960</v>
      </c>
      <c r="B7" s="4" t="s">
        <v>961</v>
      </c>
      <c r="C7" s="4" t="s">
        <v>962</v>
      </c>
      <c r="D7" s="4" t="s">
        <v>963</v>
      </c>
      <c r="E7" s="4" t="s">
        <v>964</v>
      </c>
      <c r="F7" s="4" t="s">
        <v>965</v>
      </c>
      <c r="G7" s="8"/>
    </row>
    <row r="8" customFormat="false" ht="15" hidden="false" customHeight="false" outlineLevel="0" collapsed="false">
      <c r="A8" s="4" t="s">
        <v>966</v>
      </c>
      <c r="B8" s="4" t="s">
        <v>967</v>
      </c>
      <c r="C8" s="4" t="s">
        <v>968</v>
      </c>
      <c r="D8" s="4" t="s">
        <v>969</v>
      </c>
      <c r="E8" s="4" t="s">
        <v>970</v>
      </c>
      <c r="F8" s="4" t="s">
        <v>971</v>
      </c>
      <c r="G8" s="8"/>
    </row>
    <row r="9" customFormat="false" ht="15" hidden="false" customHeight="false" outlineLevel="0" collapsed="false">
      <c r="A9" s="4" t="s">
        <v>972</v>
      </c>
      <c r="B9" s="4" t="s">
        <v>973</v>
      </c>
      <c r="C9" s="4" t="s">
        <v>974</v>
      </c>
      <c r="D9" s="4" t="s">
        <v>975</v>
      </c>
      <c r="E9" s="4" t="s">
        <v>976</v>
      </c>
      <c r="F9" s="4" t="s">
        <v>977</v>
      </c>
      <c r="G9" s="8"/>
    </row>
    <row r="10" customFormat="false" ht="15" hidden="false" customHeight="false" outlineLevel="0" collapsed="false">
      <c r="A10" s="4" t="s">
        <v>978</v>
      </c>
      <c r="B10" s="4" t="s">
        <v>979</v>
      </c>
      <c r="C10" s="4" t="s">
        <v>980</v>
      </c>
      <c r="D10" s="4" t="s">
        <v>981</v>
      </c>
      <c r="E10" s="4" t="s">
        <v>982</v>
      </c>
      <c r="F10" s="4" t="s">
        <v>983</v>
      </c>
      <c r="G10" s="8"/>
    </row>
    <row r="11" customFormat="false" ht="15" hidden="false" customHeight="false" outlineLevel="0" collapsed="false">
      <c r="A11" s="4" t="s">
        <v>984</v>
      </c>
      <c r="B11" s="4" t="s">
        <v>985</v>
      </c>
      <c r="C11" s="4" t="s">
        <v>986</v>
      </c>
      <c r="D11" s="4" t="s">
        <v>987</v>
      </c>
      <c r="E11" s="4" t="s">
        <v>988</v>
      </c>
      <c r="F11" s="4" t="s">
        <v>989</v>
      </c>
      <c r="G11" s="8"/>
    </row>
    <row r="12" customFormat="false" ht="15" hidden="false" customHeight="false" outlineLevel="0" collapsed="false">
      <c r="A12" s="4" t="s">
        <v>990</v>
      </c>
      <c r="B12" s="4" t="s">
        <v>991</v>
      </c>
      <c r="C12" s="4" t="s">
        <v>992</v>
      </c>
      <c r="D12" s="4" t="s">
        <v>993</v>
      </c>
      <c r="E12" s="4" t="s">
        <v>994</v>
      </c>
      <c r="F12" s="4" t="s">
        <v>995</v>
      </c>
      <c r="G12" s="8"/>
    </row>
    <row r="13" customFormat="false" ht="15" hidden="false" customHeight="false" outlineLevel="0" collapsed="false">
      <c r="A13" s="4" t="s">
        <v>996</v>
      </c>
      <c r="B13" s="4" t="s">
        <v>997</v>
      </c>
      <c r="C13" s="4" t="s">
        <v>998</v>
      </c>
      <c r="D13" s="4" t="s">
        <v>999</v>
      </c>
      <c r="E13" s="4" t="s">
        <v>1000</v>
      </c>
      <c r="F13" s="4" t="s">
        <v>1001</v>
      </c>
      <c r="G13" s="8"/>
    </row>
    <row r="14" customFormat="false" ht="15" hidden="false" customHeight="false" outlineLevel="0" collapsed="false">
      <c r="A14" s="4" t="s">
        <v>1002</v>
      </c>
      <c r="B14" s="4" t="s">
        <v>1003</v>
      </c>
      <c r="C14" s="4" t="s">
        <v>1004</v>
      </c>
      <c r="D14" s="4" t="s">
        <v>1005</v>
      </c>
      <c r="E14" s="4" t="s">
        <v>1006</v>
      </c>
      <c r="F14" s="4" t="s">
        <v>1007</v>
      </c>
      <c r="G14" s="8"/>
    </row>
    <row r="15" customFormat="false" ht="15" hidden="false" customHeight="false" outlineLevel="0" collapsed="false">
      <c r="A15" s="4" t="s">
        <v>1008</v>
      </c>
      <c r="B15" s="4" t="s">
        <v>1009</v>
      </c>
      <c r="C15" s="4" t="s">
        <v>1010</v>
      </c>
      <c r="D15" s="4" t="s">
        <v>1011</v>
      </c>
      <c r="E15" s="4" t="s">
        <v>1012</v>
      </c>
      <c r="F15" s="4" t="s">
        <v>1013</v>
      </c>
      <c r="G15" s="8"/>
    </row>
    <row r="16" customFormat="false" ht="15" hidden="false" customHeight="false" outlineLevel="0" collapsed="false">
      <c r="A16" s="4" t="s">
        <v>1014</v>
      </c>
      <c r="B16" s="4" t="s">
        <v>1015</v>
      </c>
      <c r="C16" s="4" t="s">
        <v>1016</v>
      </c>
      <c r="D16" s="4" t="s">
        <v>1017</v>
      </c>
      <c r="E16" s="4" t="s">
        <v>1018</v>
      </c>
      <c r="F16" s="4" t="s">
        <v>1019</v>
      </c>
      <c r="G16" s="8"/>
    </row>
    <row r="17" customFormat="false" ht="15" hidden="false" customHeight="false" outlineLevel="0" collapsed="false">
      <c r="A17" s="4" t="s">
        <v>1020</v>
      </c>
      <c r="B17" s="4" t="s">
        <v>1021</v>
      </c>
      <c r="C17" s="4" t="s">
        <v>1022</v>
      </c>
      <c r="D17" s="4" t="s">
        <v>1023</v>
      </c>
      <c r="E17" s="4" t="s">
        <v>1024</v>
      </c>
      <c r="F17" s="4" t="s">
        <v>1025</v>
      </c>
      <c r="G17" s="8"/>
    </row>
    <row r="18" customFormat="false" ht="15" hidden="false" customHeight="false" outlineLevel="0" collapsed="false">
      <c r="A18" s="4" t="s">
        <v>1026</v>
      </c>
      <c r="B18" s="4" t="s">
        <v>1027</v>
      </c>
      <c r="C18" s="4" t="s">
        <v>1028</v>
      </c>
      <c r="D18" s="4" t="s">
        <v>1023</v>
      </c>
      <c r="E18" s="4" t="s">
        <v>1029</v>
      </c>
      <c r="F18" s="4" t="s">
        <v>1030</v>
      </c>
      <c r="G18" s="8"/>
    </row>
    <row r="19" customFormat="false" ht="15" hidden="false" customHeight="false" outlineLevel="0" collapsed="false">
      <c r="A19" s="4" t="s">
        <v>1031</v>
      </c>
      <c r="B19" s="4" t="s">
        <v>1032</v>
      </c>
      <c r="C19" s="4" t="s">
        <v>1033</v>
      </c>
      <c r="D19" s="4" t="s">
        <v>1034</v>
      </c>
      <c r="E19" s="4" t="s">
        <v>1035</v>
      </c>
      <c r="F19" s="4" t="s">
        <v>1036</v>
      </c>
      <c r="G19" s="8"/>
    </row>
    <row r="20" customFormat="false" ht="15" hidden="false" customHeight="false" outlineLevel="0" collapsed="false">
      <c r="A20" s="4" t="s">
        <v>1037</v>
      </c>
      <c r="B20" s="4" t="s">
        <v>1038</v>
      </c>
      <c r="C20" s="4" t="s">
        <v>1039</v>
      </c>
      <c r="D20" s="4" t="s">
        <v>1040</v>
      </c>
      <c r="E20" s="4" t="s">
        <v>1041</v>
      </c>
      <c r="F20" s="4" t="s">
        <v>1042</v>
      </c>
      <c r="G20" s="8"/>
    </row>
    <row r="21" customFormat="false" ht="15" hidden="false" customHeight="false" outlineLevel="0" collapsed="false">
      <c r="A21" s="4" t="s">
        <v>1043</v>
      </c>
      <c r="B21" s="4" t="s">
        <v>1044</v>
      </c>
      <c r="C21" s="4" t="s">
        <v>1045</v>
      </c>
      <c r="D21" s="4" t="s">
        <v>1046</v>
      </c>
      <c r="E21" s="4" t="s">
        <v>1047</v>
      </c>
      <c r="F21" s="4" t="s">
        <v>1048</v>
      </c>
      <c r="G21" s="8"/>
    </row>
    <row r="22" customFormat="false" ht="15" hidden="false" customHeight="false" outlineLevel="0" collapsed="false">
      <c r="A22" s="4" t="s">
        <v>1049</v>
      </c>
      <c r="B22" s="4" t="s">
        <v>1050</v>
      </c>
      <c r="C22" s="4" t="s">
        <v>1051</v>
      </c>
      <c r="D22" s="4" t="s">
        <v>1052</v>
      </c>
      <c r="E22" s="4" t="s">
        <v>1053</v>
      </c>
      <c r="F22" s="4" t="s">
        <v>1054</v>
      </c>
      <c r="G22" s="8"/>
    </row>
    <row r="23" customFormat="false" ht="15" hidden="false" customHeight="false" outlineLevel="0" collapsed="false">
      <c r="A23" s="4" t="s">
        <v>1055</v>
      </c>
      <c r="B23" s="4" t="s">
        <v>1056</v>
      </c>
      <c r="C23" s="4" t="s">
        <v>1057</v>
      </c>
      <c r="D23" s="4" t="s">
        <v>1058</v>
      </c>
      <c r="E23" s="4" t="s">
        <v>1059</v>
      </c>
      <c r="F23" s="4" t="s">
        <v>1060</v>
      </c>
      <c r="G23" s="8"/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2"/>
    <col collapsed="false" customWidth="true" hidden="false" outlineLevel="0" max="3" min="3" style="0" width="5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1061</v>
      </c>
      <c r="B1" s="1"/>
      <c r="C1" s="1"/>
      <c r="D1" s="1"/>
    </row>
    <row r="2" customFormat="false" ht="28" hidden="false" customHeight="true" outlineLevel="0" collapsed="false">
      <c r="A2" s="2" t="s">
        <v>1062</v>
      </c>
      <c r="B2" s="2"/>
      <c r="C2" s="2"/>
      <c r="D2" s="2"/>
    </row>
    <row r="5" customFormat="false" ht="34" hidden="false" customHeight="true" outlineLevel="0" collapsed="false">
      <c r="A5" s="3" t="s">
        <v>1063</v>
      </c>
      <c r="B5" s="3" t="s">
        <v>1064</v>
      </c>
      <c r="C5" s="3" t="s">
        <v>1065</v>
      </c>
      <c r="D5" s="3" t="s">
        <v>1066</v>
      </c>
    </row>
    <row r="6" customFormat="false" ht="15" hidden="false" customHeight="false" outlineLevel="0" collapsed="false">
      <c r="A6" s="4" t="s">
        <v>1067</v>
      </c>
      <c r="B6" s="4" t="s">
        <v>1068</v>
      </c>
      <c r="C6" s="4" t="s">
        <v>1069</v>
      </c>
      <c r="D6" s="4" t="s">
        <v>1070</v>
      </c>
    </row>
    <row r="7" customFormat="false" ht="15" hidden="false" customHeight="false" outlineLevel="0" collapsed="false">
      <c r="A7" s="4" t="s">
        <v>1071</v>
      </c>
      <c r="B7" s="4" t="s">
        <v>1072</v>
      </c>
      <c r="C7" s="4" t="s">
        <v>1073</v>
      </c>
      <c r="D7" s="4" t="s">
        <v>1074</v>
      </c>
    </row>
    <row r="8" customFormat="false" ht="21.8" hidden="false" customHeight="false" outlineLevel="0" collapsed="false">
      <c r="A8" s="4" t="s">
        <v>1075</v>
      </c>
      <c r="B8" s="4" t="s">
        <v>1076</v>
      </c>
      <c r="C8" s="4" t="s">
        <v>1077</v>
      </c>
      <c r="D8" s="4" t="s">
        <v>1078</v>
      </c>
    </row>
    <row r="9" customFormat="false" ht="15" hidden="false" customHeight="false" outlineLevel="0" collapsed="false">
      <c r="A9" s="4" t="s">
        <v>1079</v>
      </c>
      <c r="B9" s="4" t="s">
        <v>1080</v>
      </c>
      <c r="C9" s="4" t="s">
        <v>1081</v>
      </c>
      <c r="D9" s="4" t="s">
        <v>1082</v>
      </c>
    </row>
    <row r="10" customFormat="false" ht="21.8" hidden="false" customHeight="false" outlineLevel="0" collapsed="false">
      <c r="A10" s="4" t="s">
        <v>1083</v>
      </c>
      <c r="B10" s="4" t="s">
        <v>1084</v>
      </c>
      <c r="C10" s="4" t="s">
        <v>1085</v>
      </c>
      <c r="D10" s="4" t="s">
        <v>1086</v>
      </c>
    </row>
    <row r="11" customFormat="false" ht="21.8" hidden="false" customHeight="false" outlineLevel="0" collapsed="false">
      <c r="A11" s="4" t="s">
        <v>1087</v>
      </c>
      <c r="B11" s="4" t="s">
        <v>1088</v>
      </c>
      <c r="C11" s="4" t="s">
        <v>1089</v>
      </c>
      <c r="D11" s="4" t="s">
        <v>1090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