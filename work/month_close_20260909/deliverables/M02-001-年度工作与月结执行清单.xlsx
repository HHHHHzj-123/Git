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2347193d5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年度工作框架" sheetId="1" r:id="R27b203143d1c4215"/>
    <x:sheet xmlns:r="http://schemas.openxmlformats.org/officeDocument/2006/relationships" name="02月结日历" sheetId="2" r:id="R99d7f8a2d82440ce"/>
    <x:sheet xmlns:r="http://schemas.openxmlformats.org/officeDocument/2006/relationships" name="03模块检查清单" sheetId="3" r:id="R4311fda016dc4787"/>
    <x:sheet xmlns:r="http://schemas.openxmlformats.org/officeDocument/2006/relationships" name="04科目与报表勾稽" sheetId="4" r:id="R8e3dbe35e231453c"/>
    <x:sheet xmlns:r="http://schemas.openxmlformats.org/officeDocument/2006/relationships" name="05问题跟踪" sheetId="5" r:id="R96e03ea3ebec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.00;[Red]-#,##0.00"/>
    <x:numFmt numFmtId="202" formatCode="yyyy-mm-dd"/>
  </x:numFmts>
  <x:fonts count="5">
    <x:font>
      <x:sz val="11"/>
      <x:name val="Carlito"/>
    </x:font>
    <x:font>
      <x:b/>
      <x:sz val="16"/>
      <x:color rgb="FFFFFFFF"/>
      <x:name val="Microsoft YaHei"/>
    </x:font>
    <x:font>
      <x:sz val="10"/>
      <x:color rgb="FF566171"/>
      <x:name val="Microsoft YaHei"/>
    </x:font>
    <x:font>
      <x:b/>
      <x:sz val="9"/>
      <x:color rgb="FFFFFFFF"/>
      <x:name val="Microsoft YaHei"/>
    </x:font>
    <x:font>
      <x:sz val="9"/>
      <x:color rgb="FF20242C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8E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f8292fcacb450a" /><Relationship Type="http://schemas.openxmlformats.org/officeDocument/2006/relationships/theme" Target="/xl/theme/theme1.xml" Id="R7132285b8e814801" /><Relationship Type="http://schemas.openxmlformats.org/officeDocument/2006/relationships/sharedStrings" Target="/xl/sharedStrings.xml" Id="R525639d221664866" /><Relationship Type="http://schemas.openxmlformats.org/officeDocument/2006/relationships/worksheet" Target="/xl/worksheets/sheet1.xml" Id="R27b203143d1c4215" /><Relationship Type="http://schemas.openxmlformats.org/officeDocument/2006/relationships/worksheet" Target="/xl/worksheets/sheet2.xml" Id="R99d7f8a2d82440ce" /><Relationship Type="http://schemas.openxmlformats.org/officeDocument/2006/relationships/worksheet" Target="/xl/worksheets/sheet3.xml" Id="R4311fda016dc4787" /><Relationship Type="http://schemas.openxmlformats.org/officeDocument/2006/relationships/worksheet" Target="/xl/worksheets/sheet4.xml" Id="R8e3dbe35e231453c" /><Relationship Type="http://schemas.openxmlformats.org/officeDocument/2006/relationships/worksheet" Target="/xl/worksheets/sheet5.xml" Id="R96e03ea3ebec4461" /></Relationships>
</file>

<file path=xl/tables/table1.xml><?xml version="1.0" encoding="utf-8"?>
<x:table xmlns:x="http://schemas.openxmlformats.org/spreadsheetml/2006/main" id="1" name="AnnualCloseCalendar" displayName="AnnualCloseCalendar" ref="A4:H16" headerRowCount="1" totalsRowCount="0" totalsRowShown="0">
  <x:autoFilter ref="A4:H16"/>
  <x:tableColumns count="8">
    <x:tableColumn id="1" name="时间"/>
    <x:tableColumn id="2" name="忙度"/>
    <x:tableColumn id="3" name="核心任务"/>
    <x:tableColumn id="4" name="月结与核算"/>
    <x:tableColumn id="5" name="税务与外部事项"/>
    <x:tableColumn id="6" name="管理与内控"/>
    <x:tableColumn id="7" name="关键输出"/>
    <x:tableColumn id="8" name="行业或企业差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CloseCalendar" displayName="MonthlyCloseCalendar" ref="A4:L18" headerRowCount="1" totalsRowCount="0" totalsRowShown="0">
  <x:autoFilter ref="A4:L18"/>
  <x:tableColumns count="12">
    <x:tableColumn id="1" name="时间"/>
    <x:tableColumn id="2" name="阶段"/>
    <x:tableColumn id="3" name="任务"/>
    <x:tableColumn id="4" name="输入及依赖"/>
    <x:tableColumn id="5" name="制作人"/>
    <x:tableColumn id="6" name="复核人"/>
    <x:tableColumn id="7" name="输出证据"/>
    <x:tableColumn id="8" name="完成标准"/>
    <x:tableColumn id="9" name="状态"/>
    <x:tableColumn id="10" name="实际完成日"/>
    <x:tableColumn id="11" name="问题编号"/>
    <x:tableColumn id="12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uleChecklist" displayName="ModuleChecklist" ref="A4:M16" headerRowCount="1" totalsRowCount="0" totalsRowShown="0">
  <x:autoFilter ref="A4:M16"/>
  <x:tableColumns count="13">
    <x:tableColumn id="1" name="编号"/>
    <x:tableColumn id="2" name="模块"/>
    <x:tableColumn id="3" name="检查事项"/>
    <x:tableColumn id="4" name="原始单据"/>
    <x:tableColumn id="5" name="系统或数据"/>
    <x:tableColumn id="6" name="会计判断或分录"/>
    <x:tableColumn id="7" name="税务处理"/>
    <x:tableColumn id="8" name="对账对象"/>
    <x:tableColumn id="9" name="报表影响"/>
    <x:tableColumn id="10" name="风险点"/>
    <x:tableColumn id="11" name="建议日"/>
    <x:tableColumn id="12" name="状态"/>
    <x:tableColumn id="13" name="证据位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ountReconciliation" displayName="AccountReconciliation" ref="A4:N22" headerRowCount="1" totalsRowCount="0" totalsRowShown="0">
  <x:autoFilter ref="A4:N22"/>
  <x:tableColumns count="14">
    <x:tableColumn id="1" name="科目或项目"/>
    <x:tableColumn id="2" name="期末账面余额"/>
    <x:tableColumn id="3" name="对账来源余额"/>
    <x:tableColumn id="4" name="时间性差异"/>
    <x:tableColumn id="5" name="错误差异"/>
    <x:tableColumn id="6" name="调整后对方余额"/>
    <x:tableColumn id="7" name="未解释差异"/>
    <x:tableColumn id="8" name="阈值"/>
    <x:tableColumn id="9" name="结论"/>
    <x:tableColumn id="10" name="报表项目"/>
    <x:tableColumn id="11" name="制作人"/>
    <x:tableColumn id="12" name="复核人"/>
    <x:tableColumn id="13" name="状态"/>
    <x:tableColumn id="14" name="证据位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oseIssueLog" displayName="CloseIssueLog" ref="A4:O24" headerRowCount="1" totalsRowCount="0" totalsRowShown="0">
  <x:autoFilter ref="A4:O24"/>
  <x:tableColumns count="15">
    <x:tableColumn id="1" name="问题编号"/>
    <x:tableColumn id="2" name="期间"/>
    <x:tableColumn id="3" name="模块"/>
    <x:tableColumn id="4" name="问题描述"/>
    <x:tableColumn id="5" name="金额"/>
    <x:tableColumn id="6" name="优先级"/>
    <x:tableColumn id="7" name="会计影响"/>
    <x:tableColumn id="8" name="税务影响"/>
    <x:tableColumn id="9" name="临时处理"/>
    <x:tableColumn id="10" name="根因"/>
    <x:tableColumn id="11" name="整改措施"/>
    <x:tableColumn id="12" name="责任人"/>
    <x:tableColumn id="13" name="计划完成日"/>
    <x:tableColumn id="14" name="状态"/>
    <x:tableColumn id="15" name="关闭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53d054b14f4e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4c695842dd4a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1bb203f71545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33c571e7f049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80fa08ad964fb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24" hidden="0" customWidth="1"/>
    <x:col min="4" max="4" width="32" hidden="0" customWidth="1"/>
    <x:col min="5" max="5" width="28" hidden="0" customWidth="1"/>
    <x:col min="6" max="6" width="26" hidden="0" customWidth="1"/>
    <x:col min="7" max="7" width="28" hidden="0" customWidth="1"/>
    <x:col min="8" max="8" width="30" hidden="0" customWidth="1"/>
  </x:cols>
  <x:sheetData>
    <x:row r="1" ht="30" customHeight="1">
      <x:c r="A1" s="2" t="str">
        <x:v>总账会计与财务主管年度工作框架</x:v>
      </x:c>
      <x:c r="B1" s="1"/>
      <x:c r="C1" s="1"/>
      <x:c r="D1" s="1"/>
      <x:c r="E1" s="1"/>
      <x:c r="F1" s="1"/>
      <x:c r="G1" s="1"/>
      <x:c r="H1" s="1"/>
    </x:row>
    <x:row r="2" ht="34" customHeight="1">
      <x:c r="A2" s="4" t="str">
        <x:v>基准：自然年度、非上市企业、一般纳税人、月度结账。忙度属于常见实务判断；税务期限须结合主管税务机关核定税期和当年节假日安排。</x:v>
      </x:c>
      <x:c r="B2" s="5"/>
      <x:c r="C2" s="5"/>
      <x:c r="D2" s="5"/>
      <x:c r="E2" s="5"/>
      <x:c r="F2" s="5"/>
      <x:c r="G2" s="5"/>
      <x:c r="H2" s="5"/>
    </x:row>
    <x:row r="4" ht="28" customHeight="1">
      <x:c r="A4" s="9" t="str">
        <x:v>时间</x:v>
      </x:c>
      <x:c r="B4" s="9" t="str">
        <x:v>忙度</x:v>
      </x:c>
      <x:c r="C4" s="9" t="str">
        <x:v>核心任务</x:v>
      </x:c>
      <x:c r="D4" s="9" t="str">
        <x:v>月结与核算</x:v>
      </x:c>
      <x:c r="E4" s="9" t="str">
        <x:v>税务与外部事项</x:v>
      </x:c>
      <x:c r="F4" s="9" t="str">
        <x:v>管理与内控</x:v>
      </x:c>
      <x:c r="G4" s="9" t="str">
        <x:v>关键输出</x:v>
      </x:c>
      <x:c r="H4" s="9" t="str">
        <x:v>行业或企业差异</x:v>
      </x:c>
    </x:row>
    <x:row r="5" ht="54" customHeight="1">
      <x:c r="A5" s="13" t="str">
        <x:v>1月</x:v>
      </x:c>
      <x:c r="B5" s="14" t="str">
        <x:v>极忙</x:v>
      </x:c>
      <x:c r="C5" s="13" t="str">
        <x:v>上年12月及年度硬关账 年初开账</x:v>
      </x:c>
      <x:c r="D5" s="13" t="str">
        <x:v>截止 盘点差异 奖金费用计提 减值 期初余额</x:v>
      </x:c>
      <x:c r="E5" s="13" t="str">
        <x:v>季度或月度申报 审计资料</x:v>
      </x:c>
      <x:c r="F5" s="13" t="str">
        <x:v>年度问题清单 关账复盘</x:v>
      </x:c>
      <x:c r="G5" s="13" t="str">
        <x:v>年度报表 年结底稿</x:v>
      </x:c>
      <x:c r="H5" s="13" t="str">
        <x:v>集团合并和上市报告更紧</x:v>
      </x:c>
    </x:row>
    <x:row r="6" ht="54" customHeight="1">
      <x:c r="A6" s="13" t="str">
        <x:v>2月</x:v>
      </x:c>
      <x:c r="B6" s="15" t="str">
        <x:v>中高</x:v>
      </x:c>
      <x:c r="C6" s="13" t="str">
        <x:v>审计与春节压缩月结</x:v>
      </x:c>
      <x:c r="D6" s="13" t="str">
        <x:v>短周期截止 审计调整跟踪</x:v>
      </x:c>
      <x:c r="E6" s="13" t="str">
        <x:v>常规申报 年终奖个税核对</x:v>
      </x:c>
      <x:c r="F6" s="13" t="str">
        <x:v>调整关账日历</x:v>
      </x:c>
      <x:c r="G6" s="13" t="str">
        <x:v>审计资料 月结包</x:v>
      </x:c>
      <x:c r="H6" s="13" t="str">
        <x:v>春节月份通常提前交付</x:v>
      </x:c>
    </x:row>
    <x:row r="7" ht="54" customHeight="1">
      <x:c r="A7" s="13" t="str">
        <x:v>3月</x:v>
      </x:c>
      <x:c r="B7" s="16" t="str">
        <x:v>高</x:v>
      </x:c>
      <x:c r="C7" s="13" t="str">
        <x:v>审计 汇算准备 Q1预结</x:v>
      </x:c>
      <x:c r="D7" s="13" t="str">
        <x:v>税会差异 研发 资产损失</x:v>
      </x:c>
      <x:c r="E7" s="13" t="str">
        <x:v>汇算底稿 关联资料准备</x:v>
      </x:c>
      <x:c r="F7" s="13" t="str">
        <x:v>季度预测</x:v>
      </x:c>
      <x:c r="G7" s="13" t="str">
        <x:v>汇算初稿 Q1预结</x:v>
      </x:c>
      <x:c r="H7" s="13" t="str">
        <x:v>研发和项目制企业工作量更大</x:v>
      </x:c>
    </x:row>
    <x:row r="8" ht="54" customHeight="1">
      <x:c r="A8" s="13" t="str">
        <x:v>4月</x:v>
      </x:c>
      <x:c r="B8" s="14" t="str">
        <x:v>极忙</x:v>
      </x:c>
      <x:c r="C8" s="13" t="str">
        <x:v>Q1关账和预缴 年报集中期</x:v>
      </x:c>
      <x:c r="D8" s="13" t="str">
        <x:v>季度深度复核 审计调整落账</x:v>
      </x:c>
      <x:c r="E8" s="13" t="str">
        <x:v>企业所得税预缴等</x:v>
      </x:c>
      <x:c r="F8" s="13" t="str">
        <x:v>经营复盘</x:v>
      </x:c>
      <x:c r="G8" s="13" t="str">
        <x:v>Q1报表 申报勾稽</x:v>
      </x:c>
      <x:c r="H8" s="13" t="str">
        <x:v>上市及集团披露更紧</x:v>
      </x:c>
    </x:row>
    <x:row r="9" ht="54" customHeight="1">
      <x:c r="A9" s="13" t="str">
        <x:v>5月</x:v>
      </x:c>
      <x:c r="B9" s="14" t="str">
        <x:v>极忙</x:v>
      </x:c>
      <x:c r="C9" s="13" t="str">
        <x:v>企业所得税汇算收尾</x:v>
      </x:c>
      <x:c r="D9" s="13" t="str">
        <x:v>年度报表与纳税申报核对</x:v>
      </x:c>
      <x:c r="E9" s="13" t="str">
        <x:v>年度终了后5个月内完成汇算</x:v>
      </x:c>
      <x:c r="F9" s="13" t="str">
        <x:v>税务档案归档</x:v>
      </x:c>
      <x:c r="G9" s="13" t="str">
        <x:v>年度申报 汇算档案</x:v>
      </x:c>
      <x:c r="H9" s="13" t="str">
        <x:v>有优惠和境外关联交易更复杂</x:v>
      </x:c>
    </x:row>
    <x:row r="10" ht="54" customHeight="1">
      <x:c r="A10" s="13" t="str">
        <x:v>6月</x:v>
      </x:c>
      <x:c r="B10" s="16" t="str">
        <x:v>高</x:v>
      </x:c>
      <x:c r="C10" s="13" t="str">
        <x:v>半年预结 盘点 预测</x:v>
      </x:c>
      <x:c r="D10" s="13" t="str">
        <x:v>存货资产抽盘 减值预判</x:v>
      </x:c>
      <x:c r="E10" s="13" t="str">
        <x:v>常规申报</x:v>
      </x:c>
      <x:c r="F10" s="13" t="str">
        <x:v>滚动预测</x:v>
      </x:c>
      <x:c r="G10" s="13" t="str">
        <x:v>半年预结 预测更新</x:v>
      </x:c>
      <x:c r="H10" s="13" t="str">
        <x:v>制造业重点在库存和产能</x:v>
      </x:c>
    </x:row>
    <x:row r="11" ht="54" customHeight="1">
      <x:c r="A11" s="13" t="str">
        <x:v>7月</x:v>
      </x:c>
      <x:c r="B11" s="14" t="str">
        <x:v>极忙</x:v>
      </x:c>
      <x:c r="C11" s="13" t="str">
        <x:v>半年关账 Q2预缴</x:v>
      </x:c>
      <x:c r="D11" s="13" t="str">
        <x:v>半年报表 深度科目复核</x:v>
      </x:c>
      <x:c r="E11" s="13" t="str">
        <x:v>企业所得税预缴等</x:v>
      </x:c>
      <x:c r="F11" s="13" t="str">
        <x:v>半年经营复盘</x:v>
      </x:c>
      <x:c r="G11" s="13" t="str">
        <x:v>半年报表 Q2申报</x:v>
      </x:c>
      <x:c r="H11" s="13" t="str">
        <x:v>集团可能需半年审阅</x:v>
      </x:c>
    </x:row>
    <x:row r="12" ht="54" customHeight="1">
      <x:c r="A12" s="13" t="str">
        <x:v>8月</x:v>
      </x:c>
      <x:c r="B12" s="17" t="str">
        <x:v>中</x:v>
      </x:c>
      <x:c r="C12" s="13" t="str">
        <x:v>清理遗留 流程改进</x:v>
      </x:c>
      <x:c r="D12" s="13" t="str">
        <x:v>长期挂账 暂估 主数据 接口</x:v>
      </x:c>
      <x:c r="E12" s="13" t="str">
        <x:v>税务问题整改</x:v>
      </x:c>
      <x:c r="F12" s="13" t="str">
        <x:v>自动化和制度优化</x:v>
      </x:c>
      <x:c r="G12" s="13" t="str">
        <x:v>问题关闭 改进方案</x:v>
      </x:c>
      <x:c r="H12" s="13" t="str">
        <x:v>适合补课和流程项目</x:v>
      </x:c>
    </x:row>
    <x:row r="13" ht="54" customHeight="1">
      <x:c r="A13" s="13" t="str">
        <x:v>9月</x:v>
      </x:c>
      <x:c r="B13" s="16" t="str">
        <x:v>高</x:v>
      </x:c>
      <x:c r="C13" s="13" t="str">
        <x:v>Q3预结 次年预算准备</x:v>
      </x:c>
      <x:c r="D13" s="13" t="str">
        <x:v>年末风险清单</x:v>
      </x:c>
      <x:c r="E13" s="13" t="str">
        <x:v>税负预测</x:v>
      </x:c>
      <x:c r="F13" s="13" t="str">
        <x:v>预算假设和资本开支</x:v>
      </x:c>
      <x:c r="G13" s="13" t="str">
        <x:v>Q3预结 预算底稿</x:v>
      </x:c>
      <x:c r="H13" s="13" t="str">
        <x:v>业务波动影响预算节奏</x:v>
      </x:c>
    </x:row>
    <x:row r="14" ht="54" customHeight="1">
      <x:c r="A14" s="13" t="str">
        <x:v>10月</x:v>
      </x:c>
      <x:c r="B14" s="14" t="str">
        <x:v>极忙</x:v>
      </x:c>
      <x:c r="C14" s="13" t="str">
        <x:v>Q3关账和预算</x:v>
      </x:c>
      <x:c r="D14" s="13" t="str">
        <x:v>季度深度复核</x:v>
      </x:c>
      <x:c r="E14" s="13" t="str">
        <x:v>企业所得税预缴等</x:v>
      </x:c>
      <x:c r="F14" s="13" t="str">
        <x:v>预算编制 盘点计划</x:v>
      </x:c>
      <x:c r="G14" s="13" t="str">
        <x:v>Q3报表 预算初稿</x:v>
      </x:c>
      <x:c r="H14" s="13" t="str">
        <x:v>制造和贸易开始年末备货检查</x:v>
      </x:c>
    </x:row>
    <x:row r="15" ht="54" customHeight="1">
      <x:c r="A15" s="13" t="str">
        <x:v>11月</x:v>
      </x:c>
      <x:c r="B15" s="16" t="str">
        <x:v>高</x:v>
      </x:c>
      <x:c r="C15" s="13" t="str">
        <x:v>预算定稿 年结预演</x:v>
      </x:c>
      <x:c r="D15" s="13" t="str">
        <x:v>减值 关联方 函证 PBC</x:v>
      </x:c>
      <x:c r="E15" s="13" t="str">
        <x:v>年度税会差异预估</x:v>
      </x:c>
      <x:c r="F15" s="13" t="str">
        <x:v>年结演练</x:v>
      </x:c>
      <x:c r="G15" s="13" t="str">
        <x:v>预算定稿 年结清单</x:v>
      </x:c>
      <x:c r="H15" s="13" t="str">
        <x:v>复杂集团宜做试关账</x:v>
      </x:c>
    </x:row>
    <x:row r="16" ht="54" customHeight="1">
      <x:c r="A16" s="13" t="str">
        <x:v>12月</x:v>
      </x:c>
      <x:c r="B16" s="14" t="str">
        <x:v>极忙</x:v>
      </x:c>
      <x:c r="C16" s="13" t="str">
        <x:v>年度截止和盘点</x:v>
      </x:c>
      <x:c r="D16" s="13" t="str">
        <x:v>收发货 服务截止 盘点 资产 奖金 减值</x:v>
      </x:c>
      <x:c r="E16" s="13" t="str">
        <x:v>年度税务资料封存</x:v>
      </x:c>
      <x:c r="F16" s="13" t="str">
        <x:v>审计和盘点组织</x:v>
      </x:c>
      <x:c r="G16" s="13" t="str">
        <x:v>截止证据 盘点资料</x:v>
      </x:c>
      <x:c r="H16" s="13" t="str">
        <x:v>出口 项目制和多地点盘点更复杂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353d054b14f4e38"/>
  </x:tableParts>
</x:worksheet>
</file>

<file path=xl/worksheets/sheet2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34" hidden="0" customWidth="1"/>
    <x:col min="4" max="4" width="34" hidden="0" customWidth="1"/>
    <x:col min="5" max="5" width="16" hidden="0" customWidth="1"/>
    <x:col min="6" max="6" width="16" hidden="0" customWidth="1"/>
    <x:col min="7" max="7" width="30" hidden="0" customWidth="1"/>
    <x:col min="8" max="8" width="32" hidden="0" customWidth="1"/>
    <x:col min="9" max="9" width="12" hidden="0" customWidth="1"/>
    <x:col min="10" max="10" width="17" hidden="0" customWidth="1"/>
    <x:col min="11" max="11" width="13" hidden="0" customWidth="1"/>
    <x:col min="12" max="12" width="26" hidden="0" customWidth="1"/>
  </x:cols>
  <x:sheetData>
    <x:row r="1" ht="30" customHeight="1">
      <x:c r="A1" s="2" t="str">
        <x:v>D-5至D+10月结日历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4" customHeight="1">
      <x:c r="A2" s="4" t="str">
        <x:v>公司内部范本，可按实际改为D+3、D+5或D+10。状态、实际完成日、问题编号留给使用者维护。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 ht="28" customHeight="1">
      <x:c r="A4" s="9" t="str">
        <x:v>时间</x:v>
      </x:c>
      <x:c r="B4" s="9" t="str">
        <x:v>阶段</x:v>
      </x:c>
      <x:c r="C4" s="9" t="str">
        <x:v>任务</x:v>
      </x:c>
      <x:c r="D4" s="9" t="str">
        <x:v>输入及依赖</x:v>
      </x:c>
      <x:c r="E4" s="9" t="str">
        <x:v>制作人</x:v>
      </x:c>
      <x:c r="F4" s="9" t="str">
        <x:v>复核人</x:v>
      </x:c>
      <x:c r="G4" s="9" t="str">
        <x:v>输出证据</x:v>
      </x:c>
      <x:c r="H4" s="9" t="str">
        <x:v>完成标准</x:v>
      </x:c>
      <x:c r="I4" s="9" t="str">
        <x:v>状态</x:v>
      </x:c>
      <x:c r="J4" s="9" t="str">
        <x:v>实际完成日</x:v>
      </x:c>
      <x:c r="K4" s="9" t="str">
        <x:v>问题编号</x:v>
      </x:c>
      <x:c r="L4" s="9" t="str">
        <x:v>备注</x:v>
      </x:c>
    </x:row>
    <x:row r="5" ht="58" customHeight="1">
      <x:c r="A5" s="13" t="str">
        <x:v>D-5</x:v>
      </x:c>
      <x:c r="B5" s="13" t="str">
        <x:v>预结</x:v>
      </x:c>
      <x:c r="C5" s="13" t="str">
        <x:v>发布关账通知 更新任务依赖</x:v>
      </x:c>
      <x:c r="D5" s="13" t="str">
        <x:v>报表提交日 上月问题</x:v>
      </x:c>
      <x:c r="E5" s="13" t="str">
        <x:v>财务主管</x:v>
      </x:c>
      <x:c r="F5" s="13" t="str">
        <x:v>财务负责人</x:v>
      </x:c>
      <x:c r="G5" s="13" t="str">
        <x:v>关账日历</x:v>
      </x:c>
      <x:c r="H5" s="13" t="str">
        <x:v>责任人和截止时间已确认</x:v>
      </x:c>
      <x:c r="I5" s="13" t="str">
        <x:v>未开始</x:v>
      </x:c>
      <x:c r="J5" s="18" t="str"/>
      <x:c r="K5" s="13" t="str"/>
      <x:c r="L5" s="13" t="str"/>
    </x:row>
    <x:row r="6" ht="58" customHeight="1">
      <x:c r="A6" s="13" t="str">
        <x:v>D-4</x:v>
      </x:c>
      <x:c r="B6" s="13" t="str">
        <x:v>预结</x:v>
      </x:c>
      <x:c r="C6" s="13" t="str">
        <x:v>预跑账龄 暂估 负库存 资产和税费异常</x:v>
      </x:c>
      <x:c r="D6" s="13" t="str">
        <x:v>ERP明细 上月台账</x:v>
      </x:c>
      <x:c r="E6" s="13" t="str">
        <x:v>总账会计</x:v>
      </x:c>
      <x:c r="F6" s="13" t="str">
        <x:v>财务主管</x:v>
      </x:c>
      <x:c r="G6" s="13" t="str">
        <x:v>预结异常清单</x:v>
      </x:c>
      <x:c r="H6" s="13" t="str">
        <x:v>高风险事项已指派</x:v>
      </x:c>
      <x:c r="I6" s="13" t="str">
        <x:v>未开始</x:v>
      </x:c>
      <x:c r="J6" s="18" t="str"/>
      <x:c r="K6" s="13" t="str"/>
      <x:c r="L6" s="13" t="str"/>
    </x:row>
    <x:row r="7" ht="58" customHeight="1">
      <x:c r="A7" s="13" t="str">
        <x:v>D-3</x:v>
      </x:c>
      <x:c r="B7" s="13" t="str">
        <x:v>预结</x:v>
      </x:c>
      <x:c r="C7" s="13" t="str">
        <x:v>收集未开票收货和服务计提</x:v>
      </x:c>
      <x:c r="D7" s="13" t="str">
        <x:v>采购 仓库 业务确认</x:v>
      </x:c>
      <x:c r="E7" s="13" t="str">
        <x:v>应付会计</x:v>
      </x:c>
      <x:c r="F7" s="13" t="str">
        <x:v>总账会计</x:v>
      </x:c>
      <x:c r="G7" s="13" t="str">
        <x:v>暂估初稿</x:v>
      </x:c>
      <x:c r="H7" s="13" t="str">
        <x:v>逐项有合同验收和金额依据</x:v>
      </x:c>
      <x:c r="I7" s="13" t="str">
        <x:v>未开始</x:v>
      </x:c>
      <x:c r="J7" s="18" t="str"/>
      <x:c r="K7" s="13" t="str"/>
      <x:c r="L7" s="13" t="str"/>
    </x:row>
    <x:row r="8" ht="58" customHeight="1">
      <x:c r="A8" s="13" t="str">
        <x:v>D-2</x:v>
      </x:c>
      <x:c r="B8" s="13" t="str">
        <x:v>截止</x:v>
      </x:c>
      <x:c r="C8" s="13" t="str">
        <x:v>确认最后收发货和验收序号</x:v>
      </x:c>
      <x:c r="D8" s="13" t="str">
        <x:v>仓库 销售 采购</x:v>
      </x:c>
      <x:c r="E8" s="13" t="str">
        <x:v>库存和收入会计</x:v>
      </x:c>
      <x:c r="F8" s="13" t="str">
        <x:v>总账会计</x:v>
      </x:c>
      <x:c r="G8" s="13" t="str">
        <x:v>截止清单</x:v>
      </x:c>
      <x:c r="H8" s="13" t="str">
        <x:v>单据连续且倒签受控</x:v>
      </x:c>
      <x:c r="I8" s="13" t="str">
        <x:v>未开始</x:v>
      </x:c>
      <x:c r="J8" s="18" t="str"/>
      <x:c r="K8" s="13" t="str"/>
      <x:c r="L8" s="13" t="str"/>
    </x:row>
    <x:row r="9" ht="58" customHeight="1">
      <x:c r="A9" s="13" t="str">
        <x:v>D-1</x:v>
      </x:c>
      <x:c r="B9" s="13" t="str">
        <x:v>截止</x:v>
      </x:c>
      <x:c r="C9" s="13" t="str">
        <x:v>现金存货抽盘 工资资产数据锁定</x:v>
      </x:c>
      <x:c r="D9" s="13" t="str">
        <x:v>盘点表 工资表 资产卡片</x:v>
      </x:c>
      <x:c r="E9" s="13" t="str">
        <x:v>各模块会计</x:v>
      </x:c>
      <x:c r="F9" s="13" t="str">
        <x:v>总账会计</x:v>
      </x:c>
      <x:c r="G9" s="13" t="str">
        <x:v>盘点和锁定证据</x:v>
      </x:c>
      <x:c r="H9" s="13" t="str">
        <x:v>差异已记录</x:v>
      </x:c>
      <x:c r="I9" s="13" t="str">
        <x:v>未开始</x:v>
      </x:c>
      <x:c r="J9" s="18" t="str"/>
      <x:c r="K9" s="13" t="str"/>
      <x:c r="L9" s="13" t="str"/>
    </x:row>
    <x:row r="10" ht="58" customHeight="1">
      <x:c r="A10" s="13" t="str">
        <x:v>D0</x:v>
      </x:c>
      <x:c r="B10" s="13" t="str">
        <x:v>截止</x:v>
      </x:c>
      <x:c r="C10" s="13" t="str">
        <x:v>完成当月业务单据并保存截止快照</x:v>
      </x:c>
      <x:c r="D10" s="13" t="str">
        <x:v>业务系统和ERP</x:v>
      </x:c>
      <x:c r="E10" s="13" t="str">
        <x:v>各模块会计</x:v>
      </x:c>
      <x:c r="F10" s="13" t="str">
        <x:v>财务主管</x:v>
      </x:c>
      <x:c r="G10" s="13" t="str">
        <x:v>月末快照</x:v>
      </x:c>
      <x:c r="H10" s="13" t="str">
        <x:v>关键系统截止一致</x:v>
      </x:c>
      <x:c r="I10" s="13" t="str">
        <x:v>未开始</x:v>
      </x:c>
      <x:c r="J10" s="18" t="str"/>
      <x:c r="K10" s="13" t="str"/>
      <x:c r="L10" s="13" t="str"/>
    </x:row>
    <x:row r="11" ht="58" customHeight="1">
      <x:c r="A11" s="13" t="str">
        <x:v>D+1</x:v>
      </x:c>
      <x:c r="B11" s="13" t="str">
        <x:v>子模块</x:v>
      </x:c>
      <x:c r="C11" s="13" t="str">
        <x:v>完成AP AR 费用 资金 薪酬 资产 库存接口</x:v>
      </x:c>
      <x:c r="D11" s="13" t="str">
        <x:v>子模块完成确认</x:v>
      </x:c>
      <x:c r="E11" s="13" t="str">
        <x:v>各模块会计</x:v>
      </x:c>
      <x:c r="F11" s="13" t="str">
        <x:v>总账会计</x:v>
      </x:c>
      <x:c r="G11" s="13" t="str">
        <x:v>接口控制表</x:v>
      </x:c>
      <x:c r="H11" s="13" t="str">
        <x:v>批次数 记录数 金额 错误为零</x:v>
      </x:c>
      <x:c r="I11" s="13" t="str">
        <x:v>未开始</x:v>
      </x:c>
      <x:c r="J11" s="18" t="str"/>
      <x:c r="K11" s="13" t="str"/>
      <x:c r="L11" s="13" t="str"/>
    </x:row>
    <x:row r="12" ht="58" customHeight="1">
      <x:c r="A12" s="13" t="str">
        <x:v>D+2</x:v>
      </x:c>
      <x:c r="B12" s="13" t="str">
        <x:v>调整</x:v>
      </x:c>
      <x:c r="C12" s="13" t="str">
        <x:v>暂估 计提 摊销 折旧 利息 税费 外币重估</x:v>
      </x:c>
      <x:c r="D12" s="13" t="str">
        <x:v>估计底稿 合同 台账</x:v>
      </x:c>
      <x:c r="E12" s="13" t="str">
        <x:v>总账会计</x:v>
      </x:c>
      <x:c r="F12" s="13" t="str">
        <x:v>财务主管</x:v>
      </x:c>
      <x:c r="G12" s="13" t="str">
        <x:v>调整分录清单</x:v>
      </x:c>
      <x:c r="H12" s="13" t="str">
        <x:v>重大分录有依据和审批</x:v>
      </x:c>
      <x:c r="I12" s="13" t="str">
        <x:v>未开始</x:v>
      </x:c>
      <x:c r="J12" s="18" t="str"/>
      <x:c r="K12" s="13" t="str"/>
      <x:c r="L12" s="13" t="str"/>
    </x:row>
    <x:row r="13" ht="58" customHeight="1">
      <x:c r="A13" s="13" t="str">
        <x:v>D+3</x:v>
      </x:c>
      <x:c r="B13" s="13" t="str">
        <x:v>成本</x:v>
      </x:c>
      <x:c r="C13" s="13" t="str">
        <x:v>成本归集 分配 完工和销售成本结转</x:v>
      </x:c>
      <x:c r="D13" s="13" t="str">
        <x:v>领料 工时 产量 在产品</x:v>
      </x:c>
      <x:c r="E13" s="13" t="str">
        <x:v>成本会计</x:v>
      </x:c>
      <x:c r="F13" s="13" t="str">
        <x:v>总账会计</x:v>
      </x:c>
      <x:c r="G13" s="13" t="str">
        <x:v>成本计算表</x:v>
      </x:c>
      <x:c r="H13" s="13" t="str">
        <x:v>库存成本总账可勾稽</x:v>
      </x:c>
      <x:c r="I13" s="13" t="str">
        <x:v>未开始</x:v>
      </x:c>
      <x:c r="J13" s="18" t="str"/>
      <x:c r="K13" s="13" t="str"/>
      <x:c r="L13" s="13" t="str"/>
    </x:row>
    <x:row r="14" ht="58" customHeight="1">
      <x:c r="A14" s="13" t="str">
        <x:v>D+4</x:v>
      </x:c>
      <x:c r="B14" s="13" t="str">
        <x:v>核对</x:v>
      </x:c>
      <x:c r="C14" s="13" t="str">
        <x:v>全科目核对和差异跟踪</x:v>
      </x:c>
      <x:c r="D14" s="13" t="str">
        <x:v>明细账 外部对账 业务台账</x:v>
      </x:c>
      <x:c r="E14" s="13" t="str">
        <x:v>总账会计</x:v>
      </x:c>
      <x:c r="F14" s="13" t="str">
        <x:v>财务主管</x:v>
      </x:c>
      <x:c r="G14" s="13" t="str">
        <x:v>余额调节表</x:v>
      </x:c>
      <x:c r="H14" s="13" t="str">
        <x:v>差异为零或获批</x:v>
      </x:c>
      <x:c r="I14" s="13" t="str">
        <x:v>未开始</x:v>
      </x:c>
      <x:c r="J14" s="18" t="str"/>
      <x:c r="K14" s="13" t="str"/>
      <x:c r="L14" s="13" t="str"/>
    </x:row>
    <x:row r="15" ht="58" customHeight="1">
      <x:c r="A15" s="13" t="str">
        <x:v>D+5</x:v>
      </x:c>
      <x:c r="B15" s="13" t="str">
        <x:v>分析</x:v>
      </x:c>
      <x:c r="C15" s="13" t="str">
        <x:v>试算平衡 初版报表 异常和波动分析</x:v>
      </x:c>
      <x:c r="D15" s="13" t="str">
        <x:v>最终凭证 预算 业务指标</x:v>
      </x:c>
      <x:c r="E15" s="13" t="str">
        <x:v>总账会计</x:v>
      </x:c>
      <x:c r="F15" s="13" t="str">
        <x:v>财务主管</x:v>
      </x:c>
      <x:c r="G15" s="13" t="str">
        <x:v>初版报表 分析</x:v>
      </x:c>
      <x:c r="H15" s="13" t="str">
        <x:v>重大波动有证据</x:v>
      </x:c>
      <x:c r="I15" s="13" t="str">
        <x:v>未开始</x:v>
      </x:c>
      <x:c r="J15" s="18" t="str"/>
      <x:c r="K15" s="13" t="str"/>
      <x:c r="L15" s="13" t="str"/>
    </x:row>
    <x:row r="16" ht="58" customHeight="1">
      <x:c r="A16" s="13" t="str">
        <x:v>D+6</x:v>
      </x:c>
      <x:c r="B16" s="13" t="str">
        <x:v>报告</x:v>
      </x:c>
      <x:c r="C16" s="13" t="str">
        <x:v>三表 附注 集团包及账税勾稽复核</x:v>
      </x:c>
      <x:c r="D16" s="13" t="str">
        <x:v>试算平衡和调节表</x:v>
      </x:c>
      <x:c r="E16" s="13" t="str">
        <x:v>总账会计</x:v>
      </x:c>
      <x:c r="F16" s="13" t="str">
        <x:v>财务主管</x:v>
      </x:c>
      <x:c r="G16" s="13" t="str">
        <x:v>报表勾稽表</x:v>
      </x:c>
      <x:c r="H16" s="13" t="str">
        <x:v>版本一致 勾稽通过</x:v>
      </x:c>
      <x:c r="I16" s="13" t="str">
        <x:v>未开始</x:v>
      </x:c>
      <x:c r="J16" s="18" t="str"/>
      <x:c r="K16" s="13" t="str"/>
      <x:c r="L16" s="13" t="str"/>
    </x:row>
    <x:row r="17" ht="58" customHeight="1">
      <x:c r="A17" s="13" t="str">
        <x:v>D+7</x:v>
      </x:c>
      <x:c r="B17" s="13" t="str">
        <x:v>锁账</x:v>
      </x:c>
      <x:c r="C17" s="13" t="str">
        <x:v>签批 发布报表 锁定期间</x:v>
      </x:c>
      <x:c r="D17" s="13" t="str">
        <x:v>关账包 未决事项</x:v>
      </x:c>
      <x:c r="E17" s="13" t="str">
        <x:v>财务主管</x:v>
      </x:c>
      <x:c r="F17" s="13" t="str">
        <x:v>财务负责人</x:v>
      </x:c>
      <x:c r="G17" s="13" t="str">
        <x:v>签批和锁账记录</x:v>
      </x:c>
      <x:c r="H17" s="13" t="str">
        <x:v>重大事项关闭或批准</x:v>
      </x:c>
      <x:c r="I17" s="13" t="str">
        <x:v>未开始</x:v>
      </x:c>
      <x:c r="J17" s="18" t="str"/>
      <x:c r="K17" s="13" t="str"/>
      <x:c r="L17" s="13" t="str"/>
    </x:row>
    <x:row r="18" ht="58" customHeight="1">
      <x:c r="A18" s="13" t="str">
        <x:v>D+8至D+10</x:v>
      </x:c>
      <x:c r="B18" s="13" t="str">
        <x:v>关账后</x:v>
      </x:c>
      <x:c r="C18" s="13" t="str">
        <x:v>管理分析 复盘 更新下月行动</x:v>
      </x:c>
      <x:c r="D18" s="13" t="str">
        <x:v>正式报表 问题台账</x:v>
      </x:c>
      <x:c r="E18" s="13" t="str">
        <x:v>财务主管</x:v>
      </x:c>
      <x:c r="F18" s="13" t="str">
        <x:v>财务负责人</x:v>
      </x:c>
      <x:c r="G18" s="13" t="str">
        <x:v>管理分析 复盘</x:v>
      </x:c>
      <x:c r="H18" s="13" t="str">
        <x:v>根因和改进责任明确</x:v>
      </x:c>
      <x:c r="I18" s="13" t="str">
        <x:v>未开始</x:v>
      </x:c>
      <x:c r="J18" s="18" t="str"/>
      <x:c r="K18" s="13" t="str"/>
      <x:c r="L18" s="13" t="str"/>
    </x:row>
  </x:sheetData>
  <x:mergeCells>
    <x:mergeCell ref="A1:L1"/>
    <x:mergeCell ref="A2:L2"/>
  </x:mergeCells>
  <x:dataValidations count="1">
    <x:dataValidation type="list" sqref="I5:I18">
      <x:formula1>"未开始,进行中,已完成,阻塞,不适用"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c695842dd4ac6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28" hidden="0" customWidth="1"/>
    <x:col min="4" max="4" width="28" hidden="0" customWidth="1"/>
    <x:col min="5" max="5" width="25" hidden="0" customWidth="1"/>
    <x:col min="6" max="6" width="36" hidden="0" customWidth="1"/>
    <x:col min="7" max="7" width="28" hidden="0" customWidth="1"/>
    <x:col min="8" max="8" width="27" hidden="0" customWidth="1"/>
    <x:col min="9" max="9" width="25" hidden="0" customWidth="1"/>
    <x:col min="10" max="10" width="28" hidden="0" customWidth="1"/>
    <x:col min="11" max="11" width="15" hidden="0" customWidth="1"/>
    <x:col min="12" max="12" width="12" hidden="0" customWidth="1"/>
    <x:col min="13" max="13" width="30" hidden="0" customWidth="1"/>
  </x:cols>
  <x:sheetData>
    <x:row r="1" ht="30" customHeight="1">
      <x:c r="A1" s="2" t="str">
        <x:v>月结模块检查清单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4" customHeight="1">
      <x:c r="A2" s="4" t="str">
        <x:v>沿业务发生、原始单据、系统、会计判断、分录税务、对账、报表和风险闭环。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28" customHeight="1">
      <x:c r="A4" s="9" t="str">
        <x:v>编号</x:v>
      </x:c>
      <x:c r="B4" s="9" t="str">
        <x:v>模块</x:v>
      </x:c>
      <x:c r="C4" s="9" t="str">
        <x:v>检查事项</x:v>
      </x:c>
      <x:c r="D4" s="9" t="str">
        <x:v>原始单据</x:v>
      </x:c>
      <x:c r="E4" s="9" t="str">
        <x:v>系统或数据</x:v>
      </x:c>
      <x:c r="F4" s="9" t="str">
        <x:v>会计判断或分录</x:v>
      </x:c>
      <x:c r="G4" s="9" t="str">
        <x:v>税务处理</x:v>
      </x:c>
      <x:c r="H4" s="9" t="str">
        <x:v>对账对象</x:v>
      </x:c>
      <x:c r="I4" s="9" t="str">
        <x:v>报表影响</x:v>
      </x:c>
      <x:c r="J4" s="9" t="str">
        <x:v>风险点</x:v>
      </x:c>
      <x:c r="K4" s="9" t="str">
        <x:v>建议日</x:v>
      </x:c>
      <x:c r="L4" s="9" t="str">
        <x:v>状态</x:v>
      </x:c>
      <x:c r="M4" s="9" t="str">
        <x:v>证据位置</x:v>
      </x:c>
    </x:row>
    <x:row r="5" ht="68" customHeight="1">
      <x:c r="A5" s="13" t="str">
        <x:v>C01</x:v>
      </x:c>
      <x:c r="B5" s="13" t="str">
        <x:v>资金</x:v>
      </x:c>
      <x:c r="C5" s="13" t="str">
        <x:v>银行余额及未达账</x:v>
      </x:c>
      <x:c r="D5" s="13" t="str">
        <x:v>对账单 回单 现金盘点</x:v>
      </x:c>
      <x:c r="E5" s="13" t="str">
        <x:v>网银 资金模块 GL</x:v>
      </x:c>
      <x:c r="F5" s="13" t="str">
        <x:v>补记手续费 利息 未达不直接调账</x:v>
      </x:c>
      <x:c r="G5" s="13" t="str">
        <x:v>利息和手续费凭证</x:v>
      </x:c>
      <x:c r="H5" s="13" t="str">
        <x:v>银行对账单</x:v>
      </x:c>
      <x:c r="I5" s="13" t="str">
        <x:v>货币资金 现金流</x:v>
      </x:c>
      <x:c r="J5" s="13" t="str">
        <x:v>长期未达 受限资金漏披露</x:v>
      </x:c>
      <x:c r="K5" s="13" t="str">
        <x:v>D+1至D+4</x:v>
      </x:c>
      <x:c r="L5" s="13" t="str">
        <x:v>未开始</x:v>
      </x:c>
      <x:c r="M5" s="13" t="str"/>
    </x:row>
    <x:row r="6" ht="68" customHeight="1">
      <x:c r="A6" s="13" t="str">
        <x:v>C02</x:v>
      </x:c>
      <x:c r="B6" s="13" t="str">
        <x:v>采购应付</x:v>
      </x:c>
      <x:c r="C6" s="13" t="str">
        <x:v>未开票收货暂估</x:v>
      </x:c>
      <x:c r="D6" s="13" t="str">
        <x:v>合同 PO 入库 验收</x:v>
      </x:c>
      <x:c r="E6" s="13" t="str">
        <x:v>采购库存 AP GL</x:v>
      </x:c>
      <x:c r="F6" s="13" t="str">
        <x:v>按已发生义务暂估 次月匹配冲回</x:v>
      </x:c>
      <x:c r="G6" s="13" t="str">
        <x:v>进项抵扣与会计确认分开</x:v>
      </x:c>
      <x:c r="H6" s="13" t="str">
        <x:v>收货 发票 供应商</x:v>
      </x:c>
      <x:c r="I6" s="13" t="str">
        <x:v>存货 应付 成本</x:v>
      </x:c>
      <x:c r="J6" s="13" t="str">
        <x:v>漏提 重复暂估 价格差</x:v>
      </x:c>
      <x:c r="K6" s="13" t="str">
        <x:v>D+2</x:v>
      </x:c>
      <x:c r="L6" s="13" t="str">
        <x:v>未开始</x:v>
      </x:c>
      <x:c r="M6" s="13" t="str"/>
    </x:row>
    <x:row r="7" ht="68" customHeight="1">
      <x:c r="A7" s="13" t="str">
        <x:v>C03</x:v>
      </x:c>
      <x:c r="B7" s="13" t="str">
        <x:v>销售应收</x:v>
      </x:c>
      <x:c r="C7" s="13" t="str">
        <x:v>收入和发货截止</x:v>
      </x:c>
      <x:c r="D7" s="13" t="str">
        <x:v>合同 发货 签收 验收</x:v>
      </x:c>
      <x:c r="E7" s="13" t="str">
        <x:v>销售 AR GL 发票</x:v>
      </x:c>
      <x:c r="F7" s="13" t="str">
        <x:v>按履约和控制权判断收入</x:v>
      </x:c>
      <x:c r="G7" s="13" t="str">
        <x:v>核对纳税义务和开票</x:v>
      </x:c>
      <x:c r="H7" s="13" t="str">
        <x:v>销售 发票 回款 客户</x:v>
      </x:c>
      <x:c r="I7" s="13" t="str">
        <x:v>收入 应收 税费</x:v>
      </x:c>
      <x:c r="J7" s="13" t="str">
        <x:v>提前收入 未开票漏税 退货</x:v>
      </x:c>
      <x:c r="K7" s="13" t="str">
        <x:v>D0至D+2</x:v>
      </x:c>
      <x:c r="L7" s="13" t="str">
        <x:v>未开始</x:v>
      </x:c>
      <x:c r="M7" s="13" t="str"/>
    </x:row>
    <x:row r="8" ht="68" customHeight="1">
      <x:c r="A8" s="13" t="str">
        <x:v>C04</x:v>
      </x:c>
      <x:c r="B8" s="13" t="str">
        <x:v>费用</x:v>
      </x:c>
      <x:c r="C8" s="13" t="str">
        <x:v>服务费用和预付摊销</x:v>
      </x:c>
      <x:c r="D8" s="13" t="str">
        <x:v>合同 验收 账单 预算</x:v>
      </x:c>
      <x:c r="E8" s="13" t="str">
        <x:v>费用 OA AP GL</x:v>
      </x:c>
      <x:c r="F8" s="13" t="str">
        <x:v>已接受服务计提 跨期费用摊销</x:v>
      </x:c>
      <x:c r="G8" s="13" t="str">
        <x:v>税前扣除凭证另核</x:v>
      </x:c>
      <x:c r="H8" s="13" t="str">
        <x:v>业务台账 合同</x:v>
      </x:c>
      <x:c r="I8" s="13" t="str">
        <x:v>期间费用 应付 预付</x:v>
      </x:c>
      <x:c r="J8" s="13" t="str">
        <x:v>只按发票入账 计提无依据</x:v>
      </x:c>
      <x:c r="K8" s="13" t="str">
        <x:v>D+2</x:v>
      </x:c>
      <x:c r="L8" s="13" t="str">
        <x:v>未开始</x:v>
      </x:c>
      <x:c r="M8" s="13" t="str"/>
    </x:row>
    <x:row r="9" ht="68" customHeight="1">
      <x:c r="A9" s="13" t="str">
        <x:v>C05</x:v>
      </x:c>
      <x:c r="B9" s="13" t="str">
        <x:v>薪酬</x:v>
      </x:c>
      <x:c r="C9" s="13" t="str">
        <x:v>工资奖金社保个税</x:v>
      </x:c>
      <x:c r="D9" s="13" t="str">
        <x:v>工资表 人员 考勤 审批</x:v>
      </x:c>
      <x:c r="E9" s="13" t="str">
        <x:v>HR 薪酬 GL 个税</x:v>
      </x:c>
      <x:c r="F9" s="13" t="str">
        <x:v>按受益对象计提和分配</x:v>
      </x:c>
      <x:c r="G9" s="13" t="str">
        <x:v>次月个税扣缴申报核对</x:v>
      </x:c>
      <x:c r="H9" s="13" t="str">
        <x:v>工资 银行 个税 社保</x:v>
      </x:c>
      <x:c r="I9" s="13" t="str">
        <x:v>成本费用 应付职工薪酬</x:v>
      </x:c>
      <x:c r="J9" s="13" t="str">
        <x:v>人员差异 奖金无依据</x:v>
      </x:c>
      <x:c r="K9" s="13" t="str">
        <x:v>D+2至D+4</x:v>
      </x:c>
      <x:c r="L9" s="13" t="str">
        <x:v>未开始</x:v>
      </x:c>
      <x:c r="M9" s="13" t="str"/>
    </x:row>
    <x:row r="10" ht="68" customHeight="1">
      <x:c r="A10" s="13" t="str">
        <x:v>C06</x:v>
      </x:c>
      <x:c r="B10" s="13" t="str">
        <x:v>固定资产</x:v>
      </x:c>
      <x:c r="C10" s="13" t="str">
        <x:v>增减变动折旧转固减值</x:v>
      </x:c>
      <x:c r="D10" s="13" t="str">
        <x:v>验收 投产 处置 盘点</x:v>
      </x:c>
      <x:c r="E10" s="13" t="str">
        <x:v>资产模块 项目 GL</x:v>
      </x:c>
      <x:c r="F10" s="13" t="str">
        <x:v>确定可使用状态 折旧和减值</x:v>
      </x:c>
      <x:c r="G10" s="13" t="str">
        <x:v>税法折旧差异台账</x:v>
      </x:c>
      <x:c r="H10" s="13" t="str">
        <x:v>资产台账 实物 GL</x:v>
      </x:c>
      <x:c r="I10" s="13" t="str">
        <x:v>资产 折旧 费用</x:v>
      </x:c>
      <x:c r="J10" s="13" t="str">
        <x:v>已投产未转固 闲置未评估</x:v>
      </x:c>
      <x:c r="K10" s="13" t="str">
        <x:v>D+2至D+4</x:v>
      </x:c>
      <x:c r="L10" s="13" t="str">
        <x:v>未开始</x:v>
      </x:c>
      <x:c r="M10" s="13" t="str"/>
    </x:row>
    <x:row r="11" ht="68" customHeight="1">
      <x:c r="A11" s="13" t="str">
        <x:v>C07</x:v>
      </x:c>
      <x:c r="B11" s="13" t="str">
        <x:v>存货成本</x:v>
      </x:c>
      <x:c r="C11" s="13" t="str">
        <x:v>成本归集完工在产品销售成本</x:v>
      </x:c>
      <x:c r="D11" s="13" t="str">
        <x:v>领料 工时 产量 盘点</x:v>
      </x:c>
      <x:c r="E11" s="13" t="str">
        <x:v>仓储 生产 成本 GL</x:v>
      </x:c>
      <x:c r="F11" s="13" t="str">
        <x:v>按政策分配并复核在产品</x:v>
      </x:c>
      <x:c r="G11" s="13" t="str">
        <x:v>成本凭证与扣除条件</x:v>
      </x:c>
      <x:c r="H11" s="13" t="str">
        <x:v>数量 金额 成本模块 GL</x:v>
      </x:c>
      <x:c r="I11" s="13" t="str">
        <x:v>存货 成本 毛利</x:v>
      </x:c>
      <x:c r="J11" s="13" t="str">
        <x:v>负库存 倒挤成本 异常损耗</x:v>
      </x:c>
      <x:c r="K11" s="13" t="str">
        <x:v>D+3至D+5</x:v>
      </x:c>
      <x:c r="L11" s="13" t="str">
        <x:v>未开始</x:v>
      </x:c>
      <x:c r="M11" s="13" t="str"/>
    </x:row>
    <x:row r="12" ht="68" customHeight="1">
      <x:c r="A12" s="13" t="str">
        <x:v>C08</x:v>
      </x:c>
      <x:c r="B12" s="13" t="str">
        <x:v>往来</x:v>
      </x:c>
      <x:c r="C12" s="13" t="str">
        <x:v>账龄性质和清理</x:v>
      </x:c>
      <x:c r="D12" s="13" t="str">
        <x:v>对账单 合同 回款付款</x:v>
      </x:c>
      <x:c r="E12" s="13" t="str">
        <x:v>AR AP GL</x:v>
      </x:c>
      <x:c r="F12" s="13" t="str">
        <x:v>重分类 减值 核销须有审批</x:v>
      </x:c>
      <x:c r="G12" s="13" t="str">
        <x:v>坏账和核销税务资料</x:v>
      </x:c>
      <x:c r="H12" s="13" t="str">
        <x:v>客户供应商关联方</x:v>
      </x:c>
      <x:c r="I12" s="13" t="str">
        <x:v>往来 减值 披露</x:v>
      </x:c>
      <x:c r="J12" s="13" t="str">
        <x:v>负数 长期挂账 串户</x:v>
      </x:c>
      <x:c r="K12" s="13" t="str">
        <x:v>D+4</x:v>
      </x:c>
      <x:c r="L12" s="13" t="str">
        <x:v>未开始</x:v>
      </x:c>
      <x:c r="M12" s="13" t="str"/>
    </x:row>
    <x:row r="13" ht="68" customHeight="1">
      <x:c r="A13" s="13" t="str">
        <x:v>C09</x:v>
      </x:c>
      <x:c r="B13" s="13" t="str">
        <x:v>税务</x:v>
      </x:c>
      <x:c r="C13" s="13" t="str">
        <x:v>账票表款四层核对</x:v>
      </x:c>
      <x:c r="D13" s="13" t="str">
        <x:v>发票 申报表 完税凭证</x:v>
      </x:c>
      <x:c r="E13" s="13" t="str">
        <x:v>税务平台 发票平台 GL</x:v>
      </x:c>
      <x:c r="F13" s="13" t="str">
        <x:v>建立差异桥接 不机械求相等</x:v>
      </x:c>
      <x:c r="G13" s="13" t="str">
        <x:v>增值税 所得税 个税 印花税</x:v>
      </x:c>
      <x:c r="H13" s="13" t="str">
        <x:v>发票 申报 银行 GL</x:v>
      </x:c>
      <x:c r="I13" s="13" t="str">
        <x:v>税费 利润 现金流</x:v>
      </x:c>
      <x:c r="J13" s="13" t="str">
        <x:v>漏报 错期 异常凭证</x:v>
      </x:c>
      <x:c r="K13" s="13" t="str">
        <x:v>D+4至申报前</x:v>
      </x:c>
      <x:c r="L13" s="13" t="str">
        <x:v>未开始</x:v>
      </x:c>
      <x:c r="M13" s="13" t="str"/>
    </x:row>
    <x:row r="14" ht="68" customHeight="1">
      <x:c r="A14" s="13" t="str">
        <x:v>C10</x:v>
      </x:c>
      <x:c r="B14" s="13" t="str">
        <x:v>融资外币</x:v>
      </x:c>
      <x:c r="C14" s="13" t="str">
        <x:v>本金利息汇兑和分类</x:v>
      </x:c>
      <x:c r="D14" s="13" t="str">
        <x:v>合同 对账单 汇率</x:v>
      </x:c>
      <x:c r="E14" s="13" t="str">
        <x:v>资金 外币重估 GL</x:v>
      </x:c>
      <x:c r="F14" s="13" t="str">
        <x:v>计提利息 外币重估 长短期分类</x:v>
      </x:c>
      <x:c r="G14" s="13" t="str">
        <x:v>利息扣除条件</x:v>
      </x:c>
      <x:c r="H14" s="13" t="str">
        <x:v>合同 银行 GL</x:v>
      </x:c>
      <x:c r="I14" s="13" t="str">
        <x:v>借款 财务费用</x:v>
      </x:c>
      <x:c r="J14" s="13" t="str">
        <x:v>漏提利息 汇率错误</x:v>
      </x:c>
      <x:c r="K14" s="13" t="str">
        <x:v>D+2至D+4</x:v>
      </x:c>
      <x:c r="L14" s="13" t="str">
        <x:v>未开始</x:v>
      </x:c>
      <x:c r="M14" s="13" t="str"/>
    </x:row>
    <x:row r="15" ht="68" customHeight="1">
      <x:c r="A15" s="13" t="str">
        <x:v>C11</x:v>
      </x:c>
      <x:c r="B15" s="13" t="str">
        <x:v>报表</x:v>
      </x:c>
      <x:c r="C15" s="13" t="str">
        <x:v>试算映射三表附注勾稽</x:v>
      </x:c>
      <x:c r="D15" s="13" t="str">
        <x:v>最终TB 报表映射</x:v>
      </x:c>
      <x:c r="E15" s="13" t="str">
        <x:v>GL 报表 合并</x:v>
      </x:c>
      <x:c r="F15" s="13" t="str">
        <x:v>重分类 抵销 调整有依据</x:v>
      </x:c>
      <x:c r="G15" s="13" t="str">
        <x:v>申报表与报表桥接</x:v>
      </x:c>
      <x:c r="H15" s="13" t="str">
        <x:v>TB 报表 集团包</x:v>
      </x:c>
      <x:c r="I15" s="13" t="str">
        <x:v>三表和附注</x:v>
      </x:c>
      <x:c r="J15" s="13" t="str">
        <x:v>版本不一致 公式错</x:v>
      </x:c>
      <x:c r="K15" s="13" t="str">
        <x:v>D+5至D+6</x:v>
      </x:c>
      <x:c r="L15" s="13" t="str">
        <x:v>未开始</x:v>
      </x:c>
      <x:c r="M15" s="13" t="str"/>
    </x:row>
    <x:row r="16" ht="68" customHeight="1">
      <x:c r="A16" s="13" t="str">
        <x:v>C12</x:v>
      </x:c>
      <x:c r="B16" s="13" t="str">
        <x:v>锁账归档</x:v>
      </x:c>
      <x:c r="C16" s="13" t="str">
        <x:v>签批锁账和更正</x:v>
      </x:c>
      <x:c r="D16" s="13" t="str">
        <x:v>关账包 审批</x:v>
      </x:c>
      <x:c r="E16" s="13" t="str">
        <x:v>ERP期间 档案系统</x:v>
      </x:c>
      <x:c r="F16" s="13" t="str">
        <x:v>重开需说明原因影响</x:v>
      </x:c>
      <x:c r="G16" s="13" t="str">
        <x:v>更正影响税务时同步评估</x:v>
      </x:c>
      <x:c r="H16" s="13" t="str">
        <x:v>分录 报表 审批</x:v>
      </x:c>
      <x:c r="I16" s="13" t="str">
        <x:v>全部报表</x:v>
      </x:c>
      <x:c r="J16" s="13" t="str">
        <x:v>静默改账 证据缺失</x:v>
      </x:c>
      <x:c r="K16" s="13" t="str">
        <x:v>D+7</x:v>
      </x:c>
      <x:c r="L16" s="13" t="str">
        <x:v>未开始</x:v>
      </x:c>
      <x:c r="M16" s="13" t="str"/>
    </x:row>
  </x:sheetData>
  <x:mergeCells>
    <x:mergeCell ref="A1:M1"/>
    <x:mergeCell ref="A2:M2"/>
  </x:mergeCells>
  <x:dataValidations count="1">
    <x:dataValidation type="list" sqref="L5:L16">
      <x:formula1>"未开始,进行中,已完成,阻塞,不适用"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1bb203f715454d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2" hidden="0" customWidth="1"/>
    <x:col min="9" max="9" width="14" hidden="0" customWidth="1"/>
    <x:col min="10" max="10" width="22" hidden="0" customWidth="1"/>
    <x:col min="11" max="11" width="15" hidden="0" customWidth="1"/>
    <x:col min="12" max="12" width="15" hidden="0" customWidth="1"/>
    <x:col min="13" max="13" width="12" hidden="0" customWidth="1"/>
    <x:col min="14" max="14" width="30" hidden="0" customWidth="1"/>
  </x:cols>
  <x:sheetData>
    <x:row r="1" ht="30" customHeight="1">
      <x:c r="A1" s="2" t="str">
        <x:v>科目对账与报表勾稽底稿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34" customHeight="1">
      <x:c r="A2" s="4" t="str">
        <x:v>先明确账面余额、外部或子系统余额和可解释调整。未解释差异不要直接用分录抹平。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 ht="28" customHeight="1">
      <x:c r="A4" s="9" t="str">
        <x:v>科目或项目</x:v>
      </x:c>
      <x:c r="B4" s="9" t="str">
        <x:v>期末账面余额</x:v>
      </x:c>
      <x:c r="C4" s="9" t="str">
        <x:v>对账来源余额</x:v>
      </x:c>
      <x:c r="D4" s="9" t="str">
        <x:v>时间性差异</x:v>
      </x:c>
      <x:c r="E4" s="9" t="str">
        <x:v>错误差异</x:v>
      </x:c>
      <x:c r="F4" s="9" t="str">
        <x:v>调整后对方余额</x:v>
      </x:c>
      <x:c r="G4" s="9" t="str">
        <x:v>未解释差异</x:v>
      </x:c>
      <x:c r="H4" s="9" t="str">
        <x:v>阈值</x:v>
      </x:c>
      <x:c r="I4" s="9" t="str">
        <x:v>结论</x:v>
      </x:c>
      <x:c r="J4" s="9" t="str">
        <x:v>报表项目</x:v>
      </x:c>
      <x:c r="K4" s="9" t="str">
        <x:v>制作人</x:v>
      </x:c>
      <x:c r="L4" s="9" t="str">
        <x:v>复核人</x:v>
      </x:c>
      <x:c r="M4" s="9" t="str">
        <x:v>状态</x:v>
      </x:c>
      <x:c r="N4" s="9" t="str">
        <x:v>证据位置</x:v>
      </x:c>
    </x:row>
    <x:row r="5" ht="34" customHeight="1">
      <x:c r="A5" s="13" t="str">
        <x:v>库存现金</x:v>
      </x:c>
      <x:c r="B5" s="19" t="str"/>
      <x:c r="C5" s="19" t="str"/>
      <x:c r="D5" s="19" t="str"/>
      <x:c r="E5" s="19" t="str"/>
      <x:c r="F5" s="19" t="str">
        <x:f>IF(COUNT(C5:D5)=0,"",C5+D5)</x:f>
      </x:c>
      <x:c r="G5" s="19" t="str">
        <x:f>IF(COUNT(B5:F5)=0,"",B5-F5-E5)</x:f>
      </x:c>
      <x:c r="H5" s="19" t="str"/>
      <x:c r="I5" s="13" t="str">
        <x:f>IF(G5="","待核对",IF(ABS(G5)&lt;=IF(H5="",0,H5),"通过","需处理"))</x:f>
        <x:v>待核对</x:v>
      </x:c>
      <x:c r="J5" s="13" t="str"/>
      <x:c r="K5" s="13" t="str"/>
      <x:c r="L5" s="13" t="str"/>
      <x:c r="M5" s="13" t="str">
        <x:v>未开始</x:v>
      </x:c>
      <x:c r="N5" s="13" t="str"/>
    </x:row>
    <x:row r="6" ht="34" customHeight="1">
      <x:c r="A6" s="13" t="str">
        <x:v>银行存款</x:v>
      </x:c>
      <x:c r="B6" s="19" t="str"/>
      <x:c r="C6" s="19" t="str"/>
      <x:c r="D6" s="19" t="str"/>
      <x:c r="E6" s="19" t="str"/>
      <x:c r="F6" s="19" t="str">
        <x:f>IF(COUNT(C6:D6)=0,"",C6+D6)</x:f>
      </x:c>
      <x:c r="G6" s="19" t="str">
        <x:f>IF(COUNT(B6:F6)=0,"",B6-F6-E6)</x:f>
      </x:c>
      <x:c r="H6" s="19" t="str"/>
      <x:c r="I6" s="13" t="str">
        <x:f>IF(G6="","待核对",IF(ABS(G6)&lt;=IF(H6="",0,H6),"通过","需处理"))</x:f>
        <x:v>待核对</x:v>
      </x:c>
      <x:c r="J6" s="13" t="str"/>
      <x:c r="K6" s="13" t="str"/>
      <x:c r="L6" s="13" t="str"/>
      <x:c r="M6" s="13" t="str">
        <x:v>未开始</x:v>
      </x:c>
      <x:c r="N6" s="13" t="str"/>
    </x:row>
    <x:row r="7" ht="34" customHeight="1">
      <x:c r="A7" s="13" t="str">
        <x:v>应收账款</x:v>
      </x:c>
      <x:c r="B7" s="19" t="str"/>
      <x:c r="C7" s="19" t="str"/>
      <x:c r="D7" s="19" t="str"/>
      <x:c r="E7" s="19" t="str"/>
      <x:c r="F7" s="19" t="str">
        <x:f>IF(COUNT(C7:D7)=0,"",C7+D7)</x:f>
      </x:c>
      <x:c r="G7" s="19" t="str">
        <x:f>IF(COUNT(B7:F7)=0,"",B7-F7-E7)</x:f>
      </x:c>
      <x:c r="H7" s="19" t="str"/>
      <x:c r="I7" s="13" t="str">
        <x:f>IF(G7="","待核对",IF(ABS(G7)&lt;=IF(H7="",0,H7),"通过","需处理"))</x:f>
        <x:v>待核对</x:v>
      </x:c>
      <x:c r="J7" s="13" t="str"/>
      <x:c r="K7" s="13" t="str"/>
      <x:c r="L7" s="13" t="str"/>
      <x:c r="M7" s="13" t="str">
        <x:v>未开始</x:v>
      </x:c>
      <x:c r="N7" s="13" t="str"/>
    </x:row>
    <x:row r="8" ht="34" customHeight="1">
      <x:c r="A8" s="13" t="str">
        <x:v>合同资产或负债</x:v>
      </x:c>
      <x:c r="B8" s="19" t="str"/>
      <x:c r="C8" s="19" t="str"/>
      <x:c r="D8" s="19" t="str"/>
      <x:c r="E8" s="19" t="str"/>
      <x:c r="F8" s="19" t="str">
        <x:f>IF(COUNT(C8:D8)=0,"",C8+D8)</x:f>
      </x:c>
      <x:c r="G8" s="19" t="str">
        <x:f>IF(COUNT(B8:F8)=0,"",B8-F8-E8)</x:f>
      </x:c>
      <x:c r="H8" s="19" t="str"/>
      <x:c r="I8" s="13" t="str">
        <x:f>IF(G8="","待核对",IF(ABS(G8)&lt;=IF(H8="",0,H8),"通过","需处理"))</x:f>
        <x:v>待核对</x:v>
      </x:c>
      <x:c r="J8" s="13" t="str"/>
      <x:c r="K8" s="13" t="str"/>
      <x:c r="L8" s="13" t="str"/>
      <x:c r="M8" s="13" t="str">
        <x:v>未开始</x:v>
      </x:c>
      <x:c r="N8" s="13" t="str"/>
    </x:row>
    <x:row r="9" ht="34" customHeight="1">
      <x:c r="A9" s="13" t="str">
        <x:v>其他应收款</x:v>
      </x:c>
      <x:c r="B9" s="19" t="str"/>
      <x:c r="C9" s="19" t="str"/>
      <x:c r="D9" s="19" t="str"/>
      <x:c r="E9" s="19" t="str"/>
      <x:c r="F9" s="19" t="str">
        <x:f>IF(COUNT(C9:D9)=0,"",C9+D9)</x:f>
      </x:c>
      <x:c r="G9" s="19" t="str">
        <x:f>IF(COUNT(B9:F9)=0,"",B9-F9-E9)</x:f>
      </x:c>
      <x:c r="H9" s="19" t="str"/>
      <x:c r="I9" s="13" t="str">
        <x:f>IF(G9="","待核对",IF(ABS(G9)&lt;=IF(H9="",0,H9),"通过","需处理"))</x:f>
        <x:v>待核对</x:v>
      </x:c>
      <x:c r="J9" s="13" t="str"/>
      <x:c r="K9" s="13" t="str"/>
      <x:c r="L9" s="13" t="str"/>
      <x:c r="M9" s="13" t="str">
        <x:v>未开始</x:v>
      </x:c>
      <x:c r="N9" s="13" t="str"/>
    </x:row>
    <x:row r="10" ht="34" customHeight="1">
      <x:c r="A10" s="13" t="str">
        <x:v>原材料</x:v>
      </x:c>
      <x:c r="B10" s="19" t="str"/>
      <x:c r="C10" s="19" t="str"/>
      <x:c r="D10" s="19" t="str"/>
      <x:c r="E10" s="19" t="str"/>
      <x:c r="F10" s="19" t="str">
        <x:f>IF(COUNT(C10:D10)=0,"",C10+D10)</x:f>
      </x:c>
      <x:c r="G10" s="19" t="str">
        <x:f>IF(COUNT(B10:F10)=0,"",B10-F10-E10)</x:f>
      </x:c>
      <x:c r="H10" s="19" t="str"/>
      <x:c r="I10" s="13" t="str">
        <x:f>IF(G10="","待核对",IF(ABS(G10)&lt;=IF(H10="",0,H10),"通过","需处理"))</x:f>
        <x:v>待核对</x:v>
      </x:c>
      <x:c r="J10" s="13" t="str"/>
      <x:c r="K10" s="13" t="str"/>
      <x:c r="L10" s="13" t="str"/>
      <x:c r="M10" s="13" t="str">
        <x:v>未开始</x:v>
      </x:c>
      <x:c r="N10" s="13" t="str"/>
    </x:row>
    <x:row r="11" ht="34" customHeight="1">
      <x:c r="A11" s="13" t="str">
        <x:v>在产品</x:v>
      </x:c>
      <x:c r="B11" s="19" t="str"/>
      <x:c r="C11" s="19" t="str"/>
      <x:c r="D11" s="19" t="str"/>
      <x:c r="E11" s="19" t="str"/>
      <x:c r="F11" s="19" t="str">
        <x:f>IF(COUNT(C11:D11)=0,"",C11+D11)</x:f>
      </x:c>
      <x:c r="G11" s="19" t="str">
        <x:f>IF(COUNT(B11:F11)=0,"",B11-F11-E11)</x:f>
      </x:c>
      <x:c r="H11" s="19" t="str"/>
      <x:c r="I11" s="13" t="str">
        <x:f>IF(G11="","待核对",IF(ABS(G11)&lt;=IF(H11="",0,H11),"通过","需处理"))</x:f>
        <x:v>待核对</x:v>
      </x:c>
      <x:c r="J11" s="13" t="str"/>
      <x:c r="K11" s="13" t="str"/>
      <x:c r="L11" s="13" t="str"/>
      <x:c r="M11" s="13" t="str">
        <x:v>未开始</x:v>
      </x:c>
      <x:c r="N11" s="13" t="str"/>
    </x:row>
    <x:row r="12" ht="34" customHeight="1">
      <x:c r="A12" s="13" t="str">
        <x:v>库存商品</x:v>
      </x:c>
      <x:c r="B12" s="19" t="str"/>
      <x:c r="C12" s="19" t="str"/>
      <x:c r="D12" s="19" t="str"/>
      <x:c r="E12" s="19" t="str"/>
      <x:c r="F12" s="19" t="str">
        <x:f>IF(COUNT(C12:D12)=0,"",C12+D12)</x:f>
      </x:c>
      <x:c r="G12" s="19" t="str">
        <x:f>IF(COUNT(B12:F12)=0,"",B12-F12-E12)</x:f>
      </x:c>
      <x:c r="H12" s="19" t="str"/>
      <x:c r="I12" s="13" t="str">
        <x:f>IF(G12="","待核对",IF(ABS(G12)&lt;=IF(H12="",0,H12),"通过","需处理"))</x:f>
        <x:v>待核对</x:v>
      </x:c>
      <x:c r="J12" s="13" t="str"/>
      <x:c r="K12" s="13" t="str"/>
      <x:c r="L12" s="13" t="str"/>
      <x:c r="M12" s="13" t="str">
        <x:v>未开始</x:v>
      </x:c>
      <x:c r="N12" s="13" t="str"/>
    </x:row>
    <x:row r="13" ht="34" customHeight="1">
      <x:c r="A13" s="13" t="str">
        <x:v>固定资产及累计折旧</x:v>
      </x:c>
      <x:c r="B13" s="19" t="str"/>
      <x:c r="C13" s="19" t="str"/>
      <x:c r="D13" s="19" t="str"/>
      <x:c r="E13" s="19" t="str"/>
      <x:c r="F13" s="19" t="str">
        <x:f>IF(COUNT(C13:D13)=0,"",C13+D13)</x:f>
      </x:c>
      <x:c r="G13" s="19" t="str">
        <x:f>IF(COUNT(B13:F13)=0,"",B13-F13-E13)</x:f>
      </x:c>
      <x:c r="H13" s="19" t="str"/>
      <x:c r="I13" s="13" t="str">
        <x:f>IF(G13="","待核对",IF(ABS(G13)&lt;=IF(H13="",0,H13),"通过","需处理"))</x:f>
        <x:v>待核对</x:v>
      </x:c>
      <x:c r="J13" s="13" t="str"/>
      <x:c r="K13" s="13" t="str"/>
      <x:c r="L13" s="13" t="str"/>
      <x:c r="M13" s="13" t="str">
        <x:v>未开始</x:v>
      </x:c>
      <x:c r="N13" s="13" t="str"/>
    </x:row>
    <x:row r="14" ht="34" customHeight="1">
      <x:c r="A14" s="13" t="str">
        <x:v>在建工程</x:v>
      </x:c>
      <x:c r="B14" s="19" t="str"/>
      <x:c r="C14" s="19" t="str"/>
      <x:c r="D14" s="19" t="str"/>
      <x:c r="E14" s="19" t="str"/>
      <x:c r="F14" s="19" t="str">
        <x:f>IF(COUNT(C14:D14)=0,"",C14+D14)</x:f>
      </x:c>
      <x:c r="G14" s="19" t="str">
        <x:f>IF(COUNT(B14:F14)=0,"",B14-F14-E14)</x:f>
      </x:c>
      <x:c r="H14" s="19" t="str"/>
      <x:c r="I14" s="13" t="str">
        <x:f>IF(G14="","待核对",IF(ABS(G14)&lt;=IF(H14="",0,H14),"通过","需处理"))</x:f>
        <x:v>待核对</x:v>
      </x:c>
      <x:c r="J14" s="13" t="str"/>
      <x:c r="K14" s="13" t="str"/>
      <x:c r="L14" s="13" t="str"/>
      <x:c r="M14" s="13" t="str">
        <x:v>未开始</x:v>
      </x:c>
      <x:c r="N14" s="13" t="str"/>
    </x:row>
    <x:row r="15" ht="34" customHeight="1">
      <x:c r="A15" s="13" t="str">
        <x:v>应付账款及暂估</x:v>
      </x:c>
      <x:c r="B15" s="19" t="str"/>
      <x:c r="C15" s="19" t="str"/>
      <x:c r="D15" s="19" t="str"/>
      <x:c r="E15" s="19" t="str"/>
      <x:c r="F15" s="19" t="str">
        <x:f>IF(COUNT(C15:D15)=0,"",C15+D15)</x:f>
      </x:c>
      <x:c r="G15" s="19" t="str">
        <x:f>IF(COUNT(B15:F15)=0,"",B15-F15-E15)</x:f>
      </x:c>
      <x:c r="H15" s="19" t="str"/>
      <x:c r="I15" s="13" t="str">
        <x:f>IF(G15="","待核对",IF(ABS(G15)&lt;=IF(H15="",0,H15),"通过","需处理"))</x:f>
        <x:v>待核对</x:v>
      </x:c>
      <x:c r="J15" s="13" t="str"/>
      <x:c r="K15" s="13" t="str"/>
      <x:c r="L15" s="13" t="str"/>
      <x:c r="M15" s="13" t="str">
        <x:v>未开始</x:v>
      </x:c>
      <x:c r="N15" s="13" t="str"/>
    </x:row>
    <x:row r="16" ht="34" customHeight="1">
      <x:c r="A16" s="13" t="str">
        <x:v>其他应付款</x:v>
      </x:c>
      <x:c r="B16" s="19" t="str"/>
      <x:c r="C16" s="19" t="str"/>
      <x:c r="D16" s="19" t="str"/>
      <x:c r="E16" s="19" t="str"/>
      <x:c r="F16" s="19" t="str">
        <x:f>IF(COUNT(C16:D16)=0,"",C16+D16)</x:f>
      </x:c>
      <x:c r="G16" s="19" t="str">
        <x:f>IF(COUNT(B16:F16)=0,"",B16-F16-E16)</x:f>
      </x:c>
      <x:c r="H16" s="19" t="str"/>
      <x:c r="I16" s="13" t="str">
        <x:f>IF(G16="","待核对",IF(ABS(G16)&lt;=IF(H16="",0,H16),"通过","需处理"))</x:f>
        <x:v>待核对</x:v>
      </x:c>
      <x:c r="J16" s="13" t="str"/>
      <x:c r="K16" s="13" t="str"/>
      <x:c r="L16" s="13" t="str"/>
      <x:c r="M16" s="13" t="str">
        <x:v>未开始</x:v>
      </x:c>
      <x:c r="N16" s="13" t="str"/>
    </x:row>
    <x:row r="17" ht="34" customHeight="1">
      <x:c r="A17" s="13" t="str">
        <x:v>应付职工薪酬</x:v>
      </x:c>
      <x:c r="B17" s="19" t="str"/>
      <x:c r="C17" s="19" t="str"/>
      <x:c r="D17" s="19" t="str"/>
      <x:c r="E17" s="19" t="str"/>
      <x:c r="F17" s="19" t="str">
        <x:f>IF(COUNT(C17:D17)=0,"",C17+D17)</x:f>
      </x:c>
      <x:c r="G17" s="19" t="str">
        <x:f>IF(COUNT(B17:F17)=0,"",B17-F17-E17)</x:f>
      </x:c>
      <x:c r="H17" s="19" t="str"/>
      <x:c r="I17" s="13" t="str">
        <x:f>IF(G17="","待核对",IF(ABS(G17)&lt;=IF(H17="",0,H17),"通过","需处理"))</x:f>
        <x:v>待核对</x:v>
      </x:c>
      <x:c r="J17" s="13" t="str"/>
      <x:c r="K17" s="13" t="str"/>
      <x:c r="L17" s="13" t="str"/>
      <x:c r="M17" s="13" t="str">
        <x:v>未开始</x:v>
      </x:c>
      <x:c r="N17" s="13" t="str"/>
    </x:row>
    <x:row r="18" ht="34" customHeight="1">
      <x:c r="A18" s="13" t="str">
        <x:v>应交税费</x:v>
      </x:c>
      <x:c r="B18" s="19" t="str"/>
      <x:c r="C18" s="19" t="str"/>
      <x:c r="D18" s="19" t="str"/>
      <x:c r="E18" s="19" t="str"/>
      <x:c r="F18" s="19" t="str">
        <x:f>IF(COUNT(C18:D18)=0,"",C18+D18)</x:f>
      </x:c>
      <x:c r="G18" s="19" t="str">
        <x:f>IF(COUNT(B18:F18)=0,"",B18-F18-E18)</x:f>
      </x:c>
      <x:c r="H18" s="19" t="str"/>
      <x:c r="I18" s="13" t="str">
        <x:f>IF(G18="","待核对",IF(ABS(G18)&lt;=IF(H18="",0,H18),"通过","需处理"))</x:f>
        <x:v>待核对</x:v>
      </x:c>
      <x:c r="J18" s="13" t="str"/>
      <x:c r="K18" s="13" t="str"/>
      <x:c r="L18" s="13" t="str"/>
      <x:c r="M18" s="13" t="str">
        <x:v>未开始</x:v>
      </x:c>
      <x:c r="N18" s="13" t="str"/>
    </x:row>
    <x:row r="19" ht="34" customHeight="1">
      <x:c r="A19" s="13" t="str">
        <x:v>短期及长期借款</x:v>
      </x:c>
      <x:c r="B19" s="19" t="str"/>
      <x:c r="C19" s="19" t="str"/>
      <x:c r="D19" s="19" t="str"/>
      <x:c r="E19" s="19" t="str"/>
      <x:c r="F19" s="19" t="str">
        <x:f>IF(COUNT(C19:D19)=0,"",C19+D19)</x:f>
      </x:c>
      <x:c r="G19" s="19" t="str">
        <x:f>IF(COUNT(B19:F19)=0,"",B19-F19-E19)</x:f>
      </x:c>
      <x:c r="H19" s="19" t="str"/>
      <x:c r="I19" s="13" t="str">
        <x:f>IF(G19="","待核对",IF(ABS(G19)&lt;=IF(H19="",0,H19),"通过","需处理"))</x:f>
        <x:v>待核对</x:v>
      </x:c>
      <x:c r="J19" s="13" t="str"/>
      <x:c r="K19" s="13" t="str"/>
      <x:c r="L19" s="13" t="str"/>
      <x:c r="M19" s="13" t="str">
        <x:v>未开始</x:v>
      </x:c>
      <x:c r="N19" s="13" t="str"/>
    </x:row>
    <x:row r="20" ht="34" customHeight="1">
      <x:c r="A20" s="13" t="str">
        <x:v>关联方往来</x:v>
      </x:c>
      <x:c r="B20" s="19" t="str"/>
      <x:c r="C20" s="19" t="str"/>
      <x:c r="D20" s="19" t="str"/>
      <x:c r="E20" s="19" t="str"/>
      <x:c r="F20" s="19" t="str">
        <x:f>IF(COUNT(C20:D20)=0,"",C20+D20)</x:f>
      </x:c>
      <x:c r="G20" s="19" t="str">
        <x:f>IF(COUNT(B20:F20)=0,"",B20-F20-E20)</x:f>
      </x:c>
      <x:c r="H20" s="19" t="str"/>
      <x:c r="I20" s="13" t="str">
        <x:f>IF(G20="","待核对",IF(ABS(G20)&lt;=IF(H20="",0,H20),"通过","需处理"))</x:f>
        <x:v>待核对</x:v>
      </x:c>
      <x:c r="J20" s="13" t="str"/>
      <x:c r="K20" s="13" t="str"/>
      <x:c r="L20" s="13" t="str"/>
      <x:c r="M20" s="13" t="str">
        <x:v>未开始</x:v>
      </x:c>
      <x:c r="N20" s="13" t="str"/>
    </x:row>
    <x:row r="21" ht="34" customHeight="1">
      <x:c r="A21" s="13" t="str">
        <x:v>未分配利润</x:v>
      </x:c>
      <x:c r="B21" s="19" t="str"/>
      <x:c r="C21" s="19" t="str"/>
      <x:c r="D21" s="19" t="str"/>
      <x:c r="E21" s="19" t="str"/>
      <x:c r="F21" s="19" t="str">
        <x:f>IF(COUNT(C21:D21)=0,"",C21+D21)</x:f>
      </x:c>
      <x:c r="G21" s="19" t="str">
        <x:f>IF(COUNT(B21:F21)=0,"",B21-F21-E21)</x:f>
      </x:c>
      <x:c r="H21" s="19" t="str"/>
      <x:c r="I21" s="13" t="str">
        <x:f>IF(G21="","待核对",IF(ABS(G21)&lt;=IF(H21="",0,H21),"通过","需处理"))</x:f>
        <x:v>待核对</x:v>
      </x:c>
      <x:c r="J21" s="13" t="str"/>
      <x:c r="K21" s="13" t="str"/>
      <x:c r="L21" s="13" t="str"/>
      <x:c r="M21" s="13" t="str">
        <x:v>未开始</x:v>
      </x:c>
      <x:c r="N21" s="13" t="str"/>
    </x:row>
    <x:row r="22" ht="34" customHeight="1">
      <x:c r="A22" s="13" t="str">
        <x:v>现金及现金等价物</x:v>
      </x:c>
      <x:c r="B22" s="19" t="str"/>
      <x:c r="C22" s="19" t="str"/>
      <x:c r="D22" s="19" t="str"/>
      <x:c r="E22" s="19" t="str"/>
      <x:c r="F22" s="19" t="str">
        <x:f>IF(COUNT(C22:D22)=0,"",C22+D22)</x:f>
      </x:c>
      <x:c r="G22" s="19" t="str">
        <x:f>IF(COUNT(B22:F22)=0,"",B22-F22-E22)</x:f>
      </x:c>
      <x:c r="H22" s="19" t="str"/>
      <x:c r="I22" s="13" t="str">
        <x:f>IF(G22="","待核对",IF(ABS(G22)&lt;=IF(H22="",0,H22),"通过","需处理"))</x:f>
        <x:v>待核对</x:v>
      </x:c>
      <x:c r="J22" s="13" t="str"/>
      <x:c r="K22" s="13" t="str"/>
      <x:c r="L22" s="13" t="str"/>
      <x:c r="M22" s="13" t="str">
        <x:v>未开始</x:v>
      </x:c>
      <x:c r="N22" s="13" t="str"/>
    </x:row>
  </x:sheetData>
  <x:mergeCells>
    <x:mergeCell ref="A1:N1"/>
    <x:mergeCell ref="A2:N2"/>
  </x:mergeCells>
  <x:dataValidations count="1">
    <x:dataValidation type="list" sqref="M5:M22">
      <x:formula1>"未开始,进行中,已完成,阻塞,不适用"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33c571e7f049ee"/>
  </x:tableParts>
</x:worksheet>
</file>

<file path=xl/worksheets/sheet5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34" hidden="0" customWidth="1"/>
    <x:col min="5" max="5" width="14" hidden="0" customWidth="1"/>
    <x:col min="6" max="6" width="10" hidden="0" customWidth="1"/>
    <x:col min="7" max="7" width="27" hidden="0" customWidth="1"/>
    <x:col min="8" max="8" width="27" hidden="0" customWidth="1"/>
    <x:col min="9" max="9" width="30" hidden="0" customWidth="1"/>
    <x:col min="10" max="10" width="30" hidden="0" customWidth="1"/>
    <x:col min="11" max="11" width="30" hidden="0" customWidth="1"/>
    <x:col min="12" max="12" width="15" hidden="0" customWidth="1"/>
    <x:col min="13" max="13" width="15" hidden="0" customWidth="1"/>
    <x:col min="14" max="14" width="12" hidden="0" customWidth="1"/>
    <x:col min="15" max="15" width="30" hidden="0" customWidth="1"/>
  </x:cols>
  <x:sheetData>
    <x:row r="1" ht="30" customHeight="1">
      <x:c r="A1" s="2" t="str">
        <x:v>月结差异和问题跟踪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4" customHeight="1">
      <x:c r="A2" s="4" t="str">
        <x:v>每个未决事项必须有金额、影响、责任人和完成日。已锁账事项若需更正，应关联重开或次期调整审批。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28" customHeight="1">
      <x:c r="A4" s="9" t="str">
        <x:v>问题编号</x:v>
      </x:c>
      <x:c r="B4" s="9" t="str">
        <x:v>期间</x:v>
      </x:c>
      <x:c r="C4" s="9" t="str">
        <x:v>模块</x:v>
      </x:c>
      <x:c r="D4" s="9" t="str">
        <x:v>问题描述</x:v>
      </x:c>
      <x:c r="E4" s="9" t="str">
        <x:v>金额</x:v>
      </x:c>
      <x:c r="F4" s="9" t="str">
        <x:v>优先级</x:v>
      </x:c>
      <x:c r="G4" s="9" t="str">
        <x:v>会计影响</x:v>
      </x:c>
      <x:c r="H4" s="9" t="str">
        <x:v>税务影响</x:v>
      </x:c>
      <x:c r="I4" s="9" t="str">
        <x:v>临时处理</x:v>
      </x:c>
      <x:c r="J4" s="9" t="str">
        <x:v>根因</x:v>
      </x:c>
      <x:c r="K4" s="9" t="str">
        <x:v>整改措施</x:v>
      </x:c>
      <x:c r="L4" s="9" t="str">
        <x:v>责任人</x:v>
      </x:c>
      <x:c r="M4" s="9" t="str">
        <x:v>计划完成日</x:v>
      </x:c>
      <x:c r="N4" s="9" t="str">
        <x:v>状态</x:v>
      </x:c>
      <x:c r="O4" s="9" t="str">
        <x:v>关闭证据</x:v>
      </x:c>
    </x:row>
    <x:row r="5" ht="42" customHeight="1">
      <x:c r="A5" s="13" t="str">
        <x:v>ISS-001</x:v>
      </x:c>
      <x:c r="B5" s="13" t="str"/>
      <x:c r="C5" s="13" t="str"/>
      <x:c r="D5" s="13" t="str"/>
      <x:c r="E5" s="19" t="str"/>
      <x:c r="F5" s="13" t="str">
        <x:v>中</x:v>
      </x:c>
      <x:c r="G5" s="13" t="str"/>
      <x:c r="H5" s="13" t="str"/>
      <x:c r="I5" s="13" t="str"/>
      <x:c r="J5" s="13" t="str"/>
      <x:c r="K5" s="13" t="str"/>
      <x:c r="L5" s="13" t="str"/>
      <x:c r="M5" s="20" t="str"/>
      <x:c r="N5" s="13" t="str">
        <x:v>未开始</x:v>
      </x:c>
      <x:c r="O5" s="13" t="str"/>
    </x:row>
    <x:row r="6" ht="42" customHeight="1">
      <x:c r="A6" s="13" t="str">
        <x:v>ISS-002</x:v>
      </x:c>
      <x:c r="B6" s="13" t="str"/>
      <x:c r="C6" s="13" t="str"/>
      <x:c r="D6" s="13" t="str"/>
      <x:c r="E6" s="19" t="str"/>
      <x:c r="F6" s="13" t="str">
        <x:v>中</x:v>
      </x:c>
      <x:c r="G6" s="13" t="str"/>
      <x:c r="H6" s="13" t="str"/>
      <x:c r="I6" s="13" t="str"/>
      <x:c r="J6" s="13" t="str"/>
      <x:c r="K6" s="13" t="str"/>
      <x:c r="L6" s="13" t="str"/>
      <x:c r="M6" s="20" t="str"/>
      <x:c r="N6" s="13" t="str">
        <x:v>未开始</x:v>
      </x:c>
      <x:c r="O6" s="13" t="str"/>
    </x:row>
    <x:row r="7" ht="42" customHeight="1">
      <x:c r="A7" s="13" t="str">
        <x:v>ISS-003</x:v>
      </x:c>
      <x:c r="B7" s="13" t="str"/>
      <x:c r="C7" s="13" t="str"/>
      <x:c r="D7" s="13" t="str"/>
      <x:c r="E7" s="19" t="str"/>
      <x:c r="F7" s="13" t="str">
        <x:v>中</x:v>
      </x:c>
      <x:c r="G7" s="13" t="str"/>
      <x:c r="H7" s="13" t="str"/>
      <x:c r="I7" s="13" t="str"/>
      <x:c r="J7" s="13" t="str"/>
      <x:c r="K7" s="13" t="str"/>
      <x:c r="L7" s="13" t="str"/>
      <x:c r="M7" s="20" t="str"/>
      <x:c r="N7" s="13" t="str">
        <x:v>未开始</x:v>
      </x:c>
      <x:c r="O7" s="13" t="str"/>
    </x:row>
    <x:row r="8" ht="42" customHeight="1">
      <x:c r="A8" s="13" t="str">
        <x:v>ISS-004</x:v>
      </x:c>
      <x:c r="B8" s="13" t="str"/>
      <x:c r="C8" s="13" t="str"/>
      <x:c r="D8" s="13" t="str"/>
      <x:c r="E8" s="19" t="str"/>
      <x:c r="F8" s="13" t="str">
        <x:v>中</x:v>
      </x:c>
      <x:c r="G8" s="13" t="str"/>
      <x:c r="H8" s="13" t="str"/>
      <x:c r="I8" s="13" t="str"/>
      <x:c r="J8" s="13" t="str"/>
      <x:c r="K8" s="13" t="str"/>
      <x:c r="L8" s="13" t="str"/>
      <x:c r="M8" s="20" t="str"/>
      <x:c r="N8" s="13" t="str">
        <x:v>未开始</x:v>
      </x:c>
      <x:c r="O8" s="13" t="str"/>
    </x:row>
    <x:row r="9" ht="42" customHeight="1">
      <x:c r="A9" s="13" t="str">
        <x:v>ISS-005</x:v>
      </x:c>
      <x:c r="B9" s="13" t="str"/>
      <x:c r="C9" s="13" t="str"/>
      <x:c r="D9" s="13" t="str"/>
      <x:c r="E9" s="19" t="str"/>
      <x:c r="F9" s="13" t="str">
        <x:v>中</x:v>
      </x:c>
      <x:c r="G9" s="13" t="str"/>
      <x:c r="H9" s="13" t="str"/>
      <x:c r="I9" s="13" t="str"/>
      <x:c r="J9" s="13" t="str"/>
      <x:c r="K9" s="13" t="str"/>
      <x:c r="L9" s="13" t="str"/>
      <x:c r="M9" s="20" t="str"/>
      <x:c r="N9" s="13" t="str">
        <x:v>未开始</x:v>
      </x:c>
      <x:c r="O9" s="13" t="str"/>
    </x:row>
    <x:row r="10" ht="42" customHeight="1">
      <x:c r="A10" s="13" t="str">
        <x:v>ISS-006</x:v>
      </x:c>
      <x:c r="B10" s="13" t="str"/>
      <x:c r="C10" s="13" t="str"/>
      <x:c r="D10" s="13" t="str"/>
      <x:c r="E10" s="19" t="str"/>
      <x:c r="F10" s="13" t="str">
        <x:v>中</x:v>
      </x:c>
      <x:c r="G10" s="13" t="str"/>
      <x:c r="H10" s="13" t="str"/>
      <x:c r="I10" s="13" t="str"/>
      <x:c r="J10" s="13" t="str"/>
      <x:c r="K10" s="13" t="str"/>
      <x:c r="L10" s="13" t="str"/>
      <x:c r="M10" s="20" t="str"/>
      <x:c r="N10" s="13" t="str">
        <x:v>未开始</x:v>
      </x:c>
      <x:c r="O10" s="13" t="str"/>
    </x:row>
    <x:row r="11" ht="42" customHeight="1">
      <x:c r="A11" s="13" t="str">
        <x:v>ISS-007</x:v>
      </x:c>
      <x:c r="B11" s="13" t="str"/>
      <x:c r="C11" s="13" t="str"/>
      <x:c r="D11" s="13" t="str"/>
      <x:c r="E11" s="19" t="str"/>
      <x:c r="F11" s="13" t="str">
        <x:v>中</x:v>
      </x:c>
      <x:c r="G11" s="13" t="str"/>
      <x:c r="H11" s="13" t="str"/>
      <x:c r="I11" s="13" t="str"/>
      <x:c r="J11" s="13" t="str"/>
      <x:c r="K11" s="13" t="str"/>
      <x:c r="L11" s="13" t="str"/>
      <x:c r="M11" s="20" t="str"/>
      <x:c r="N11" s="13" t="str">
        <x:v>未开始</x:v>
      </x:c>
      <x:c r="O11" s="13" t="str"/>
    </x:row>
    <x:row r="12" ht="42" customHeight="1">
      <x:c r="A12" s="13" t="str">
        <x:v>ISS-008</x:v>
      </x:c>
      <x:c r="B12" s="13" t="str"/>
      <x:c r="C12" s="13" t="str"/>
      <x:c r="D12" s="13" t="str"/>
      <x:c r="E12" s="19" t="str"/>
      <x:c r="F12" s="13" t="str">
        <x:v>中</x:v>
      </x:c>
      <x:c r="G12" s="13" t="str"/>
      <x:c r="H12" s="13" t="str"/>
      <x:c r="I12" s="13" t="str"/>
      <x:c r="J12" s="13" t="str"/>
      <x:c r="K12" s="13" t="str"/>
      <x:c r="L12" s="13" t="str"/>
      <x:c r="M12" s="20" t="str"/>
      <x:c r="N12" s="13" t="str">
        <x:v>未开始</x:v>
      </x:c>
      <x:c r="O12" s="13" t="str"/>
    </x:row>
    <x:row r="13" ht="42" customHeight="1">
      <x:c r="A13" s="13" t="str">
        <x:v>ISS-009</x:v>
      </x:c>
      <x:c r="B13" s="13" t="str"/>
      <x:c r="C13" s="13" t="str"/>
      <x:c r="D13" s="13" t="str"/>
      <x:c r="E13" s="19" t="str"/>
      <x:c r="F13" s="13" t="str">
        <x:v>中</x:v>
      </x:c>
      <x:c r="G13" s="13" t="str"/>
      <x:c r="H13" s="13" t="str"/>
      <x:c r="I13" s="13" t="str"/>
      <x:c r="J13" s="13" t="str"/>
      <x:c r="K13" s="13" t="str"/>
      <x:c r="L13" s="13" t="str"/>
      <x:c r="M13" s="20" t="str"/>
      <x:c r="N13" s="13" t="str">
        <x:v>未开始</x:v>
      </x:c>
      <x:c r="O13" s="13" t="str"/>
    </x:row>
    <x:row r="14" ht="42" customHeight="1">
      <x:c r="A14" s="13" t="str">
        <x:v>ISS-010</x:v>
      </x:c>
      <x:c r="B14" s="13" t="str"/>
      <x:c r="C14" s="13" t="str"/>
      <x:c r="D14" s="13" t="str"/>
      <x:c r="E14" s="19" t="str"/>
      <x:c r="F14" s="13" t="str">
        <x:v>中</x:v>
      </x:c>
      <x:c r="G14" s="13" t="str"/>
      <x:c r="H14" s="13" t="str"/>
      <x:c r="I14" s="13" t="str"/>
      <x:c r="J14" s="13" t="str"/>
      <x:c r="K14" s="13" t="str"/>
      <x:c r="L14" s="13" t="str"/>
      <x:c r="M14" s="20" t="str"/>
      <x:c r="N14" s="13" t="str">
        <x:v>未开始</x:v>
      </x:c>
      <x:c r="O14" s="13" t="str"/>
    </x:row>
    <x:row r="15" ht="42" customHeight="1">
      <x:c r="A15" s="13" t="str">
        <x:v>ISS-011</x:v>
      </x:c>
      <x:c r="B15" s="13" t="str"/>
      <x:c r="C15" s="13" t="str"/>
      <x:c r="D15" s="13" t="str"/>
      <x:c r="E15" s="19" t="str"/>
      <x:c r="F15" s="13" t="str">
        <x:v>中</x:v>
      </x:c>
      <x:c r="G15" s="13" t="str"/>
      <x:c r="H15" s="13" t="str"/>
      <x:c r="I15" s="13" t="str"/>
      <x:c r="J15" s="13" t="str"/>
      <x:c r="K15" s="13" t="str"/>
      <x:c r="L15" s="13" t="str"/>
      <x:c r="M15" s="20" t="str"/>
      <x:c r="N15" s="13" t="str">
        <x:v>未开始</x:v>
      </x:c>
      <x:c r="O15" s="13" t="str"/>
    </x:row>
    <x:row r="16" ht="42" customHeight="1">
      <x:c r="A16" s="13" t="str">
        <x:v>ISS-012</x:v>
      </x:c>
      <x:c r="B16" s="13" t="str"/>
      <x:c r="C16" s="13" t="str"/>
      <x:c r="D16" s="13" t="str"/>
      <x:c r="E16" s="19" t="str"/>
      <x:c r="F16" s="13" t="str">
        <x:v>中</x:v>
      </x:c>
      <x:c r="G16" s="13" t="str"/>
      <x:c r="H16" s="13" t="str"/>
      <x:c r="I16" s="13" t="str"/>
      <x:c r="J16" s="13" t="str"/>
      <x:c r="K16" s="13" t="str"/>
      <x:c r="L16" s="13" t="str"/>
      <x:c r="M16" s="20" t="str"/>
      <x:c r="N16" s="13" t="str">
        <x:v>未开始</x:v>
      </x:c>
      <x:c r="O16" s="13" t="str"/>
    </x:row>
    <x:row r="17" ht="42" customHeight="1">
      <x:c r="A17" s="13" t="str">
        <x:v>ISS-013</x:v>
      </x:c>
      <x:c r="B17" s="13" t="str"/>
      <x:c r="C17" s="13" t="str"/>
      <x:c r="D17" s="13" t="str"/>
      <x:c r="E17" s="19" t="str"/>
      <x:c r="F17" s="13" t="str">
        <x:v>中</x:v>
      </x:c>
      <x:c r="G17" s="13" t="str"/>
      <x:c r="H17" s="13" t="str"/>
      <x:c r="I17" s="13" t="str"/>
      <x:c r="J17" s="13" t="str"/>
      <x:c r="K17" s="13" t="str"/>
      <x:c r="L17" s="13" t="str"/>
      <x:c r="M17" s="20" t="str"/>
      <x:c r="N17" s="13" t="str">
        <x:v>未开始</x:v>
      </x:c>
      <x:c r="O17" s="13" t="str"/>
    </x:row>
    <x:row r="18" ht="42" customHeight="1">
      <x:c r="A18" s="13" t="str">
        <x:v>ISS-014</x:v>
      </x:c>
      <x:c r="B18" s="13" t="str"/>
      <x:c r="C18" s="13" t="str"/>
      <x:c r="D18" s="13" t="str"/>
      <x:c r="E18" s="19" t="str"/>
      <x:c r="F18" s="13" t="str">
        <x:v>中</x:v>
      </x:c>
      <x:c r="G18" s="13" t="str"/>
      <x:c r="H18" s="13" t="str"/>
      <x:c r="I18" s="13" t="str"/>
      <x:c r="J18" s="13" t="str"/>
      <x:c r="K18" s="13" t="str"/>
      <x:c r="L18" s="13" t="str"/>
      <x:c r="M18" s="20" t="str"/>
      <x:c r="N18" s="13" t="str">
        <x:v>未开始</x:v>
      </x:c>
      <x:c r="O18" s="13" t="str"/>
    </x:row>
    <x:row r="19" ht="42" customHeight="1">
      <x:c r="A19" s="13" t="str">
        <x:v>ISS-015</x:v>
      </x:c>
      <x:c r="B19" s="13" t="str"/>
      <x:c r="C19" s="13" t="str"/>
      <x:c r="D19" s="13" t="str"/>
      <x:c r="E19" s="19" t="str"/>
      <x:c r="F19" s="13" t="str">
        <x:v>中</x:v>
      </x:c>
      <x:c r="G19" s="13" t="str"/>
      <x:c r="H19" s="13" t="str"/>
      <x:c r="I19" s="13" t="str"/>
      <x:c r="J19" s="13" t="str"/>
      <x:c r="K19" s="13" t="str"/>
      <x:c r="L19" s="13" t="str"/>
      <x:c r="M19" s="20" t="str"/>
      <x:c r="N19" s="13" t="str">
        <x:v>未开始</x:v>
      </x:c>
      <x:c r="O19" s="13" t="str"/>
    </x:row>
    <x:row r="20" ht="42" customHeight="1">
      <x:c r="A20" s="13" t="str">
        <x:v>ISS-016</x:v>
      </x:c>
      <x:c r="B20" s="13" t="str"/>
      <x:c r="C20" s="13" t="str"/>
      <x:c r="D20" s="13" t="str"/>
      <x:c r="E20" s="19" t="str"/>
      <x:c r="F20" s="13" t="str">
        <x:v>中</x:v>
      </x:c>
      <x:c r="G20" s="13" t="str"/>
      <x:c r="H20" s="13" t="str"/>
      <x:c r="I20" s="13" t="str"/>
      <x:c r="J20" s="13" t="str"/>
      <x:c r="K20" s="13" t="str"/>
      <x:c r="L20" s="13" t="str"/>
      <x:c r="M20" s="20" t="str"/>
      <x:c r="N20" s="13" t="str">
        <x:v>未开始</x:v>
      </x:c>
      <x:c r="O20" s="13" t="str"/>
    </x:row>
    <x:row r="21" ht="42" customHeight="1">
      <x:c r="A21" s="13" t="str">
        <x:v>ISS-017</x:v>
      </x:c>
      <x:c r="B21" s="13" t="str"/>
      <x:c r="C21" s="13" t="str"/>
      <x:c r="D21" s="13" t="str"/>
      <x:c r="E21" s="19" t="str"/>
      <x:c r="F21" s="13" t="str">
        <x:v>中</x:v>
      </x:c>
      <x:c r="G21" s="13" t="str"/>
      <x:c r="H21" s="13" t="str"/>
      <x:c r="I21" s="13" t="str"/>
      <x:c r="J21" s="13" t="str"/>
      <x:c r="K21" s="13" t="str"/>
      <x:c r="L21" s="13" t="str"/>
      <x:c r="M21" s="20" t="str"/>
      <x:c r="N21" s="13" t="str">
        <x:v>未开始</x:v>
      </x:c>
      <x:c r="O21" s="13" t="str"/>
    </x:row>
    <x:row r="22" ht="42" customHeight="1">
      <x:c r="A22" s="13" t="str">
        <x:v>ISS-018</x:v>
      </x:c>
      <x:c r="B22" s="13" t="str"/>
      <x:c r="C22" s="13" t="str"/>
      <x:c r="D22" s="13" t="str"/>
      <x:c r="E22" s="19" t="str"/>
      <x:c r="F22" s="13" t="str">
        <x:v>中</x:v>
      </x:c>
      <x:c r="G22" s="13" t="str"/>
      <x:c r="H22" s="13" t="str"/>
      <x:c r="I22" s="13" t="str"/>
      <x:c r="J22" s="13" t="str"/>
      <x:c r="K22" s="13" t="str"/>
      <x:c r="L22" s="13" t="str"/>
      <x:c r="M22" s="20" t="str"/>
      <x:c r="N22" s="13" t="str">
        <x:v>未开始</x:v>
      </x:c>
      <x:c r="O22" s="13" t="str"/>
    </x:row>
    <x:row r="23" ht="42" customHeight="1">
      <x:c r="A23" s="13" t="str">
        <x:v>ISS-019</x:v>
      </x:c>
      <x:c r="B23" s="13" t="str"/>
      <x:c r="C23" s="13" t="str"/>
      <x:c r="D23" s="13" t="str"/>
      <x:c r="E23" s="19" t="str"/>
      <x:c r="F23" s="13" t="str">
        <x:v>中</x:v>
      </x:c>
      <x:c r="G23" s="13" t="str"/>
      <x:c r="H23" s="13" t="str"/>
      <x:c r="I23" s="13" t="str"/>
      <x:c r="J23" s="13" t="str"/>
      <x:c r="K23" s="13" t="str"/>
      <x:c r="L23" s="13" t="str"/>
      <x:c r="M23" s="20" t="str"/>
      <x:c r="N23" s="13" t="str">
        <x:v>未开始</x:v>
      </x:c>
      <x:c r="O23" s="13" t="str"/>
    </x:row>
    <x:row r="24" ht="42" customHeight="1">
      <x:c r="A24" s="13" t="str">
        <x:v>ISS-020</x:v>
      </x:c>
      <x:c r="B24" s="13" t="str"/>
      <x:c r="C24" s="13" t="str"/>
      <x:c r="D24" s="13" t="str"/>
      <x:c r="E24" s="19" t="str"/>
      <x:c r="F24" s="13" t="str">
        <x:v>中</x:v>
      </x:c>
      <x:c r="G24" s="13" t="str"/>
      <x:c r="H24" s="13" t="str"/>
      <x:c r="I24" s="13" t="str"/>
      <x:c r="J24" s="13" t="str"/>
      <x:c r="K24" s="13" t="str"/>
      <x:c r="L24" s="13" t="str"/>
      <x:c r="M24" s="20" t="str"/>
      <x:c r="N24" s="13" t="str">
        <x:v>未开始</x:v>
      </x:c>
      <x:c r="O24" s="13" t="str"/>
    </x:row>
  </x:sheetData>
  <x:mergeCells>
    <x:mergeCell ref="A1:O1"/>
    <x:mergeCell ref="A2:O2"/>
  </x:mergeCells>
  <x:dataValidations count="2">
    <x:dataValidation type="list" sqref="F5:F24">
      <x:formula1>"高,中,低"</x:formula1>
    </x:dataValidation>
    <x:dataValidation type="list" sqref="N5:N24">
      <x:formula1>"未开始,进行中,待复核,已关闭,不适用"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80fa08ad964fbc"/>
  </x:tableParts>
</x:worksheet>
</file>