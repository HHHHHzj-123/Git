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  <Override PartName="/xl/worksheets/sheet16.xml" ContentType="application/vnd.openxmlformats-officedocument.spreadsheetml.worksheet+xml"/>
  <Override PartName="/xl/tables/table15.xml" ContentType="application/vnd.openxmlformats-officedocument.spreadsheetml.table+xml"/>
  <Override PartName="/xl/worksheets/sheet17.xml" ContentType="application/vnd.openxmlformats-officedocument.spreadsheetml.worksheet+xml"/>
  <Override PartName="/xl/tables/table16.xml" ContentType="application/vnd.openxmlformats-officedocument.spreadsheetml.table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ables/table1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02cb905b58d4fc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-说明与参数" sheetId="1" r:id="R0c295be66c1741d2"/>
    <x:sheet xmlns:r="http://schemas.openxmlformats.org/officeDocument/2006/relationships" name="01-成本月结清单" sheetId="2" r:id="R49701dabd332459a"/>
    <x:sheet xmlns:r="http://schemas.openxmlformats.org/officeDocument/2006/relationships" name="02-原材料收发存" sheetId="3" r:id="Rfd818e24f8cf438e"/>
    <x:sheet xmlns:r="http://schemas.openxmlformats.org/officeDocument/2006/relationships" name="03-暂估未冲台账" sheetId="4" r:id="Rbe77b494daa14c28"/>
    <x:sheet xmlns:r="http://schemas.openxmlformats.org/officeDocument/2006/relationships" name="04-BOM异常分析" sheetId="5" r:id="Recfbb06f75024d38"/>
    <x:sheet xmlns:r="http://schemas.openxmlformats.org/officeDocument/2006/relationships" name="05-生产工单跟踪" sheetId="6" r:id="Rd8abd08fa65449a6"/>
    <x:sheet xmlns:r="http://schemas.openxmlformats.org/officeDocument/2006/relationships" name="06-制造费用归集" sheetId="7" r:id="Rbc1b1dcad33541e6"/>
    <x:sheet xmlns:r="http://schemas.openxmlformats.org/officeDocument/2006/relationships" name="07-制造费用分配" sheetId="8" r:id="Rbc36cd2c4a414b30"/>
    <x:sheet xmlns:r="http://schemas.openxmlformats.org/officeDocument/2006/relationships" name="08-在产品成本" sheetId="9" r:id="Rf0e37255bb914926"/>
    <x:sheet xmlns:r="http://schemas.openxmlformats.org/officeDocument/2006/relationships" name="09-完工产品成本" sheetId="10" r:id="R50ca51d6083f4dce"/>
    <x:sheet xmlns:r="http://schemas.openxmlformats.org/officeDocument/2006/relationships" name="10-产品单位成本" sheetId="11" r:id="R4200ef84be9245d1"/>
    <x:sheet xmlns:r="http://schemas.openxmlformats.org/officeDocument/2006/relationships" name="11-毛利率分析" sheetId="12" r:id="Rc268b2f465184141"/>
    <x:sheet xmlns:r="http://schemas.openxmlformats.org/officeDocument/2006/relationships" name="12-存货库龄" sheetId="13" r:id="R62b6f4f0c4bd4144"/>
    <x:sheet xmlns:r="http://schemas.openxmlformats.org/officeDocument/2006/relationships" name="13-呆滞料分析" sheetId="14" r:id="R0b1474235d844c8f"/>
    <x:sheet xmlns:r="http://schemas.openxmlformats.org/officeDocument/2006/relationships" name="14-盘点差异" sheetId="15" r:id="Rcfc3fbd3e8034147"/>
    <x:sheet xmlns:r="http://schemas.openxmlformats.org/officeDocument/2006/relationships" name="15-存货跌价测算" sheetId="16" r:id="Re3bfe2ae31c34e67"/>
    <x:sheet xmlns:r="http://schemas.openxmlformats.org/officeDocument/2006/relationships" name="16-成本异常整改" sheetId="17" r:id="R936e65557bbf42de"/>
    <x:sheet xmlns:r="http://schemas.openxmlformats.org/officeDocument/2006/relationships" name="17-管理看板" sheetId="18" r:id="R4ca2ee1bfa424a85"/>
    <x:sheet xmlns:r="http://schemas.openxmlformats.org/officeDocument/2006/relationships" name="18-数据字典" sheetId="19" r:id="Ra285b605ef8e408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yyyy-mm-dd"/>
    <x:numFmt numFmtId="201" formatCode="0%"/>
    <x:numFmt numFmtId="202" formatCode="#,##0.00"/>
    <x:numFmt numFmtId="203" formatCode="0.0%"/>
    <x:numFmt numFmtId="204" formatCode="#,##0.0000"/>
    <x:numFmt numFmtId="205" formatCode="0.00%"/>
  </x:numFmts>
  <x:fonts count="6">
    <x:font>
      <x:sz val="11"/>
      <x:name val="Carlito"/>
    </x:font>
    <x:font>
      <x:b/>
      <x:sz val="18"/>
      <x:color rgb="FFFFFFFF"/>
      <x:name val="Microsoft YaHei"/>
    </x:font>
    <x:font>
      <x:i/>
      <x:sz val="9"/>
      <x:color rgb="FF555555"/>
      <x:name val="Microsoft YaHei"/>
    </x:font>
    <x:font>
      <x:b/>
      <x:sz val="11"/>
      <x:color rgb="FFFFFFFF"/>
      <x:name val="Microsoft YaHei"/>
    </x:font>
    <x:font>
      <x:sz val="9"/>
      <x:name val="Microsoft YaHei"/>
    </x:font>
    <x:font>
      <x:sz val="11"/>
      <x:name val="Microsoft YaHei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AF2F8"/>
      </x:patternFill>
    </x:fill>
    <x:fill>
      <x:patternFill patternType="solid">
        <x:fgColor rgb="FFF7FAFC"/>
      </x:patternFill>
    </x:fill>
  </x:fills>
  <x:borders count="12">
    <x:border/>
    <x:border>
      <x:left style="thin">
        <x:color rgb="FF9EADBA"/>
      </x:left>
      <x:top style="thin">
        <x:color rgb="FF9EADBA"/>
      </x:top>
      <x:bottom style="thin">
        <x:color rgb="FF9EADBA"/>
      </x:bottom>
    </x:border>
    <x:border>
      <x:top style="thin">
        <x:color rgb="FF9EADBA"/>
      </x:top>
      <x:bottom style="thin">
        <x:color rgb="FF9EADBA"/>
      </x:bottom>
    </x:border>
    <x:border>
      <x:right style="thin">
        <x:color rgb="FF9EADBA"/>
      </x:right>
      <x:top style="thin">
        <x:color rgb="FF9EADBA"/>
      </x:top>
      <x:bottom style="thin">
        <x:color rgb="FF9EADBA"/>
      </x:bottom>
    </x:border>
    <x:border>
      <x:left style="hair">
        <x:color rgb="FFD9E1E8"/>
      </x:left>
      <x:top style="hair">
        <x:color rgb="FFD9E1E8"/>
      </x:top>
    </x:border>
    <x:border>
      <x:top style="hair">
        <x:color rgb="FFD9E1E8"/>
      </x:top>
    </x:border>
    <x:border>
      <x:right style="hair">
        <x:color rgb="FFD9E1E8"/>
      </x:right>
      <x:top style="hair">
        <x:color rgb="FFD9E1E8"/>
      </x:top>
    </x:border>
    <x:border>
      <x:left style="hair">
        <x:color rgb="FFD9E1E8"/>
      </x:left>
    </x:border>
    <x:border>
      <x:right style="hair">
        <x:color rgb="FFD9E1E8"/>
      </x:right>
    </x:border>
    <x:border>
      <x:left style="hair">
        <x:color rgb="FFD9E1E8"/>
      </x:left>
      <x:bottom style="hair">
        <x:color rgb="FFD9E1E8"/>
      </x:bottom>
    </x:border>
    <x:border>
      <x:bottom style="hair">
        <x:color rgb="FFD9E1E8"/>
      </x:bottom>
    </x:border>
    <x:border>
      <x:right style="hair">
        <x:color rgb="FFD9E1E8"/>
      </x:right>
      <x:bottom style="hair">
        <x:color rgb="FFD9E1E8"/>
      </x:bottom>
    </x:border>
  </x:borders>
  <x:cellStyleXfs count="1">
    <x:xf numFmtId="0" fontId="0" fillId="0" borderId="0"/>
  </x:cellStyleXfs>
  <x:cellXfs count="9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2" xfId="0" applyNumberFormat="1" applyFont="1" applyFill="1" applyBorder="1"/>
    <x:xf numFmtId="0" fontId="3" fillId="2" borderId="3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2" xfId="0" applyNumberFormat="1" applyFont="1" applyFill="1" applyBorder="1" applyAlignment="1">
      <x:alignment wrapText="1"/>
    </x:xf>
    <x:xf numFmtId="0" fontId="3" fillId="2" borderId="3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2" xfId="0" applyNumberFormat="1" applyFont="1" applyFill="1" applyBorder="1" applyAlignment="1">
      <x:alignment horizontal="center" wrapText="1"/>
    </x:xf>
    <x:xf numFmtId="0" fontId="3" fillId="2" borderId="3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3" fillId="2" borderId="3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7" xfId="0" applyNumberFormat="1" applyFont="1" applyFill="1" applyBorder="1"/>
    <x:xf numFmtId="0" fontId="4" fillId="0" borderId="8" xfId="0" applyNumberFormat="1" applyFont="1" applyFill="1" applyBorder="1"/>
    <x:xf numFmtId="0" fontId="4" fillId="0" borderId="9" xfId="0" applyNumberFormat="1" applyFont="1" applyFill="1" applyBorder="1"/>
    <x:xf numFmtId="0" fontId="4" fillId="0" borderId="10" xfId="0" applyNumberFormat="1" applyFont="1" applyFill="1" applyBorder="1"/>
    <x:xf numFmtId="0" fontId="4" fillId="0" borderId="11" xfId="0" applyNumberFormat="1" applyFont="1" applyFill="1" applyBorder="1"/>
    <x:xf numFmtId="0" fontId="4" fillId="0" borderId="4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6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9" xfId="0" applyNumberFormat="1" applyFont="1" applyFill="1" applyBorder="1" applyAlignment="1">
      <x:alignment wrapText="1"/>
    </x:xf>
    <x:xf numFmtId="0" fontId="4" fillId="0" borderId="10" xfId="0" applyNumberFormat="1" applyFont="1" applyFill="1" applyBorder="1" applyAlignment="1">
      <x:alignment wrapText="1"/>
    </x:xf>
    <x:xf numFmtId="0" fontId="4" fillId="0" borderId="11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vertical="center" wrapText="1"/>
    </x:xf>
    <x:xf numFmtId="0" fontId="4" fillId="0" borderId="5" xfId="0" applyNumberFormat="1" applyFont="1" applyFill="1" applyBorder="1" applyAlignment="1">
      <x:alignment vertical="center" wrapText="1"/>
    </x:xf>
    <x:xf numFmtId="0" fontId="4" fillId="0" borderId="6" xfId="0" applyNumberFormat="1" applyFont="1" applyFill="1" applyBorder="1" applyAlignment="1">
      <x:alignment vertical="center" wrapText="1"/>
    </x:xf>
    <x:xf numFmtId="0" fontId="4" fillId="0" borderId="7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 wrapText="1"/>
    </x:xf>
    <x:xf numFmtId="0" fontId="4" fillId="0" borderId="8" xfId="0" applyNumberFormat="1" applyFont="1" applyFill="1" applyBorder="1" applyAlignment="1">
      <x:alignment vertical="center" wrapText="1"/>
    </x:xf>
    <x:xf numFmtId="0" fontId="4" fillId="0" borderId="9" xfId="0" applyNumberFormat="1" applyFont="1" applyFill="1" applyBorder="1" applyAlignment="1">
      <x:alignment vertical="center" wrapText="1"/>
    </x:xf>
    <x:xf numFmtId="0" fontId="4" fillId="0" borderId="10" xfId="0" applyNumberFormat="1" applyFont="1" applyFill="1" applyBorder="1" applyAlignment="1">
      <x:alignment vertical="center" wrapText="1"/>
    </x:xf>
    <x:xf numFmtId="0" fontId="4" fillId="0" borderId="11" xfId="0" applyNumberFormat="1" applyFont="1" applyFill="1" applyBorder="1" applyAlignment="1">
      <x:alignment vertical="center" wrapText="1"/>
    </x:xf>
    <x:xf numFmtId="200" fontId="4" fillId="0" borderId="5" xfId="0" applyNumberFormat="1" applyFont="1" applyFill="1" applyBorder="1" applyAlignment="1">
      <x:alignment vertical="center" wrapText="1"/>
    </x:xf>
    <x:xf numFmtId="200" fontId="4" fillId="0" borderId="10" xfId="0" applyNumberFormat="1" applyFont="1" applyFill="1" applyBorder="1" applyAlignment="1">
      <x:alignment vertical="center" wrapText="1"/>
    </x:xf>
    <x:xf numFmtId="201" fontId="4" fillId="0" borderId="0" xfId="0" applyNumberFormat="1" applyFont="1" applyFill="1" applyBorder="1" applyAlignment="1">
      <x:alignment vertical="center" wrapText="1"/>
    </x:xf>
    <x:xf numFmtId="0" fontId="4" fillId="4" borderId="4" xfId="0" applyNumberFormat="1" applyFont="1" applyFill="1" applyBorder="1" applyAlignment="1">
      <x:alignment vertical="center" wrapText="1"/>
    </x:xf>
    <x:xf numFmtId="0" fontId="4" fillId="4" borderId="5" xfId="0" applyNumberFormat="1" applyFont="1" applyFill="1" applyBorder="1" applyAlignment="1">
      <x:alignment vertical="center" wrapText="1"/>
    </x:xf>
    <x:xf numFmtId="0" fontId="4" fillId="4" borderId="6" xfId="0" applyNumberFormat="1" applyFont="1" applyFill="1" applyBorder="1" applyAlignment="1">
      <x:alignment vertical="center" wrapText="1"/>
    </x:xf>
    <x:xf numFmtId="0" fontId="4" fillId="4" borderId="7" xfId="0" applyNumberFormat="1" applyFont="1" applyFill="1" applyBorder="1" applyAlignment="1">
      <x:alignment vertical="center" wrapText="1"/>
    </x:xf>
    <x:xf numFmtId="0" fontId="4" fillId="4" borderId="0" xfId="0" applyNumberFormat="1" applyFont="1" applyFill="1" applyBorder="1" applyAlignment="1">
      <x:alignment vertical="center" wrapText="1"/>
    </x:xf>
    <x:xf numFmtId="0" fontId="4" fillId="4" borderId="8" xfId="0" applyNumberFormat="1" applyFont="1" applyFill="1" applyBorder="1" applyAlignment="1">
      <x:alignment vertical="center" wrapText="1"/>
    </x:xf>
    <x:xf numFmtId="0" fontId="4" fillId="4" borderId="9" xfId="0" applyNumberFormat="1" applyFont="1" applyFill="1" applyBorder="1" applyAlignment="1">
      <x:alignment vertical="center" wrapText="1"/>
    </x:xf>
    <x:xf numFmtId="0" fontId="4" fillId="4" borderId="10" xfId="0" applyNumberFormat="1" applyFont="1" applyFill="1" applyBorder="1" applyAlignment="1">
      <x:alignment vertical="center" wrapText="1"/>
    </x:xf>
    <x:xf numFmtId="0" fontId="4" fillId="4" borderId="11" xfId="0" applyNumberFormat="1" applyFont="1" applyFill="1" applyBorder="1" applyAlignment="1">
      <x:alignment vertical="center" wrapText="1"/>
    </x:xf>
    <x:xf numFmtId="200" fontId="4" fillId="4" borderId="5" xfId="0" applyNumberFormat="1" applyFont="1" applyFill="1" applyBorder="1" applyAlignment="1">
      <x:alignment vertical="center" wrapText="1"/>
    </x:xf>
    <x:xf numFmtId="200" fontId="4" fillId="0" borderId="0" xfId="0" applyNumberFormat="1" applyFont="1" applyFill="1" applyBorder="1" applyAlignment="1">
      <x:alignment vertical="center" wrapText="1"/>
    </x:xf>
    <x:xf numFmtId="200" fontId="4" fillId="4" borderId="0" xfId="0" applyNumberFormat="1" applyFont="1" applyFill="1" applyBorder="1" applyAlignment="1">
      <x:alignment vertical="center" wrapText="1"/>
    </x:xf>
    <x:xf numFmtId="200" fontId="4" fillId="4" borderId="10" xfId="0" applyNumberFormat="1" applyFont="1" applyFill="1" applyBorder="1" applyAlignment="1">
      <x:alignment vertical="center" wrapText="1"/>
    </x:xf>
    <x:xf numFmtId="202" fontId="4" fillId="4" borderId="5" xfId="0" applyNumberFormat="1" applyFont="1" applyFill="1" applyBorder="1" applyAlignment="1">
      <x:alignment vertical="center" wrapText="1"/>
    </x:xf>
    <x:xf numFmtId="202" fontId="4" fillId="0" borderId="0" xfId="0" applyNumberFormat="1" applyFont="1" applyFill="1" applyBorder="1" applyAlignment="1">
      <x:alignment vertical="center" wrapText="1"/>
    </x:xf>
    <x:xf numFmtId="202" fontId="4" fillId="4" borderId="0" xfId="0" applyNumberFormat="1" applyFont="1" applyFill="1" applyBorder="1" applyAlignment="1">
      <x:alignment vertical="center" wrapText="1"/>
    </x:xf>
    <x:xf numFmtId="202" fontId="4" fillId="4" borderId="10" xfId="0" applyNumberFormat="1" applyFont="1" applyFill="1" applyBorder="1" applyAlignment="1">
      <x:alignment vertical="center" wrapText="1"/>
    </x:xf>
    <x:xf numFmtId="203" fontId="4" fillId="4" borderId="5" xfId="0" applyNumberFormat="1" applyFont="1" applyFill="1" applyBorder="1" applyAlignment="1">
      <x:alignment vertical="center" wrapText="1"/>
    </x:xf>
    <x:xf numFmtId="203" fontId="4" fillId="0" borderId="0" xfId="0" applyNumberFormat="1" applyFont="1" applyFill="1" applyBorder="1" applyAlignment="1">
      <x:alignment vertical="center" wrapText="1"/>
    </x:xf>
    <x:xf numFmtId="203" fontId="4" fillId="4" borderId="0" xfId="0" applyNumberFormat="1" applyFont="1" applyFill="1" applyBorder="1" applyAlignment="1">
      <x:alignment vertical="center" wrapText="1"/>
    </x:xf>
    <x:xf numFmtId="203" fontId="4" fillId="4" borderId="10" xfId="0" applyNumberFormat="1" applyFont="1" applyFill="1" applyBorder="1" applyAlignment="1">
      <x:alignment vertical="center" wrapText="1"/>
    </x:xf>
    <x:xf numFmtId="204" fontId="4" fillId="4" borderId="5" xfId="0" applyNumberFormat="1" applyFont="1" applyFill="1" applyBorder="1" applyAlignment="1">
      <x:alignment vertical="center" wrapText="1"/>
    </x:xf>
    <x:xf numFmtId="204" fontId="4" fillId="0" borderId="0" xfId="0" applyNumberFormat="1" applyFont="1" applyFill="1" applyBorder="1" applyAlignment="1">
      <x:alignment vertical="center" wrapText="1"/>
    </x:xf>
    <x:xf numFmtId="204" fontId="4" fillId="4" borderId="0" xfId="0" applyNumberFormat="1" applyFont="1" applyFill="1" applyBorder="1" applyAlignment="1">
      <x:alignment vertical="center" wrapText="1"/>
    </x:xf>
    <x:xf numFmtId="204" fontId="4" fillId="4" borderId="10" xfId="0" applyNumberFormat="1" applyFont="1" applyFill="1" applyBorder="1" applyAlignment="1">
      <x:alignment vertical="center" wrapText="1"/>
    </x:xf>
    <x:xf numFmtId="201" fontId="4" fillId="4" borderId="5" xfId="0" applyNumberFormat="1" applyFont="1" applyFill="1" applyBorder="1" applyAlignment="1">
      <x:alignment vertical="center" wrapText="1"/>
    </x:xf>
    <x:xf numFmtId="201" fontId="4" fillId="4" borderId="0" xfId="0" applyNumberFormat="1" applyFont="1" applyFill="1" applyBorder="1" applyAlignment="1">
      <x:alignment vertical="center" wrapText="1"/>
    </x:xf>
    <x:xf numFmtId="201" fontId="4" fillId="4" borderId="10" xfId="0" applyNumberFormat="1" applyFont="1" applyFill="1" applyBorder="1" applyAlignment="1">
      <x:alignment vertical="center" wrapText="1"/>
    </x:xf>
    <x:xf numFmtId="203" fontId="4" fillId="4" borderId="6" xfId="0" applyNumberFormat="1" applyFont="1" applyFill="1" applyBorder="1" applyAlignment="1">
      <x:alignment vertical="center" wrapText="1"/>
    </x:xf>
    <x:xf numFmtId="203" fontId="4" fillId="0" borderId="8" xfId="0" applyNumberFormat="1" applyFont="1" applyFill="1" applyBorder="1" applyAlignment="1">
      <x:alignment vertical="center" wrapText="1"/>
    </x:xf>
    <x:xf numFmtId="203" fontId="4" fillId="4" borderId="8" xfId="0" applyNumberFormat="1" applyFont="1" applyFill="1" applyBorder="1" applyAlignment="1">
      <x:alignment vertical="center" wrapText="1"/>
    </x:xf>
    <x:xf numFmtId="203" fontId="4" fillId="4" borderId="11" xfId="0" applyNumberFormat="1" applyFont="1" applyFill="1" applyBorder="1" applyAlignment="1">
      <x:alignment vertical="center" wrapText="1"/>
    </x:xf>
    <x:xf numFmtId="204" fontId="4" fillId="0" borderId="5" xfId="0" applyNumberFormat="1" applyFont="1" applyFill="1" applyBorder="1" applyAlignment="1">
      <x:alignment vertical="center" wrapText="1"/>
    </x:xf>
    <x:xf numFmtId="205" fontId="4" fillId="0" borderId="10" xfId="0" applyNumberFormat="1" applyFont="1" applyFill="1" applyBorder="1" applyAlignment="1">
      <x:alignment vertical="center" wrapText="1"/>
    </x:xf>
    <x:xf numFmtId="202" fontId="4" fillId="0" borderId="5" xfId="0" applyNumberFormat="1" applyFont="1" applyFill="1" applyBorder="1" applyAlignment="1">
      <x:alignment vertical="center" wrapText="1"/>
    </x:xf>
    <x:xf numFmtId="202" fontId="4" fillId="0" borderId="10" xfId="0" applyNumberFormat="1" applyFont="1" applyFill="1" applyBorder="1" applyAlignment="1">
      <x:alignment vertical="center" wrapText="1"/>
    </x:xf>
    <x:xf numFmtId="205" fontId="4" fillId="0" borderId="6" xfId="0" applyNumberFormat="1" applyFont="1" applyFill="1" applyBorder="1" applyAlignment="1">
      <x:alignment vertical="center" wrapText="1"/>
    </x:xf>
    <x:xf numFmtId="205" fontId="4" fillId="0" borderId="11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33">
    <x:dxf>
      <x:fill>
        <x:patternFill patternType="solid">
          <x:bgColor rgb="FFE2F0D9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DDEBF7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DDEBF7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DDEBF7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DDEBF7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DDEBF7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DDEBF7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DDEBF7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DDEBF7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DDEBF7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DDEBF7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DDEBF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6e3d12ca27041d1" /><Relationship Type="http://schemas.openxmlformats.org/officeDocument/2006/relationships/theme" Target="/xl/theme/theme1.xml" Id="Rb6ad9b7fa9c947cf" /><Relationship Type="http://schemas.openxmlformats.org/officeDocument/2006/relationships/sharedStrings" Target="/xl/sharedStrings.xml" Id="Rc72d16ff771d478a" /><Relationship Type="http://schemas.openxmlformats.org/officeDocument/2006/relationships/worksheet" Target="/xl/worksheets/sheet1.xml" Id="R0c295be66c1741d2" /><Relationship Type="http://schemas.openxmlformats.org/officeDocument/2006/relationships/worksheet" Target="/xl/worksheets/sheet2.xml" Id="R49701dabd332459a" /><Relationship Type="http://schemas.openxmlformats.org/officeDocument/2006/relationships/worksheet" Target="/xl/worksheets/sheet3.xml" Id="Rfd818e24f8cf438e" /><Relationship Type="http://schemas.openxmlformats.org/officeDocument/2006/relationships/worksheet" Target="/xl/worksheets/sheet4.xml" Id="Rbe77b494daa14c28" /><Relationship Type="http://schemas.openxmlformats.org/officeDocument/2006/relationships/worksheet" Target="/xl/worksheets/sheet5.xml" Id="Recfbb06f75024d38" /><Relationship Type="http://schemas.openxmlformats.org/officeDocument/2006/relationships/worksheet" Target="/xl/worksheets/sheet6.xml" Id="Rd8abd08fa65449a6" /><Relationship Type="http://schemas.openxmlformats.org/officeDocument/2006/relationships/worksheet" Target="/xl/worksheets/sheet7.xml" Id="Rbc1b1dcad33541e6" /><Relationship Type="http://schemas.openxmlformats.org/officeDocument/2006/relationships/worksheet" Target="/xl/worksheets/sheet8.xml" Id="Rbc36cd2c4a414b30" /><Relationship Type="http://schemas.openxmlformats.org/officeDocument/2006/relationships/worksheet" Target="/xl/worksheets/sheet9.xml" Id="Rf0e37255bb914926" /><Relationship Type="http://schemas.openxmlformats.org/officeDocument/2006/relationships/worksheet" Target="/xl/worksheets/sheet10.xml" Id="R50ca51d6083f4dce" /><Relationship Type="http://schemas.openxmlformats.org/officeDocument/2006/relationships/worksheet" Target="/xl/worksheets/sheet11.xml" Id="R4200ef84be9245d1" /><Relationship Type="http://schemas.openxmlformats.org/officeDocument/2006/relationships/worksheet" Target="/xl/worksheets/sheet12.xml" Id="Rc268b2f465184141" /><Relationship Type="http://schemas.openxmlformats.org/officeDocument/2006/relationships/worksheet" Target="/xl/worksheets/sheet13.xml" Id="R62b6f4f0c4bd4144" /><Relationship Type="http://schemas.openxmlformats.org/officeDocument/2006/relationships/worksheet" Target="/xl/worksheets/sheet14.xml" Id="R0b1474235d844c8f" /><Relationship Type="http://schemas.openxmlformats.org/officeDocument/2006/relationships/worksheet" Target="/xl/worksheets/sheet15.xml" Id="Rcfc3fbd3e8034147" /><Relationship Type="http://schemas.openxmlformats.org/officeDocument/2006/relationships/worksheet" Target="/xl/worksheets/sheet16.xml" Id="Re3bfe2ae31c34e67" /><Relationship Type="http://schemas.openxmlformats.org/officeDocument/2006/relationships/worksheet" Target="/xl/worksheets/sheet17.xml" Id="R936e65557bbf42de" /><Relationship Type="http://schemas.openxmlformats.org/officeDocument/2006/relationships/worksheet" Target="/xl/worksheets/sheet18.xml" Id="R4ca2ee1bfa424a85" /><Relationship Type="http://schemas.openxmlformats.org/officeDocument/2006/relationships/worksheet" Target="/xl/worksheets/sheet19.xml" Id="Ra285b605ef8e4080" /></Relationships>
</file>

<file path=xl/tables/table1.xml><?xml version="1.0" encoding="utf-8"?>
<x:table xmlns:x="http://schemas.openxmlformats.org/spreadsheetml/2006/main" id="1" name="CostClose" displayName="CostClose" ref="A5:P30" headerRowCount="1" totalsRowCount="0" totalsRowShown="0">
  <x:tableColumns count="16">
    <x:tableColumn id="1" name="编号"/>
    <x:tableColumn id="2" name="阶段"/>
    <x:tableColumn id="3" name="节点"/>
    <x:tableColumn id="4" name="数据提供者"/>
    <x:tableColumn id="5" name="计划日"/>
    <x:tableColumn id="6" name="实际日"/>
    <x:tableColumn id="7" name="成本会计动作"/>
    <x:tableColumn id="8" name="总账复核"/>
    <x:tableColumn id="9" name="异常处理"/>
    <x:tableColumn id="10" name="完成证据"/>
    <x:tableColumn id="11" name="责任人"/>
    <x:tableColumn id="12" name="复核人"/>
    <x:tableColumn id="13" name="状态"/>
    <x:tableColumn id="14" name="异常数量"/>
    <x:tableColumn id="15" name="异常金额"/>
    <x:tableColumn id="16" name="备注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awStock" displayName="RawStock" ref="A5:R30" headerRowCount="1" totalsRowCount="0" totalsRowShown="0">
  <x:tableColumns count="18">
    <x:tableColumn id="1" name="物料编码"/>
    <x:tableColumn id="2" name="物料名称"/>
    <x:tableColumn id="3" name="单位"/>
    <x:tableColumn id="4" name="期初数量"/>
    <x:tableColumn id="5" name="期初金额"/>
    <x:tableColumn id="6" name="采购数量"/>
    <x:tableColumn id="7" name="采购金额"/>
    <x:tableColumn id="8" name="其他入库"/>
    <x:tableColumn id="9" name="生产领用数量"/>
    <x:tableColumn id="10" name="生产领用金额"/>
    <x:tableColumn id="11" name="其他出库"/>
    <x:tableColumn id="12" name="期末数量"/>
    <x:tableColumn id="13" name="期末金额"/>
    <x:tableColumn id="14" name="平均单价"/>
    <x:tableColumn id="15" name="账面仓库数量"/>
    <x:tableColumn id="16" name="数量差"/>
    <x:tableColumn id="17" name="状态"/>
    <x:tableColumn id="18" name="备注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Accruals" displayName="Accruals" ref="A5:R30" headerRowCount="1" totalsRowCount="0" totalsRowShown="0">
  <x:tableColumns count="18">
    <x:tableColumn id="1" name="编号"/>
    <x:tableColumn id="2" name="供应商"/>
    <x:tableColumn id="3" name="PO"/>
    <x:tableColumn id="4" name="物料"/>
    <x:tableColumn id="5" name="收货日"/>
    <x:tableColumn id="6" name="数量"/>
    <x:tableColumn id="7" name="暂估单价"/>
    <x:tableColumn id="8" name="暂估金额"/>
    <x:tableColumn id="9" name="预计税额"/>
    <x:tableColumn id="10" name="收票日"/>
    <x:tableColumn id="11" name="发票金额"/>
    <x:tableColumn id="12" name="发票税额"/>
    <x:tableColumn id="13" name="价差"/>
    <x:tableColumn id="14" name="账龄"/>
    <x:tableColumn id="15" name="已耗用金额"/>
    <x:tableColumn id="16" name="价差去向"/>
    <x:tableColumn id="17" name="责任人"/>
    <x:tableColumn id="18" name="状态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BOMDiff" displayName="BOMDiff" ref="A5:R30" headerRowCount="1" totalsRowCount="0" totalsRowShown="0">
  <x:tableColumns count="18">
    <x:tableColumn id="1" name="产品"/>
    <x:tableColumn id="2" name="版本"/>
    <x:tableColumn id="3" name="物料"/>
    <x:tableColumn id="4" name="BOM单耗"/>
    <x:tableColumn id="5" name="工单数量"/>
    <x:tableColumn id="6" name="标准用量"/>
    <x:tableColumn id="7" name="实际领料"/>
    <x:tableColumn id="8" name="退料"/>
    <x:tableColumn id="9" name="净耗用"/>
    <x:tableColumn id="10" name="用量差"/>
    <x:tableColumn id="11" name="差异率"/>
    <x:tableColumn id="12" name="标准价"/>
    <x:tableColumn id="13" name="金额影响"/>
    <x:tableColumn id="14" name="原因"/>
    <x:tableColumn id="15" name="工程变更"/>
    <x:tableColumn id="16" name="责任部门"/>
    <x:tableColumn id="17" name="处理方案"/>
    <x:tableColumn id="18" name="状态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WorkOrders" displayName="WorkOrders" ref="A5:S30" headerRowCount="1" totalsRowCount="0" totalsRowShown="0">
  <x:tableColumns count="19">
    <x:tableColumn id="1" name="工单"/>
    <x:tableColumn id="2" name="产品"/>
    <x:tableColumn id="3" name="版本"/>
    <x:tableColumn id="4" name="计划数量"/>
    <x:tableColumn id="5" name="投产数量"/>
    <x:tableColumn id="6" name="完工数量"/>
    <x:tableColumn id="7" name="报废数量"/>
    <x:tableColumn id="8" name="期末在制"/>
    <x:tableColumn id="9" name="材料"/>
    <x:tableColumn id="10" name="人工"/>
    <x:tableColumn id="11" name="制造费用"/>
    <x:tableColumn id="12" name="期初WIP"/>
    <x:tableColumn id="13" name="完工成本"/>
    <x:tableColumn id="14" name="期末WIP"/>
    <x:tableColumn id="15" name="计划完工日"/>
    <x:tableColumn id="16" name="状态"/>
    <x:tableColumn id="17" name="长期未关"/>
    <x:tableColumn id="18" name="责任人"/>
    <x:tableColumn id="19" name="异常说明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MfgOH" displayName="MfgOH" ref="A5:O30" headerRowCount="1" totalsRowCount="0" totalsRowShown="0">
  <x:tableColumns count="15">
    <x:tableColumn id="1" name="费用项目"/>
    <x:tableColumn id="2" name="装配车间"/>
    <x:tableColumn id="3" name="耗材车间"/>
    <x:tableColumn id="4" name="公共制造"/>
    <x:tableColumn id="5" name="合计"/>
    <x:tableColumn id="6" name="数据来源"/>
    <x:tableColumn id="7" name="计提/发票"/>
    <x:tableColumn id="8" name="成本中心"/>
    <x:tableColumn id="9" name="可直接归属"/>
    <x:tableColumn id="10" name="分配基础"/>
    <x:tableColumn id="11" name="本期预算"/>
    <x:tableColumn id="12" name="差异"/>
    <x:tableColumn id="13" name="差异率"/>
    <x:tableColumn id="14" name="异常说明"/>
    <x:tableColumn id="15" name="复核人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OHAlloc" displayName="OHAlloc" ref="A5:N30" headerRowCount="1" totalsRowCount="0" totalsRowShown="0">
  <x:tableColumns count="14">
    <x:tableColumn id="1" name="成本池"/>
    <x:tableColumn id="2" name="分配基础"/>
    <x:tableColumn id="3" name="总费用"/>
    <x:tableColumn id="4" name="P100动因"/>
    <x:tableColumn id="5" name="C200动因"/>
    <x:tableColumn id="6" name="动因合计"/>
    <x:tableColumn id="7" name="分配率"/>
    <x:tableColumn id="8" name="P100分配"/>
    <x:tableColumn id="9" name="C200分配"/>
    <x:tableColumn id="10" name="分配合计"/>
    <x:tableColumn id="11" name="未分配差异"/>
    <x:tableColumn id="12" name="方法适用"/>
    <x:tableColumn id="13" name="政策版本"/>
    <x:tableColumn id="14" name="复核人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WIPCost" displayName="WIPCost" ref="A5:Q30" headerRowCount="1" totalsRowCount="0" totalsRowShown="0">
  <x:tableColumns count="17">
    <x:tableColumn id="1" name="产品/工单"/>
    <x:tableColumn id="2" name="成本项目"/>
    <x:tableColumn id="3" name="待分配成本"/>
    <x:tableColumn id="4" name="完工数量"/>
    <x:tableColumn id="5" name="期末WIP数量"/>
    <x:tableColumn id="6" name="材料完工率"/>
    <x:tableColumn id="7" name="转换完工率"/>
    <x:tableColumn id="8" name="完工约当"/>
    <x:tableColumn id="9" name="WIP约当"/>
    <x:tableColumn id="10" name="约当合计"/>
    <x:tableColumn id="11" name="单位约当成本"/>
    <x:tableColumn id="12" name="完工成本"/>
    <x:tableColumn id="13" name="期末WIP成本"/>
    <x:tableColumn id="14" name="数据来源"/>
    <x:tableColumn id="15" name="估计依据"/>
    <x:tableColumn id="16" name="复核人"/>
    <x:tableColumn id="17" name="状态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FinishedCost" displayName="FinishedCost" ref="A5:O30" headerRowCount="1" totalsRowCount="0" totalsRowShown="0">
  <x:tableColumns count="15">
    <x:tableColumn id="1" name="产品"/>
    <x:tableColumn id="2" name="月初WIP"/>
    <x:tableColumn id="3" name="直接材料"/>
    <x:tableColumn id="4" name="直接人工"/>
    <x:tableColumn id="5" name="制造费用"/>
    <x:tableColumn id="6" name="本期生产成本"/>
    <x:tableColumn id="7" name="可供分配"/>
    <x:tableColumn id="8" name="月末WIP"/>
    <x:tableColumn id="9" name="完工成本"/>
    <x:tableColumn id="10" name="完工数量"/>
    <x:tableColumn id="11" name="单位成本"/>
    <x:tableColumn id="12" name="工单"/>
    <x:tableColumn id="13" name="成本方法"/>
    <x:tableColumn id="14" name="复核结论"/>
    <x:tableColumn id="15" name="复核人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UnitCost" displayName="UnitCost" ref="A5:P30" headerRowCount="1" totalsRowCount="0" totalsRowShown="0">
  <x:tableColumns count="16">
    <x:tableColumn id="1" name="产品"/>
    <x:tableColumn id="2" name="期间"/>
    <x:tableColumn id="3" name="材料单位成本"/>
    <x:tableColumn id="4" name="人工单位成本"/>
    <x:tableColumn id="5" name="制费单位成本"/>
    <x:tableColumn id="6" name="WIP影响"/>
    <x:tableColumn id="7" name="本期单位成本"/>
    <x:tableColumn id="8" name="上期单位成本"/>
    <x:tableColumn id="9" name="变动额"/>
    <x:tableColumn id="10" name="变动率"/>
    <x:tableColumn id="11" name="标准成本"/>
    <x:tableColumn id="12" name="标准差异"/>
    <x:tableColumn id="13" name="主要原因"/>
    <x:tableColumn id="14" name="责任部门"/>
    <x:tableColumn id="15" name="处理方案"/>
    <x:tableColumn id="16" name="状态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Margin" displayName="Margin" ref="A5:O30" headerRowCount="1" totalsRowCount="0" totalsRowShown="0">
  <x:tableColumns count="15">
    <x:tableColumn id="1" name="产品"/>
    <x:tableColumn id="2" name="销售数量"/>
    <x:tableColumn id="3" name="销售收入"/>
    <x:tableColumn id="4" name="月初数量"/>
    <x:tableColumn id="5" name="月初成本"/>
    <x:tableColumn id="6" name="本月完工数量"/>
    <x:tableColumn id="7" name="本月完工成本"/>
    <x:tableColumn id="8" name="可售数量"/>
    <x:tableColumn id="9" name="可售成本"/>
    <x:tableColumn id="10" name="加权单位成本"/>
    <x:tableColumn id="11" name="销售成本"/>
    <x:tableColumn id="12" name="毛利"/>
    <x:tableColumn id="13" name="毛利率"/>
    <x:tableColumn id="14" name="上期毛利率"/>
    <x:tableColumn id="15" name="变化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InventoryAging" displayName="InventoryAging" ref="A5:P30" headerRowCount="1" totalsRowCount="0" totalsRowShown="0">
  <x:tableColumns count="16">
    <x:tableColumn id="1" name="物料"/>
    <x:tableColumn id="2" name="名称"/>
    <x:tableColumn id="3" name="类别"/>
    <x:tableColumn id="4" name="数量"/>
    <x:tableColumn id="5" name="金额"/>
    <x:tableColumn id="6" name="最后入库日"/>
    <x:tableColumn id="7" name="最后出库日"/>
    <x:tableColumn id="8" name="库龄天数"/>
    <x:tableColumn id="9" name="0-30"/>
    <x:tableColumn id="10" name="31-90"/>
    <x:tableColumn id="11" name="91-180"/>
    <x:tableColumn id="12" name="181-365"/>
    <x:tableColumn id="13" name="1-2年"/>
    <x:tableColumn id="14" name="2年以上"/>
    <x:tableColumn id="15" name="用途/需求"/>
    <x:tableColumn id="16" name="风险等级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SlowMoving" displayName="SlowMoving" ref="A5:Q30" headerRowCount="1" totalsRowCount="0" totalsRowShown="0">
  <x:tableColumns count="17">
    <x:tableColumn id="1" name="物料"/>
    <x:tableColumn id="2" name="名称"/>
    <x:tableColumn id="3" name="类别"/>
    <x:tableColumn id="4" name="金额"/>
    <x:tableColumn id="5" name="库龄"/>
    <x:tableColumn id="6" name="近6月耗用"/>
    <x:tableColumn id="7" name="未来需求"/>
    <x:tableColumn id="8" name="旧型号"/>
    <x:tableColumn id="9" name="可替代"/>
    <x:tableColumn id="10" name="售后用途"/>
    <x:tableColumn id="11" name="改制可能"/>
    <x:tableColumn id="12" name="处置报价"/>
    <x:tableColumn id="13" name="呆滞结论"/>
    <x:tableColumn id="14" name="建议动作"/>
    <x:tableColumn id="15" name="责任部门"/>
    <x:tableColumn id="16" name="计划日"/>
    <x:tableColumn id="17" name="状态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CountDiff" displayName="CountDiff" ref="A5:R30" headerRowCount="1" totalsRowCount="0" totalsRowShown="0">
  <x:tableColumns count="18">
    <x:tableColumn id="1" name="盘点单"/>
    <x:tableColumn id="2" name="物料"/>
    <x:tableColumn id="3" name="仓库/地点"/>
    <x:tableColumn id="4" name="账面数量"/>
    <x:tableColumn id="5" name="实盘数量"/>
    <x:tableColumn id="6" name="数量差"/>
    <x:tableColumn id="7" name="账面单价"/>
    <x:tableColumn id="8" name="金额差"/>
    <x:tableColumn id="9" name="差异类型"/>
    <x:tableColumn id="10" name="原因"/>
    <x:tableColumn id="11" name="是否正常损耗"/>
    <x:tableColumn id="12" name="责任部门"/>
    <x:tableColumn id="13" name="审批人"/>
    <x:tableColumn id="14" name="处理分录"/>
    <x:tableColumn id="15" name="税务影响"/>
    <x:tableColumn id="16" name="计划关闭"/>
    <x:tableColumn id="17" name="状态"/>
    <x:tableColumn id="18" name="证据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5" name="NRV" displayName="NRV" ref="A5:R30" headerRowCount="1" totalsRowCount="0" totalsRowShown="0">
  <x:tableColumns count="18">
    <x:tableColumn id="1" name="物料/产品"/>
    <x:tableColumn id="2" name="类别"/>
    <x:tableColumn id="3" name="数量"/>
    <x:tableColumn id="4" name="单位成本"/>
    <x:tableColumn id="5" name="账面成本"/>
    <x:tableColumn id="6" name="预计售价"/>
    <x:tableColumn id="7" name="至完工成本"/>
    <x:tableColumn id="8" name="销售费税费"/>
    <x:tableColumn id="9" name="单位NRV"/>
    <x:tableColumn id="10" name="总NRV"/>
    <x:tableColumn id="11" name="应计跌价"/>
    <x:tableColumn id="12" name="已有准备"/>
    <x:tableColumn id="13" name="本期计提/转回"/>
    <x:tableColumn id="14" name="证据"/>
    <x:tableColumn id="15" name="持有目的"/>
    <x:tableColumn id="16" name="责任部门"/>
    <x:tableColumn id="17" name="复核人"/>
    <x:tableColumn id="18" name="状态"/>
  </x:tableColumns>
  <x:tableStyleInfo name="TableStyleMedium2" showFirstColumn="0" showLastColumn="0" showRowStripes="1" showColumnStripes="0"/>
</x:table>
</file>

<file path=xl/tables/table16.xml><?xml version="1.0" encoding="utf-8"?>
<x:table xmlns:x="http://schemas.openxmlformats.org/spreadsheetml/2006/main" id="16" name="CostRemediation" displayName="CostRemediation" ref="A5:R30" headerRowCount="1" totalsRowCount="0" totalsRowShown="0">
  <x:tableColumns count="18">
    <x:tableColumn id="1" name="编号"/>
    <x:tableColumn id="2" name="发现日"/>
    <x:tableColumn id="3" name="异常类型"/>
    <x:tableColumn id="4" name="产品/物料/工单"/>
    <x:tableColumn id="5" name="异常现象"/>
    <x:tableColumn id="6" name="影响金额"/>
    <x:tableColumn id="7" name="可能原因"/>
    <x:tableColumn id="8" name="数据来源"/>
    <x:tableColumn id="9" name="责任部门"/>
    <x:tableColumn id="10" name="临时调整"/>
    <x:tableColumn id="11" name="永久措施"/>
    <x:tableColumn id="12" name="计划日"/>
    <x:tableColumn id="13" name="实际日"/>
    <x:tableColumn id="14" name="复核证据"/>
    <x:tableColumn id="15" name="复核人"/>
    <x:tableColumn id="16" name="状态"/>
    <x:tableColumn id="17" name="逾期天数"/>
    <x:tableColumn id="18" name="重复发生"/>
  </x:tableColumns>
  <x:tableStyleInfo name="TableStyleMedium2" showFirstColumn="0" showLastColumn="0" showRowStripes="1" showColumnStripes="0"/>
</x:table>
</file>

<file path=xl/tables/table17.xml><?xml version="1.0" encoding="utf-8"?>
<x:table xmlns:x="http://schemas.openxmlformats.org/spreadsheetml/2006/main" id="17" name="Dictionary" displayName="Dictionary" ref="A5:H30" headerRowCount="1" totalsRowCount="0" totalsRowShown="0">
  <x:tableColumns count="8">
    <x:tableColumn id="1" name="类别"/>
    <x:tableColumn id="2" name="代码"/>
    <x:tableColumn id="3" name="名称"/>
    <x:tableColumn id="4" name="定义"/>
    <x:tableColumn id="5" name="所有者"/>
    <x:tableColumn id="6" name="复核"/>
    <x:tableColumn id="7" name="关闭/生效条件"/>
    <x:tableColumn id="8" name="备注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7f4d22ef72d403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787a02b11ff423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a87bfb428a1464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1ca334f59a34df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73eb8c237a4465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84f5d7d01e8c43f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6e40ae42dc49439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402941360c344046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930655f61ed4490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c399385cdb464d50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98dbb7692bfe4831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2.xml" Id="R5c708f4fc4904ce9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3.xml" Id="R75d508d67bbc48ef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4.xml" Id="Rdfd114b96a364083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5.xml" Id="Rbf09d24a0495498b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6.xml" Id="Rcc8f457a0bd34200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table" Target="/xl/tables/table17.xml" Id="R55efa3f059624a59" /></Relationships>
</file>

<file path=xl/worksheets/sheet1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24" hidden="0" customWidth="1"/>
    <x:col min="2" max="2" width="20" hidden="0" customWidth="1"/>
    <x:col min="3" max="3" width="18" hidden="0" customWidth="1"/>
    <x:col min="4" max="4" width="38" hidden="0" customWidth="1"/>
  </x:cols>
  <x:sheetData>
    <x:row r="1" ht="30" customHeight="1">
      <x:c r="A1" s="87" t="str">
        <x:v>成本与存货月结实操工具</x:v>
      </x:c>
      <x:c r="B1" s="88"/>
      <x:c r="C1" s="88"/>
      <x:c r="D1" s="88"/>
    </x:row>
    <x:row r="2" ht="24" customHeight="1">
      <x:c r="A2" s="89" t="str">
        <x:v>远澜增材科技（苏州）有限公司｜2026年8月｜金额单位：万元</x:v>
      </x:c>
      <x:c r="B2" s="88"/>
      <x:c r="C2" s="88"/>
      <x:c r="D2" s="88"/>
    </x:row>
    <x:row r="3">
      <x:c r="A3" s="88"/>
      <x:c r="B3" s="88"/>
      <x:c r="C3" s="88"/>
      <x:c r="D3" s="88"/>
    </x:row>
    <x:row r="4">
      <x:c r="A4" s="88"/>
      <x:c r="B4" s="88"/>
      <x:c r="C4" s="88"/>
      <x:c r="D4" s="88"/>
    </x:row>
    <x:row r="5" ht="32" customHeight="1">
      <x:c r="A5" s="15" t="str">
        <x:v>参数</x:v>
      </x:c>
      <x:c r="B5" s="16" t="str">
        <x:v>数值</x:v>
      </x:c>
      <x:c r="C5" s="16" t="str">
        <x:v>性质</x:v>
      </x:c>
      <x:c r="D5" s="17" t="str">
        <x:v>说明</x:v>
      </x:c>
    </x:row>
    <x:row r="6">
      <x:c r="A6" s="36" t="str">
        <x:v>结账日</x:v>
      </x:c>
      <x:c r="B6" s="45" t="n">
        <x:v>46265</x:v>
      </x:c>
      <x:c r="C6" s="37" t="str">
        <x:v>输入</x:v>
      </x:c>
      <x:c r="D6" s="38" t="str">
        <x:v>账龄基准</x:v>
      </x:c>
    </x:row>
    <x:row r="7">
      <x:c r="A7" s="39" t="str">
        <x:v>P100完工数量</x:v>
      </x:c>
      <x:c r="B7" s="40" t="n">
        <x:v>150</x:v>
      </x:c>
      <x:c r="C7" s="40" t="str">
        <x:v>业务数据</x:v>
      </x:c>
      <x:c r="D7" s="41" t="str">
        <x:v>台</x:v>
      </x:c>
    </x:row>
    <x:row r="8">
      <x:c r="A8" s="39" t="str">
        <x:v>C200完工数量</x:v>
      </x:c>
      <x:c r="B8" s="40" t="n">
        <x:v>900</x:v>
      </x:c>
      <x:c r="C8" s="40" t="str">
        <x:v>业务数据</x:v>
      </x:c>
      <x:c r="D8" s="41" t="str">
        <x:v>箱</x:v>
      </x:c>
    </x:row>
    <x:row r="9">
      <x:c r="A9" s="39" t="str">
        <x:v>P100机器工时</x:v>
      </x:c>
      <x:c r="B9" s="40" t="n">
        <x:v>3000</x:v>
      </x:c>
      <x:c r="C9" s="40" t="str">
        <x:v>业务数据</x:v>
      </x:c>
      <x:c r="D9" s="41" t="str">
        <x:v>小时</x:v>
      </x:c>
    </x:row>
    <x:row r="10">
      <x:c r="A10" s="39" t="str">
        <x:v>C200机器工时</x:v>
      </x:c>
      <x:c r="B10" s="40" t="n">
        <x:v>1000</x:v>
      </x:c>
      <x:c r="C10" s="40" t="str">
        <x:v>业务数据</x:v>
      </x:c>
      <x:c r="D10" s="41" t="str">
        <x:v>小时</x:v>
      </x:c>
    </x:row>
    <x:row r="11">
      <x:c r="A11" s="39" t="str">
        <x:v>制造费用池</x:v>
      </x:c>
      <x:c r="B11" s="40" t="n">
        <x:v>180</x:v>
      </x:c>
      <x:c r="C11" s="40" t="str">
        <x:v>会计数据</x:v>
      </x:c>
      <x:c r="D11" s="41" t="str">
        <x:v>本期实际</x:v>
      </x:c>
    </x:row>
    <x:row r="12">
      <x:c r="A12" s="39" t="str">
        <x:v>期初WIP</x:v>
      </x:c>
      <x:c r="B12" s="40" t="n">
        <x:v>60</x:v>
      </x:c>
      <x:c r="C12" s="40" t="str">
        <x:v>会计数据</x:v>
      </x:c>
      <x:c r="D12" s="41" t="str">
        <x:v>两产品合计</x:v>
      </x:c>
    </x:row>
    <x:row r="13">
      <x:c r="A13" s="39" t="str">
        <x:v>期末WIP</x:v>
      </x:c>
      <x:c r="B13" s="40" t="n">
        <x:v>115</x:v>
      </x:c>
      <x:c r="C13" s="40" t="str">
        <x:v>估计/盘点</x:v>
      </x:c>
      <x:c r="D13" s="41" t="str">
        <x:v>两产品合计</x:v>
      </x:c>
    </x:row>
    <x:row r="14">
      <x:c r="A14" s="39" t="str">
        <x:v>销售收入</x:v>
      </x:c>
      <x:c r="B14" s="40" t="n">
        <x:v>710</x:v>
      </x:c>
      <x:c r="C14" s="40" t="str">
        <x:v>会计数据</x:v>
      </x:c>
      <x:c r="D14" s="41" t="str">
        <x:v>不含税</x:v>
      </x:c>
    </x:row>
    <x:row r="15">
      <x:c r="A15" s="39" t="str">
        <x:v>异常阈值</x:v>
      </x:c>
      <x:c r="B15" s="47" t="n">
        <x:v>0.15</x:v>
      </x:c>
      <x:c r="C15" s="40" t="str">
        <x:v>内部政策</x:v>
      </x:c>
      <x:c r="D15" s="41" t="str">
        <x:v>成本/毛利变动</x:v>
      </x:c>
    </x:row>
    <x:row r="16">
      <x:c r="A16" s="39" t="str">
        <x:v>呆滞天数</x:v>
      </x:c>
      <x:c r="B16" s="40" t="n">
        <x:v>180</x:v>
      </x:c>
      <x:c r="C16" s="40" t="str">
        <x:v>内部政策</x:v>
      </x:c>
      <x:c r="D16" s="41" t="str">
        <x:v>不等于减值</x:v>
      </x:c>
    </x:row>
    <x:row r="17">
      <x:c r="A17" s="42" t="str">
        <x:v>政策核验日</x:v>
      </x:c>
      <x:c r="B17" s="46" t="n">
        <x:v>46274</x:v>
      </x:c>
      <x:c r="C17" s="43" t="str">
        <x:v>版本</x:v>
      </x:c>
      <x:c r="D17" s="44" t="str">
        <x:v>实际工作前复核</x:v>
      </x:c>
    </x:row>
  </x:sheetData>
  <x:mergeCells>
    <x:mergeCell ref="A1:J1"/>
    <x:mergeCell ref="A2:J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12" hidden="0" customWidth="1"/>
    <x:col min="2" max="2" width="9" hidden="0" customWidth="1"/>
    <x:col min="3" max="3" width="24" hidden="0" customWidth="1"/>
    <x:col min="4" max="4" width="18" hidden="0" customWidth="1"/>
    <x:col min="5" max="5" width="13" hidden="0" customWidth="1"/>
    <x:col min="6" max="6" width="13" hidden="0" customWidth="1"/>
    <x:col min="7" max="7" width="28" hidden="0" customWidth="1"/>
    <x:col min="8" max="8" width="24" hidden="0" customWidth="1"/>
    <x:col min="9" max="9" width="28" hidden="0" customWidth="1"/>
    <x:col min="10" max="10" width="20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4" hidden="0" customWidth="1"/>
    <x:col min="16" max="16" width="18" hidden="0" customWidth="1"/>
  </x:cols>
  <x:sheetData>
    <x:row r="1" ht="30" customHeight="1">
      <x:c r="A1" s="87" t="str">
        <x:v>成本月结检查清单</x:v>
      </x:c>
      <x:c r="B1" s="88"/>
      <x:c r="C1" s="88"/>
      <x:c r="D1" s="88"/>
      <x:c r="E1" s="88"/>
      <x:c r="F1" s="88"/>
      <x:c r="G1" s="88"/>
      <x:c r="H1" s="88"/>
      <x:c r="I1" s="88"/>
      <x:c r="J1" s="88"/>
      <x:c r="K1" s="88"/>
      <x:c r="L1" s="88"/>
      <x:c r="M1" s="88"/>
      <x:c r="N1" s="88"/>
      <x:c r="O1" s="88"/>
      <x:c r="P1" s="88"/>
    </x:row>
    <x:row r="2" ht="24" customHeight="1">
      <x:c r="A2" s="89" t="str">
        <x:v>按依赖顺序关闭：库存→工单→人工制费→WIP→完工→销售成本→GL→毛利</x:v>
      </x:c>
      <x:c r="B2" s="88"/>
      <x:c r="C2" s="88"/>
      <x:c r="D2" s="88"/>
      <x:c r="E2" s="88"/>
      <x:c r="F2" s="88"/>
      <x:c r="G2" s="88"/>
      <x:c r="H2" s="88"/>
      <x:c r="I2" s="88"/>
      <x:c r="J2" s="88"/>
      <x:c r="K2" s="88"/>
      <x:c r="L2" s="88"/>
      <x:c r="M2" s="88"/>
      <x:c r="N2" s="88"/>
      <x:c r="O2" s="88"/>
      <x:c r="P2" s="88"/>
    </x:row>
    <x:row r="3">
      <x:c r="A3" s="88"/>
      <x:c r="B3" s="88"/>
      <x:c r="C3" s="88"/>
      <x:c r="D3" s="88"/>
      <x:c r="E3" s="88"/>
      <x:c r="F3" s="88"/>
      <x:c r="G3" s="88"/>
      <x:c r="H3" s="88"/>
      <x:c r="I3" s="88"/>
      <x:c r="J3" s="88"/>
      <x:c r="K3" s="88"/>
      <x:c r="L3" s="88"/>
      <x:c r="M3" s="88"/>
      <x:c r="N3" s="88"/>
      <x:c r="O3" s="88"/>
      <x:c r="P3" s="88"/>
    </x:row>
    <x:row r="4">
      <x:c r="A4" s="88"/>
      <x:c r="B4" s="88"/>
      <x:c r="C4" s="88"/>
      <x:c r="D4" s="88"/>
      <x:c r="E4" s="88"/>
      <x:c r="F4" s="88"/>
      <x:c r="G4" s="88"/>
      <x:c r="H4" s="88"/>
      <x:c r="I4" s="88"/>
      <x:c r="J4" s="88"/>
      <x:c r="K4" s="88"/>
      <x:c r="L4" s="88"/>
      <x:c r="M4" s="88"/>
      <x:c r="N4" s="88"/>
      <x:c r="O4" s="88"/>
      <x:c r="P4" s="88"/>
    </x:row>
    <x:row r="5" ht="32" customHeight="1">
      <x:c r="A5" s="15" t="str">
        <x:v>编号</x:v>
      </x:c>
      <x:c r="B5" s="16" t="str">
        <x:v>阶段</x:v>
      </x:c>
      <x:c r="C5" s="16" t="str">
        <x:v>节点</x:v>
      </x:c>
      <x:c r="D5" s="16" t="str">
        <x:v>数据提供者</x:v>
      </x:c>
      <x:c r="E5" s="16" t="str">
        <x:v>计划日</x:v>
      </x:c>
      <x:c r="F5" s="16" t="str">
        <x:v>实际日</x:v>
      </x:c>
      <x:c r="G5" s="16" t="str">
        <x:v>成本会计动作</x:v>
      </x:c>
      <x:c r="H5" s="16" t="str">
        <x:v>总账复核</x:v>
      </x:c>
      <x:c r="I5" s="16" t="str">
        <x:v>异常处理</x:v>
      </x:c>
      <x:c r="J5" s="16" t="str">
        <x:v>完成证据</x:v>
      </x:c>
      <x:c r="K5" s="16" t="str">
        <x:v>责任人</x:v>
      </x:c>
      <x:c r="L5" s="16" t="str">
        <x:v>复核人</x:v>
      </x:c>
      <x:c r="M5" s="16" t="str">
        <x:v>状态</x:v>
      </x:c>
      <x:c r="N5" s="16" t="str">
        <x:v>异常数量</x:v>
      </x:c>
      <x:c r="O5" s="16" t="str">
        <x:v>异常金额</x:v>
      </x:c>
      <x:c r="P5" s="17" t="str">
        <x:v>备注</x:v>
      </x:c>
    </x:row>
    <x:row r="6">
      <x:c r="A6" s="48" t="str">
        <x:v>CC-01</x:v>
      </x:c>
      <x:c r="B6" s="49" t="str">
        <x:v>D</x:v>
      </x:c>
      <x:c r="C6" s="49" t="str">
        <x:v>采购入库截止</x:v>
      </x:c>
      <x:c r="D6" s="49" t="str">
        <x:v>采购/仓库</x:v>
      </x:c>
      <x:c r="E6" s="57" t="n">
        <x:v>46265</x:v>
      </x:c>
      <x:c r="F6" s="57"/>
      <x:c r="G6" s="49" t="str">
        <x:v>检查未审核收货</x:v>
      </x:c>
      <x:c r="H6" s="49" t="str">
        <x:v>暂估完整</x:v>
      </x:c>
      <x:c r="I6" s="49" t="str">
        <x:v>退回异常单据</x:v>
      </x:c>
      <x:c r="J6" s="49" t="str">
        <x:v>入库清单</x:v>
      </x:c>
      <x:c r="K6" s="49" t="str">
        <x:v>AP</x:v>
      </x:c>
      <x:c r="L6" s="49" t="str">
        <x:v>总账</x:v>
      </x:c>
      <x:c r="M6" s="49" t="str">
        <x:v>进行中</x:v>
      </x:c>
      <x:c r="N6" s="49" t="n">
        <x:v>1</x:v>
      </x:c>
      <x:c r="O6" s="61" t="n">
        <x:v>60</x:v>
      </x:c>
      <x:c r="P6" s="50" t="str"/>
    </x:row>
    <x:row r="7">
      <x:c r="A7" s="39" t="str">
        <x:v>CC-02</x:v>
      </x:c>
      <x:c r="B7" s="40" t="str">
        <x:v>D+1</x:v>
      </x:c>
      <x:c r="C7" s="40" t="str">
        <x:v>收发存与负库存</x:v>
      </x:c>
      <x:c r="D7" s="40" t="str">
        <x:v>仓库</x:v>
      </x:c>
      <x:c r="E7" s="58" t="n">
        <x:v>46266</x:v>
      </x:c>
      <x:c r="F7" s="58"/>
      <x:c r="G7" s="40" t="str">
        <x:v>数量金额桥</x:v>
      </x:c>
      <x:c r="H7" s="40" t="str">
        <x:v>库存=GL</x:v>
      </x:c>
      <x:c r="I7" s="40" t="str">
        <x:v>追首次负数</x:v>
      </x:c>
      <x:c r="J7" s="40" t="str">
        <x:v>收发存</x:v>
      </x:c>
      <x:c r="K7" s="40" t="str">
        <x:v>成本</x:v>
      </x:c>
      <x:c r="L7" s="40" t="str">
        <x:v>总账</x:v>
      </x:c>
      <x:c r="M7" s="40" t="str">
        <x:v>待复核</x:v>
      </x:c>
      <x:c r="N7" s="40" t="n">
        <x:v>1</x:v>
      </x:c>
      <x:c r="O7" s="62" t="n">
        <x:v>12</x:v>
      </x:c>
      <x:c r="P7" s="41" t="str"/>
    </x:row>
    <x:row r="8">
      <x:c r="A8" s="51" t="str">
        <x:v>CC-03</x:v>
      </x:c>
      <x:c r="B8" s="52" t="str">
        <x:v>D+1</x:v>
      </x:c>
      <x:c r="C8" s="52" t="str">
        <x:v>工单领退料报工</x:v>
      </x:c>
      <x:c r="D8" s="52" t="str">
        <x:v>生产/PMC</x:v>
      </x:c>
      <x:c r="E8" s="59" t="n">
        <x:v>46266</x:v>
      </x:c>
      <x:c r="F8" s="59"/>
      <x:c r="G8" s="52" t="str">
        <x:v>工单数量桥</x:v>
      </x:c>
      <x:c r="H8" s="52" t="str">
        <x:v>截止/完整</x:v>
      </x:c>
      <x:c r="I8" s="52" t="str">
        <x:v>退回错工单</x:v>
      </x:c>
      <x:c r="J8" s="52" t="str">
        <x:v>工单表</x:v>
      </x:c>
      <x:c r="K8" s="52" t="str">
        <x:v>成本</x:v>
      </x:c>
      <x:c r="L8" s="52" t="str">
        <x:v>总账</x:v>
      </x:c>
      <x:c r="M8" s="52" t="str">
        <x:v>进行中</x:v>
      </x:c>
      <x:c r="N8" s="52" t="n">
        <x:v>2</x:v>
      </x:c>
      <x:c r="O8" s="63" t="n">
        <x:v>0</x:v>
      </x:c>
      <x:c r="P8" s="53" t="str"/>
    </x:row>
    <x:row r="9">
      <x:c r="A9" s="39" t="str">
        <x:v>CC-04</x:v>
      </x:c>
      <x:c r="B9" s="40" t="str">
        <x:v>D+2</x:v>
      </x:c>
      <x:c r="C9" s="40" t="str">
        <x:v>工资折旧制费</x:v>
      </x:c>
      <x:c r="D9" s="40" t="str">
        <x:v>HR/FA/AP</x:v>
      </x:c>
      <x:c r="E9" s="58" t="n">
        <x:v>46267</x:v>
      </x:c>
      <x:c r="F9" s="58"/>
      <x:c r="G9" s="40" t="str">
        <x:v>归集成本中心</x:v>
      </x:c>
      <x:c r="H9" s="40" t="str">
        <x:v>计提完整</x:v>
      </x:c>
      <x:c r="I9" s="40" t="str">
        <x:v>补提重分类</x:v>
      </x:c>
      <x:c r="J9" s="40" t="str">
        <x:v>制费表</x:v>
      </x:c>
      <x:c r="K9" s="40" t="str">
        <x:v>成本</x:v>
      </x:c>
      <x:c r="L9" s="40" t="str">
        <x:v>主管</x:v>
      </x:c>
      <x:c r="M9" s="40" t="str">
        <x:v>进行中</x:v>
      </x:c>
      <x:c r="N9" s="40" t="n">
        <x:v>0</x:v>
      </x:c>
      <x:c r="O9" s="62" t="n">
        <x:v>180</x:v>
      </x:c>
      <x:c r="P9" s="41" t="str"/>
    </x:row>
    <x:row r="10">
      <x:c r="A10" s="51" t="str">
        <x:v>CC-05</x:v>
      </x:c>
      <x:c r="B10" s="52" t="str">
        <x:v>D+3</x:v>
      </x:c>
      <x:c r="C10" s="52" t="str">
        <x:v>制造费用分配</x:v>
      </x:c>
      <x:c r="D10" s="52" t="str">
        <x:v>成本</x:v>
      </x:c>
      <x:c r="E10" s="59" t="n">
        <x:v>46268</x:v>
      </x:c>
      <x:c r="F10" s="59"/>
      <x:c r="G10" s="52" t="str">
        <x:v>计算分配率</x:v>
      </x:c>
      <x:c r="H10" s="52" t="str">
        <x:v>方法一致</x:v>
      </x:c>
      <x:c r="I10" s="52" t="str">
        <x:v>修基础重跑</x:v>
      </x:c>
      <x:c r="J10" s="52" t="str">
        <x:v>分配表</x:v>
      </x:c>
      <x:c r="K10" s="52" t="str">
        <x:v>成本</x:v>
      </x:c>
      <x:c r="L10" s="52" t="str">
        <x:v>主管</x:v>
      </x:c>
      <x:c r="M10" s="52" t="str">
        <x:v>未开始</x:v>
      </x:c>
      <x:c r="N10" s="52" t="n">
        <x:v>0</x:v>
      </x:c>
      <x:c r="O10" s="63" t="n">
        <x:v>180</x:v>
      </x:c>
      <x:c r="P10" s="53" t="str"/>
    </x:row>
    <x:row r="11">
      <x:c r="A11" s="39" t="str">
        <x:v>CC-06</x:v>
      </x:c>
      <x:c r="B11" s="40" t="str">
        <x:v>D+3</x:v>
      </x:c>
      <x:c r="C11" s="40" t="str">
        <x:v>在产品计算</x:v>
      </x:c>
      <x:c r="D11" s="40" t="str">
        <x:v>生产/成本</x:v>
      </x:c>
      <x:c r="E11" s="58" t="n">
        <x:v>46268</x:v>
      </x:c>
      <x:c r="F11" s="58"/>
      <x:c r="G11" s="40" t="str">
        <x:v>完工率/约当</x:v>
      </x:c>
      <x:c r="H11" s="40" t="str">
        <x:v>证据合理</x:v>
      </x:c>
      <x:c r="I11" s="40" t="str">
        <x:v>复盘工序</x:v>
      </x:c>
      <x:c r="J11" s="40" t="str">
        <x:v>WIP表</x:v>
      </x:c>
      <x:c r="K11" s="40" t="str">
        <x:v>成本</x:v>
      </x:c>
      <x:c r="L11" s="40" t="str">
        <x:v>主管</x:v>
      </x:c>
      <x:c r="M11" s="40" t="str">
        <x:v>未开始</x:v>
      </x:c>
      <x:c r="N11" s="40" t="n">
        <x:v>0</x:v>
      </x:c>
      <x:c r="O11" s="62" t="n">
        <x:v>115</x:v>
      </x:c>
      <x:c r="P11" s="41" t="str"/>
    </x:row>
    <x:row r="12">
      <x:c r="A12" s="51" t="str">
        <x:v>CC-07</x:v>
      </x:c>
      <x:c r="B12" s="52" t="str">
        <x:v>D+4</x:v>
      </x:c>
      <x:c r="C12" s="52" t="str">
        <x:v>完工和工单结算</x:v>
      </x:c>
      <x:c r="D12" s="52" t="str">
        <x:v>成本</x:v>
      </x:c>
      <x:c r="E12" s="59" t="n">
        <x:v>46269</x:v>
      </x:c>
      <x:c r="F12" s="59"/>
      <x:c r="G12" s="52" t="str">
        <x:v>计算单位成本</x:v>
      </x:c>
      <x:c r="H12" s="52" t="str">
        <x:v>成本桥</x:v>
      </x:c>
      <x:c r="I12" s="52" t="str">
        <x:v>查差异去向</x:v>
      </x:c>
      <x:c r="J12" s="52" t="str">
        <x:v>完工表</x:v>
      </x:c>
      <x:c r="K12" s="52" t="str">
        <x:v>成本</x:v>
      </x:c>
      <x:c r="L12" s="52" t="str">
        <x:v>主管</x:v>
      </x:c>
      <x:c r="M12" s="52" t="str">
        <x:v>未开始</x:v>
      </x:c>
      <x:c r="N12" s="52" t="n">
        <x:v>0</x:v>
      </x:c>
      <x:c r="O12" s="63" t="n">
        <x:v>525</x:v>
      </x:c>
      <x:c r="P12" s="53" t="str"/>
    </x:row>
    <x:row r="13">
      <x:c r="A13" s="39" t="str">
        <x:v>CC-08</x:v>
      </x:c>
      <x:c r="B13" s="40" t="str">
        <x:v>D+4</x:v>
      </x:c>
      <x:c r="C13" s="40" t="str">
        <x:v>销售成本结转</x:v>
      </x:c>
      <x:c r="D13" s="40" t="str">
        <x:v>销售/库存</x:v>
      </x:c>
      <x:c r="E13" s="58" t="n">
        <x:v>46269</x:v>
      </x:c>
      <x:c r="F13" s="58"/>
      <x:c r="G13" s="40" t="str">
        <x:v>数量×计价成本</x:v>
      </x:c>
      <x:c r="H13" s="40" t="str">
        <x:v>收入匹配</x:v>
      </x:c>
      <x:c r="I13" s="40" t="str">
        <x:v>查跨期退货</x:v>
      </x:c>
      <x:c r="J13" s="40" t="str">
        <x:v>毛利表</x:v>
      </x:c>
      <x:c r="K13" s="40" t="str">
        <x:v>成本</x:v>
      </x:c>
      <x:c r="L13" s="40" t="str">
        <x:v>总账</x:v>
      </x:c>
      <x:c r="M13" s="40" t="str">
        <x:v>未开始</x:v>
      </x:c>
      <x:c r="N13" s="40" t="n">
        <x:v>0</x:v>
      </x:c>
      <x:c r="O13" s="62" t="n">
        <x:v>347.62</x:v>
      </x:c>
      <x:c r="P13" s="41" t="str"/>
    </x:row>
    <x:row r="14">
      <x:c r="A14" s="51" t="str">
        <x:v>CC-09</x:v>
      </x:c>
      <x:c r="B14" s="52" t="str">
        <x:v>D+5</x:v>
      </x:c>
      <x:c r="C14" s="52" t="str">
        <x:v>模块GL与毛利</x:v>
      </x:c>
      <x:c r="D14" s="52" t="str">
        <x:v>总账</x:v>
      </x:c>
      <x:c r="E14" s="59" t="n">
        <x:v>46270</x:v>
      </x:c>
      <x:c r="F14" s="59"/>
      <x:c r="G14" s="52" t="str">
        <x:v>异常分析</x:v>
      </x:c>
      <x:c r="H14" s="52" t="str">
        <x:v>批准关闭</x:v>
      </x:c>
      <x:c r="I14" s="52" t="str">
        <x:v>整改台账</x:v>
      </x:c>
      <x:c r="J14" s="52" t="str">
        <x:v>管理看板</x:v>
      </x:c>
      <x:c r="K14" s="52" t="str">
        <x:v>总账</x:v>
      </x:c>
      <x:c r="L14" s="52" t="str">
        <x:v>主管</x:v>
      </x:c>
      <x:c r="M14" s="52" t="str">
        <x:v>未开始</x:v>
      </x:c>
      <x:c r="N14" s="52" t="n">
        <x:v>0</x:v>
      </x:c>
      <x:c r="O14" s="63" t="n">
        <x:v>0</x:v>
      </x:c>
      <x:c r="P14" s="53" t="str"/>
    </x:row>
    <x:row r="15">
      <x:c r="A15" s="39"/>
      <x:c r="B15" s="40"/>
      <x:c r="C15" s="40"/>
      <x:c r="D15" s="40"/>
      <x:c r="E15" s="58"/>
      <x:c r="F15" s="58"/>
      <x:c r="G15" s="40"/>
      <x:c r="H15" s="40"/>
      <x:c r="I15" s="40"/>
      <x:c r="J15" s="40"/>
      <x:c r="K15" s="40"/>
      <x:c r="L15" s="40"/>
      <x:c r="M15" s="40"/>
      <x:c r="N15" s="40"/>
      <x:c r="O15" s="62"/>
      <x:c r="P15" s="41"/>
    </x:row>
    <x:row r="16">
      <x:c r="A16" s="51"/>
      <x:c r="B16" s="52"/>
      <x:c r="C16" s="52"/>
      <x:c r="D16" s="52"/>
      <x:c r="E16" s="59"/>
      <x:c r="F16" s="59"/>
      <x:c r="G16" s="52"/>
      <x:c r="H16" s="52"/>
      <x:c r="I16" s="52"/>
      <x:c r="J16" s="52"/>
      <x:c r="K16" s="52"/>
      <x:c r="L16" s="52"/>
      <x:c r="M16" s="52"/>
      <x:c r="N16" s="52"/>
      <x:c r="O16" s="63"/>
      <x:c r="P16" s="53"/>
    </x:row>
    <x:row r="17">
      <x:c r="A17" s="39"/>
      <x:c r="B17" s="40"/>
      <x:c r="C17" s="40"/>
      <x:c r="D17" s="40"/>
      <x:c r="E17" s="58"/>
      <x:c r="F17" s="58"/>
      <x:c r="G17" s="40"/>
      <x:c r="H17" s="40"/>
      <x:c r="I17" s="40"/>
      <x:c r="J17" s="40"/>
      <x:c r="K17" s="40"/>
      <x:c r="L17" s="40"/>
      <x:c r="M17" s="40"/>
      <x:c r="N17" s="40"/>
      <x:c r="O17" s="62"/>
      <x:c r="P17" s="41"/>
    </x:row>
    <x:row r="18">
      <x:c r="A18" s="51"/>
      <x:c r="B18" s="52"/>
      <x:c r="C18" s="52"/>
      <x:c r="D18" s="52"/>
      <x:c r="E18" s="59"/>
      <x:c r="F18" s="59"/>
      <x:c r="G18" s="52"/>
      <x:c r="H18" s="52"/>
      <x:c r="I18" s="52"/>
      <x:c r="J18" s="52"/>
      <x:c r="K18" s="52"/>
      <x:c r="L18" s="52"/>
      <x:c r="M18" s="52"/>
      <x:c r="N18" s="52"/>
      <x:c r="O18" s="63"/>
      <x:c r="P18" s="53"/>
    </x:row>
    <x:row r="19">
      <x:c r="A19" s="39"/>
      <x:c r="B19" s="40"/>
      <x:c r="C19" s="40"/>
      <x:c r="D19" s="40"/>
      <x:c r="E19" s="58"/>
      <x:c r="F19" s="58"/>
      <x:c r="G19" s="40"/>
      <x:c r="H19" s="40"/>
      <x:c r="I19" s="40"/>
      <x:c r="J19" s="40"/>
      <x:c r="K19" s="40"/>
      <x:c r="L19" s="40"/>
      <x:c r="M19" s="40"/>
      <x:c r="N19" s="40"/>
      <x:c r="O19" s="62"/>
      <x:c r="P19" s="41"/>
    </x:row>
    <x:row r="20">
      <x:c r="A20" s="51"/>
      <x:c r="B20" s="52"/>
      <x:c r="C20" s="52"/>
      <x:c r="D20" s="52"/>
      <x:c r="E20" s="59"/>
      <x:c r="F20" s="59"/>
      <x:c r="G20" s="52"/>
      <x:c r="H20" s="52"/>
      <x:c r="I20" s="52"/>
      <x:c r="J20" s="52"/>
      <x:c r="K20" s="52"/>
      <x:c r="L20" s="52"/>
      <x:c r="M20" s="52"/>
      <x:c r="N20" s="52"/>
      <x:c r="O20" s="63"/>
      <x:c r="P20" s="53"/>
    </x:row>
    <x:row r="21">
      <x:c r="A21" s="39"/>
      <x:c r="B21" s="40"/>
      <x:c r="C21" s="40"/>
      <x:c r="D21" s="40"/>
      <x:c r="E21" s="58"/>
      <x:c r="F21" s="58"/>
      <x:c r="G21" s="40"/>
      <x:c r="H21" s="40"/>
      <x:c r="I21" s="40"/>
      <x:c r="J21" s="40"/>
      <x:c r="K21" s="40"/>
      <x:c r="L21" s="40"/>
      <x:c r="M21" s="40"/>
      <x:c r="N21" s="40"/>
      <x:c r="O21" s="62"/>
      <x:c r="P21" s="41"/>
    </x:row>
    <x:row r="22">
      <x:c r="A22" s="51"/>
      <x:c r="B22" s="52"/>
      <x:c r="C22" s="52"/>
      <x:c r="D22" s="52"/>
      <x:c r="E22" s="59"/>
      <x:c r="F22" s="59"/>
      <x:c r="G22" s="52"/>
      <x:c r="H22" s="52"/>
      <x:c r="I22" s="52"/>
      <x:c r="J22" s="52"/>
      <x:c r="K22" s="52"/>
      <x:c r="L22" s="52"/>
      <x:c r="M22" s="52"/>
      <x:c r="N22" s="52"/>
      <x:c r="O22" s="63"/>
      <x:c r="P22" s="53"/>
    </x:row>
    <x:row r="23">
      <x:c r="A23" s="39"/>
      <x:c r="B23" s="40"/>
      <x:c r="C23" s="40"/>
      <x:c r="D23" s="40"/>
      <x:c r="E23" s="58"/>
      <x:c r="F23" s="58"/>
      <x:c r="G23" s="40"/>
      <x:c r="H23" s="40"/>
      <x:c r="I23" s="40"/>
      <x:c r="J23" s="40"/>
      <x:c r="K23" s="40"/>
      <x:c r="L23" s="40"/>
      <x:c r="M23" s="40"/>
      <x:c r="N23" s="40"/>
      <x:c r="O23" s="62"/>
      <x:c r="P23" s="41"/>
    </x:row>
    <x:row r="24">
      <x:c r="A24" s="51"/>
      <x:c r="B24" s="52"/>
      <x:c r="C24" s="52"/>
      <x:c r="D24" s="52"/>
      <x:c r="E24" s="59"/>
      <x:c r="F24" s="59"/>
      <x:c r="G24" s="52"/>
      <x:c r="H24" s="52"/>
      <x:c r="I24" s="52"/>
      <x:c r="J24" s="52"/>
      <x:c r="K24" s="52"/>
      <x:c r="L24" s="52"/>
      <x:c r="M24" s="52"/>
      <x:c r="N24" s="52"/>
      <x:c r="O24" s="63"/>
      <x:c r="P24" s="53"/>
    </x:row>
    <x:row r="25">
      <x:c r="A25" s="39"/>
      <x:c r="B25" s="40"/>
      <x:c r="C25" s="40"/>
      <x:c r="D25" s="40"/>
      <x:c r="E25" s="58"/>
      <x:c r="F25" s="58"/>
      <x:c r="G25" s="40"/>
      <x:c r="H25" s="40"/>
      <x:c r="I25" s="40"/>
      <x:c r="J25" s="40"/>
      <x:c r="K25" s="40"/>
      <x:c r="L25" s="40"/>
      <x:c r="M25" s="40"/>
      <x:c r="N25" s="40"/>
      <x:c r="O25" s="62"/>
      <x:c r="P25" s="41"/>
    </x:row>
    <x:row r="26">
      <x:c r="A26" s="51"/>
      <x:c r="B26" s="52"/>
      <x:c r="C26" s="52"/>
      <x:c r="D26" s="52"/>
      <x:c r="E26" s="59"/>
      <x:c r="F26" s="59"/>
      <x:c r="G26" s="52"/>
      <x:c r="H26" s="52"/>
      <x:c r="I26" s="52"/>
      <x:c r="J26" s="52"/>
      <x:c r="K26" s="52"/>
      <x:c r="L26" s="52"/>
      <x:c r="M26" s="52"/>
      <x:c r="N26" s="52"/>
      <x:c r="O26" s="63"/>
      <x:c r="P26" s="53"/>
    </x:row>
    <x:row r="27">
      <x:c r="A27" s="39"/>
      <x:c r="B27" s="40"/>
      <x:c r="C27" s="40"/>
      <x:c r="D27" s="40"/>
      <x:c r="E27" s="58"/>
      <x:c r="F27" s="58"/>
      <x:c r="G27" s="40"/>
      <x:c r="H27" s="40"/>
      <x:c r="I27" s="40"/>
      <x:c r="J27" s="40"/>
      <x:c r="K27" s="40"/>
      <x:c r="L27" s="40"/>
      <x:c r="M27" s="40"/>
      <x:c r="N27" s="40"/>
      <x:c r="O27" s="62"/>
      <x:c r="P27" s="41"/>
    </x:row>
    <x:row r="28">
      <x:c r="A28" s="51"/>
      <x:c r="B28" s="52"/>
      <x:c r="C28" s="52"/>
      <x:c r="D28" s="52"/>
      <x:c r="E28" s="59"/>
      <x:c r="F28" s="59"/>
      <x:c r="G28" s="52"/>
      <x:c r="H28" s="52"/>
      <x:c r="I28" s="52"/>
      <x:c r="J28" s="52"/>
      <x:c r="K28" s="52"/>
      <x:c r="L28" s="52"/>
      <x:c r="M28" s="52"/>
      <x:c r="N28" s="52"/>
      <x:c r="O28" s="63"/>
      <x:c r="P28" s="53"/>
    </x:row>
    <x:row r="29">
      <x:c r="A29" s="39"/>
      <x:c r="B29" s="40"/>
      <x:c r="C29" s="40"/>
      <x:c r="D29" s="40"/>
      <x:c r="E29" s="58"/>
      <x:c r="F29" s="58"/>
      <x:c r="G29" s="40"/>
      <x:c r="H29" s="40"/>
      <x:c r="I29" s="40"/>
      <x:c r="J29" s="40"/>
      <x:c r="K29" s="40"/>
      <x:c r="L29" s="40"/>
      <x:c r="M29" s="40"/>
      <x:c r="N29" s="40"/>
      <x:c r="O29" s="62"/>
      <x:c r="P29" s="41"/>
    </x:row>
    <x:row r="30">
      <x:c r="A30" s="54"/>
      <x:c r="B30" s="55"/>
      <x:c r="C30" s="55"/>
      <x:c r="D30" s="55"/>
      <x:c r="E30" s="60"/>
      <x:c r="F30" s="60"/>
      <x:c r="G30" s="55"/>
      <x:c r="H30" s="55"/>
      <x:c r="I30" s="55"/>
      <x:c r="J30" s="55"/>
      <x:c r="K30" s="55"/>
      <x:c r="L30" s="55"/>
      <x:c r="M30" s="55"/>
      <x:c r="N30" s="55"/>
      <x:c r="O30" s="64"/>
      <x:c r="P30" s="56"/>
    </x:row>
  </x:sheetData>
  <x:mergeCells>
    <x:mergeCell ref="A1:P1"/>
    <x:mergeCell ref="A2:P2"/>
  </x:mergeCells>
  <x:conditionalFormatting sqref="M6:M30">
    <x:cfRule type="expression" dxfId="0" priority="1">
      <x:formula>INDIRECT("RC",FALSE)="已关闭"</x:formula>
    </x:cfRule>
    <x:cfRule type="expression" dxfId="1" priority="2">
      <x:formula>INDIRECT("RC",FALSE)="进行中"</x:formula>
    </x:cfRule>
    <x:cfRule type="expression" dxfId="2" priority="3">
      <x:formula>INDIRECT("RC",FALSE)="待复核"</x:formula>
    </x:cfRule>
  </x:conditionalFormatting>
  <x:dataValidations count="1">
    <x:dataValidation type="list" sqref="M6:M30">
      <x:formula1>"未开始,进行中,待复核,已关闭,不适用"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7f4d22ef72d4035"/>
  </x:tableParts>
</x:worksheet>
</file>

<file path=xl/worksheets/sheet3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12" hidden="0" customWidth="1"/>
    <x:col min="2" max="2" width="22" hidden="0" customWidth="1"/>
    <x:col min="3" max="3" width="9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4" hidden="0" customWidth="1"/>
    <x:col min="10" max="10" width="14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4" hidden="0" customWidth="1"/>
    <x:col min="16" max="16" width="12" hidden="0" customWidth="1"/>
    <x:col min="17" max="17" width="12" hidden="0" customWidth="1"/>
    <x:col min="18" max="18" width="18" hidden="0" customWidth="1"/>
  </x:cols>
  <x:sheetData>
    <x:row r="1" ht="30" customHeight="1">
      <x:c r="A1" s="87" t="str">
        <x:v>原材料收发存</x:v>
      </x:c>
      <x:c r="B1" s="88"/>
      <x:c r="C1" s="88"/>
      <x:c r="D1" s="88"/>
      <x:c r="E1" s="88"/>
      <x:c r="F1" s="88"/>
      <x:c r="G1" s="88"/>
      <x:c r="H1" s="88"/>
      <x:c r="I1" s="88"/>
      <x:c r="J1" s="88"/>
      <x:c r="K1" s="88"/>
      <x:c r="L1" s="88"/>
      <x:c r="M1" s="88"/>
      <x:c r="N1" s="88"/>
      <x:c r="O1" s="88"/>
      <x:c r="P1" s="88"/>
      <x:c r="Q1" s="88"/>
      <x:c r="R1" s="88"/>
    </x:row>
    <x:row r="2" ht="24" customHeight="1">
      <x:c r="A2" s="89" t="str">
        <x:v>期初＋采购入库＋其他入库－生产领用－其他出库＝期末；数量与金额双桥</x:v>
      </x:c>
      <x:c r="B2" s="88"/>
      <x:c r="C2" s="88"/>
      <x:c r="D2" s="88"/>
      <x:c r="E2" s="88"/>
      <x:c r="F2" s="88"/>
      <x:c r="G2" s="88"/>
      <x:c r="H2" s="88"/>
      <x:c r="I2" s="88"/>
      <x:c r="J2" s="88"/>
      <x:c r="K2" s="88"/>
      <x:c r="L2" s="88"/>
      <x:c r="M2" s="88"/>
      <x:c r="N2" s="88"/>
      <x:c r="O2" s="88"/>
      <x:c r="P2" s="88"/>
      <x:c r="Q2" s="88"/>
      <x:c r="R2" s="88"/>
    </x:row>
    <x:row r="3">
      <x:c r="A3" s="88"/>
      <x:c r="B3" s="88"/>
      <x:c r="C3" s="88"/>
      <x:c r="D3" s="88"/>
      <x:c r="E3" s="88"/>
      <x:c r="F3" s="88"/>
      <x:c r="G3" s="88"/>
      <x:c r="H3" s="88"/>
      <x:c r="I3" s="88"/>
      <x:c r="J3" s="88"/>
      <x:c r="K3" s="88"/>
      <x:c r="L3" s="88"/>
      <x:c r="M3" s="88"/>
      <x:c r="N3" s="88"/>
      <x:c r="O3" s="88"/>
      <x:c r="P3" s="88"/>
      <x:c r="Q3" s="88"/>
      <x:c r="R3" s="88"/>
    </x:row>
    <x:row r="4">
      <x:c r="A4" s="88"/>
      <x:c r="B4" s="88"/>
      <x:c r="C4" s="88"/>
      <x:c r="D4" s="88"/>
      <x:c r="E4" s="88"/>
      <x:c r="F4" s="88"/>
      <x:c r="G4" s="88"/>
      <x:c r="H4" s="88"/>
      <x:c r="I4" s="88"/>
      <x:c r="J4" s="88"/>
      <x:c r="K4" s="88"/>
      <x:c r="L4" s="88"/>
      <x:c r="M4" s="88"/>
      <x:c r="N4" s="88"/>
      <x:c r="O4" s="88"/>
      <x:c r="P4" s="88"/>
      <x:c r="Q4" s="88"/>
      <x:c r="R4" s="88"/>
    </x:row>
    <x:row r="5" ht="32" customHeight="1">
      <x:c r="A5" s="15" t="str">
        <x:v>物料编码</x:v>
      </x:c>
      <x:c r="B5" s="16" t="str">
        <x:v>物料名称</x:v>
      </x:c>
      <x:c r="C5" s="16" t="str">
        <x:v>单位</x:v>
      </x:c>
      <x:c r="D5" s="16" t="str">
        <x:v>期初数量</x:v>
      </x:c>
      <x:c r="E5" s="16" t="str">
        <x:v>期初金额</x:v>
      </x:c>
      <x:c r="F5" s="16" t="str">
        <x:v>采购数量</x:v>
      </x:c>
      <x:c r="G5" s="16" t="str">
        <x:v>采购金额</x:v>
      </x:c>
      <x:c r="H5" s="16" t="str">
        <x:v>其他入库</x:v>
      </x:c>
      <x:c r="I5" s="16" t="str">
        <x:v>生产领用数量</x:v>
      </x:c>
      <x:c r="J5" s="16" t="str">
        <x:v>生产领用金额</x:v>
      </x:c>
      <x:c r="K5" s="16" t="str">
        <x:v>其他出库</x:v>
      </x:c>
      <x:c r="L5" s="16" t="str">
        <x:v>期末数量</x:v>
      </x:c>
      <x:c r="M5" s="16" t="str">
        <x:v>期末金额</x:v>
      </x:c>
      <x:c r="N5" s="16" t="str">
        <x:v>平均单价</x:v>
      </x:c>
      <x:c r="O5" s="16" t="str">
        <x:v>账面仓库数量</x:v>
      </x:c>
      <x:c r="P5" s="16" t="str">
        <x:v>数量差</x:v>
      </x:c>
      <x:c r="Q5" s="16" t="str">
        <x:v>状态</x:v>
      </x:c>
      <x:c r="R5" s="17" t="str">
        <x:v>备注</x:v>
      </x:c>
    </x:row>
    <x:row r="6">
      <x:c r="A6" s="48" t="str">
        <x:v>M01</x:v>
      </x:c>
      <x:c r="B6" s="49" t="str">
        <x:v>控制板</x:v>
      </x:c>
      <x:c r="C6" s="49" t="str">
        <x:v>件</x:v>
      </x:c>
      <x:c r="D6" s="61" t="n">
        <x:v>100</x:v>
      </x:c>
      <x:c r="E6" s="61" t="n">
        <x:v>20</x:v>
      </x:c>
      <x:c r="F6" s="61" t="n">
        <x:v>500</x:v>
      </x:c>
      <x:c r="G6" s="61" t="n">
        <x:v>110</x:v>
      </x:c>
      <x:c r="H6" s="61" t="n">
        <x:v>0</x:v>
      </x:c>
      <x:c r="I6" s="61" t="n">
        <x:v>200</x:v>
      </x:c>
      <x:c r="J6" s="61" t="n">
        <x:v>43.33</x:v>
      </x:c>
      <x:c r="K6" s="61" t="n">
        <x:v>0</x:v>
      </x:c>
      <x:c r="L6" s="61" t="n">
        <x:f>IF(A6="","",D6+F6+H6-I6-K6)</x:f>
        <x:v>400</x:v>
      </x:c>
      <x:c r="M6" s="61" t="n">
        <x:f>IF(A6="","",E6+G6-J6)</x:f>
        <x:v>86.67</x:v>
      </x:c>
      <x:c r="N6" s="61" t="n">
        <x:f>IFERROR(M6/L6,0)</x:f>
        <x:v>0.216675</x:v>
      </x:c>
      <x:c r="O6" s="61" t="n">
        <x:v>400</x:v>
      </x:c>
      <x:c r="P6" s="61" t="n">
        <x:f>IF(A6="","",O6-L6)</x:f>
        <x:v>0</x:v>
      </x:c>
      <x:c r="Q6" s="49" t="str">
        <x:v>待复核</x:v>
      </x:c>
      <x:c r="R6" s="50" t="str"/>
    </x:row>
    <x:row r="7">
      <x:c r="A7" s="39" t="str">
        <x:v>M02</x:v>
      </x:c>
      <x:c r="B7" s="40" t="str">
        <x:v>铝合金结构件</x:v>
      </x:c>
      <x:c r="C7" s="40" t="str">
        <x:v>套</x:v>
      </x:c>
      <x:c r="D7" s="62" t="n">
        <x:v>50</x:v>
      </x:c>
      <x:c r="E7" s="62" t="n">
        <x:v>25</x:v>
      </x:c>
      <x:c r="F7" s="62" t="n">
        <x:v>200</x:v>
      </x:c>
      <x:c r="G7" s="62" t="n">
        <x:v>104</x:v>
      </x:c>
      <x:c r="H7" s="62" t="n">
        <x:v>0</x:v>
      </x:c>
      <x:c r="I7" s="62" t="n">
        <x:v>200</x:v>
      </x:c>
      <x:c r="J7" s="62" t="n">
        <x:v>103.2</x:v>
      </x:c>
      <x:c r="K7" s="62" t="n">
        <x:v>0</x:v>
      </x:c>
      <x:c r="L7" s="62" t="n">
        <x:f>IF(A7="","",D7+F7+H7-I7-K7)</x:f>
        <x:v>50</x:v>
      </x:c>
      <x:c r="M7" s="62" t="n">
        <x:f>IF(A7="","",E7+G7-J7)</x:f>
        <x:v>25.799999999999997</x:v>
      </x:c>
      <x:c r="N7" s="62" t="n">
        <x:f>IFERROR(M7/L7,0)</x:f>
        <x:v>0.5159999999999999</x:v>
      </x:c>
      <x:c r="O7" s="62" t="n">
        <x:v>50</x:v>
      </x:c>
      <x:c r="P7" s="62" t="n">
        <x:f>IF(A7="","",O7-L7)</x:f>
        <x:v>0</x:v>
      </x:c>
      <x:c r="Q7" s="40" t="str">
        <x:v>待复核</x:v>
      </x:c>
      <x:c r="R7" s="41" t="str"/>
    </x:row>
    <x:row r="8">
      <x:c r="A8" s="51" t="str">
        <x:v>M03</x:v>
      </x:c>
      <x:c r="B8" s="52" t="str">
        <x:v>光敏树脂</x:v>
      </x:c>
      <x:c r="C8" s="52" t="str">
        <x:v>吨</x:v>
      </x:c>
      <x:c r="D8" s="63" t="n">
        <x:v>20</x:v>
      </x:c>
      <x:c r="E8" s="63" t="n">
        <x:v>40</x:v>
      </x:c>
      <x:c r="F8" s="63" t="n">
        <x:v>80</x:v>
      </x:c>
      <x:c r="G8" s="63" t="n">
        <x:v>160</x:v>
      </x:c>
      <x:c r="H8" s="63" t="n">
        <x:v>0</x:v>
      </x:c>
      <x:c r="I8" s="63" t="n">
        <x:v>50</x:v>
      </x:c>
      <x:c r="J8" s="63" t="n">
        <x:v>100</x:v>
      </x:c>
      <x:c r="K8" s="63" t="n">
        <x:v>0</x:v>
      </x:c>
      <x:c r="L8" s="63" t="n">
        <x:f>IF(A8="","",D8+F8+H8-I8-K8)</x:f>
        <x:v>50</x:v>
      </x:c>
      <x:c r="M8" s="63" t="n">
        <x:f>IF(A8="","",E8+G8-J8)</x:f>
        <x:v>100</x:v>
      </x:c>
      <x:c r="N8" s="63" t="n">
        <x:f>IFERROR(M8/L8,0)</x:f>
        <x:v>2</x:v>
      </x:c>
      <x:c r="O8" s="63" t="n">
        <x:v>50</x:v>
      </x:c>
      <x:c r="P8" s="63" t="n">
        <x:f>IF(A8="","",O8-L8)</x:f>
        <x:v>0</x:v>
      </x:c>
      <x:c r="Q8" s="52" t="str">
        <x:v>已关闭</x:v>
      </x:c>
      <x:c r="R8" s="53" t="str"/>
    </x:row>
    <x:row r="9">
      <x:c r="A9" s="39" t="str">
        <x:v>A01</x:v>
      </x:c>
      <x:c r="B9" s="40" t="str">
        <x:v>胶水/螺丝等</x:v>
      </x:c>
      <x:c r="C9" s="40" t="str">
        <x:v>批</x:v>
      </x:c>
      <x:c r="D9" s="62" t="n">
        <x:v>10</x:v>
      </x:c>
      <x:c r="E9" s="62" t="n">
        <x:v>8</x:v>
      </x:c>
      <x:c r="F9" s="62" t="n">
        <x:v>25</x:v>
      </x:c>
      <x:c r="G9" s="62" t="n">
        <x:v>20</x:v>
      </x:c>
      <x:c r="H9" s="62" t="n">
        <x:v>0</x:v>
      </x:c>
      <x:c r="I9" s="62" t="n">
        <x:v>20</x:v>
      </x:c>
      <x:c r="J9" s="62" t="n">
        <x:v>16</x:v>
      </x:c>
      <x:c r="K9" s="62" t="n">
        <x:v>0</x:v>
      </x:c>
      <x:c r="L9" s="62" t="n">
        <x:f>IF(A9="","",D9+F9+H9-I9-K9)</x:f>
        <x:v>15</x:v>
      </x:c>
      <x:c r="M9" s="62" t="n">
        <x:f>IF(A9="","",E9+G9-J9)</x:f>
        <x:v>12</x:v>
      </x:c>
      <x:c r="N9" s="62" t="n">
        <x:f>IFERROR(M9/L9,0)</x:f>
        <x:v>0.8</x:v>
      </x:c>
      <x:c r="O9" s="62" t="n">
        <x:v>15</x:v>
      </x:c>
      <x:c r="P9" s="62" t="n">
        <x:f>IF(A9="","",O9-L9)</x:f>
        <x:v>0</x:v>
      </x:c>
      <x:c r="Q9" s="40" t="str">
        <x:v>已关闭</x:v>
      </x:c>
      <x:c r="R9" s="41" t="str"/>
    </x:row>
    <x:row r="10">
      <x:c r="A10" s="51" t="str">
        <x:v>P01</x:v>
      </x:c>
      <x:c r="B10" s="52" t="str">
        <x:v>包装桶标签</x:v>
      </x:c>
      <x:c r="C10" s="52" t="str">
        <x:v>批</x:v>
      </x:c>
      <x:c r="D10" s="63" t="n">
        <x:v>20</x:v>
      </x:c>
      <x:c r="E10" s="63" t="n">
        <x:v>10</x:v>
      </x:c>
      <x:c r="F10" s="63" t="n">
        <x:v>40</x:v>
      </x:c>
      <x:c r="G10" s="63" t="n">
        <x:v>20</x:v>
      </x:c>
      <x:c r="H10" s="63" t="n">
        <x:v>0</x:v>
      </x:c>
      <x:c r="I10" s="63" t="n">
        <x:v>20</x:v>
      </x:c>
      <x:c r="J10" s="63" t="n">
        <x:v>10</x:v>
      </x:c>
      <x:c r="K10" s="63" t="n">
        <x:v>0</x:v>
      </x:c>
      <x:c r="L10" s="63" t="n">
        <x:f>IF(A10="","",D10+F10+H10-I10-K10)</x:f>
        <x:v>40</x:v>
      </x:c>
      <x:c r="M10" s="63" t="n">
        <x:f>IF(A10="","",E10+G10-J10)</x:f>
        <x:v>20</x:v>
      </x:c>
      <x:c r="N10" s="63" t="n">
        <x:f>IFERROR(M10/L10,0)</x:f>
        <x:v>0.5</x:v>
      </x:c>
      <x:c r="O10" s="63" t="n">
        <x:v>40</x:v>
      </x:c>
      <x:c r="P10" s="63" t="n">
        <x:f>IF(A10="","",O10-L10)</x:f>
        <x:v>0</x:v>
      </x:c>
      <x:c r="Q10" s="52" t="str">
        <x:v>已关闭</x:v>
      </x:c>
      <x:c r="R10" s="53" t="str"/>
    </x:row>
    <x:row r="11">
      <x:c r="A11" s="39"/>
      <x:c r="B11" s="40"/>
      <x:c r="C11" s="40"/>
      <x:c r="D11" s="62"/>
      <x:c r="E11" s="62"/>
      <x:c r="F11" s="62"/>
      <x:c r="G11" s="62"/>
      <x:c r="H11" s="62"/>
      <x:c r="I11" s="62"/>
      <x:c r="J11" s="62"/>
      <x:c r="K11" s="62"/>
      <x:c r="L11" s="62" t="str">
        <x:f>IF(A11="","",D11+F11+H11-I11-K11)</x:f>
      </x:c>
      <x:c r="M11" s="62" t="str">
        <x:f>IF(A11="","",E11+G11-J11)</x:f>
      </x:c>
      <x:c r="N11" s="62" t="n">
        <x:f>IFERROR(M11/L11,0)</x:f>
        <x:v>0</x:v>
      </x:c>
      <x:c r="O11" s="62"/>
      <x:c r="P11" s="62" t="str">
        <x:f>IF(A11="","",O11-L11)</x:f>
      </x:c>
      <x:c r="Q11" s="40"/>
      <x:c r="R11" s="41"/>
    </x:row>
    <x:row r="12">
      <x:c r="A12" s="51"/>
      <x:c r="B12" s="52"/>
      <x:c r="C12" s="52"/>
      <x:c r="D12" s="63"/>
      <x:c r="E12" s="63"/>
      <x:c r="F12" s="63"/>
      <x:c r="G12" s="63"/>
      <x:c r="H12" s="63"/>
      <x:c r="I12" s="63"/>
      <x:c r="J12" s="63"/>
      <x:c r="K12" s="63"/>
      <x:c r="L12" s="63" t="str">
        <x:f>IF(A12="","",D12+F12+H12-I12-K12)</x:f>
      </x:c>
      <x:c r="M12" s="63" t="str">
        <x:f>IF(A12="","",E12+G12-J12)</x:f>
      </x:c>
      <x:c r="N12" s="63" t="n">
        <x:f>IFERROR(M12/L12,0)</x:f>
        <x:v>0</x:v>
      </x:c>
      <x:c r="O12" s="63"/>
      <x:c r="P12" s="63" t="str">
        <x:f>IF(A12="","",O12-L12)</x:f>
      </x:c>
      <x:c r="Q12" s="52"/>
      <x:c r="R12" s="53"/>
    </x:row>
    <x:row r="13">
      <x:c r="A13" s="39"/>
      <x:c r="B13" s="40"/>
      <x:c r="C13" s="40"/>
      <x:c r="D13" s="62"/>
      <x:c r="E13" s="62"/>
      <x:c r="F13" s="62"/>
      <x:c r="G13" s="62"/>
      <x:c r="H13" s="62"/>
      <x:c r="I13" s="62"/>
      <x:c r="J13" s="62"/>
      <x:c r="K13" s="62"/>
      <x:c r="L13" s="62" t="str">
        <x:f>IF(A13="","",D13+F13+H13-I13-K13)</x:f>
      </x:c>
      <x:c r="M13" s="62" t="str">
        <x:f>IF(A13="","",E13+G13-J13)</x:f>
      </x:c>
      <x:c r="N13" s="62" t="n">
        <x:f>IFERROR(M13/L13,0)</x:f>
        <x:v>0</x:v>
      </x:c>
      <x:c r="O13" s="62"/>
      <x:c r="P13" s="62" t="str">
        <x:f>IF(A13="","",O13-L13)</x:f>
      </x:c>
      <x:c r="Q13" s="40"/>
      <x:c r="R13" s="41"/>
    </x:row>
    <x:row r="14">
      <x:c r="A14" s="51"/>
      <x:c r="B14" s="52"/>
      <x:c r="C14" s="52"/>
      <x:c r="D14" s="63"/>
      <x:c r="E14" s="63"/>
      <x:c r="F14" s="63"/>
      <x:c r="G14" s="63"/>
      <x:c r="H14" s="63"/>
      <x:c r="I14" s="63"/>
      <x:c r="J14" s="63"/>
      <x:c r="K14" s="63"/>
      <x:c r="L14" s="63" t="str">
        <x:f>IF(A14="","",D14+F14+H14-I14-K14)</x:f>
      </x:c>
      <x:c r="M14" s="63" t="str">
        <x:f>IF(A14="","",E14+G14-J14)</x:f>
      </x:c>
      <x:c r="N14" s="63" t="n">
        <x:f>IFERROR(M14/L14,0)</x:f>
        <x:v>0</x:v>
      </x:c>
      <x:c r="O14" s="63"/>
      <x:c r="P14" s="63" t="str">
        <x:f>IF(A14="","",O14-L14)</x:f>
      </x:c>
      <x:c r="Q14" s="52"/>
      <x:c r="R14" s="53"/>
    </x:row>
    <x:row r="15">
      <x:c r="A15" s="39"/>
      <x:c r="B15" s="40"/>
      <x:c r="C15" s="40"/>
      <x:c r="D15" s="62"/>
      <x:c r="E15" s="62"/>
      <x:c r="F15" s="62"/>
      <x:c r="G15" s="62"/>
      <x:c r="H15" s="62"/>
      <x:c r="I15" s="62"/>
      <x:c r="J15" s="62"/>
      <x:c r="K15" s="62"/>
      <x:c r="L15" s="62" t="str">
        <x:f>IF(A15="","",D15+F15+H15-I15-K15)</x:f>
      </x:c>
      <x:c r="M15" s="62" t="str">
        <x:f>IF(A15="","",E15+G15-J15)</x:f>
      </x:c>
      <x:c r="N15" s="62" t="n">
        <x:f>IFERROR(M15/L15,0)</x:f>
        <x:v>0</x:v>
      </x:c>
      <x:c r="O15" s="62"/>
      <x:c r="P15" s="62" t="str">
        <x:f>IF(A15="","",O15-L15)</x:f>
      </x:c>
      <x:c r="Q15" s="40"/>
      <x:c r="R15" s="41"/>
    </x:row>
    <x:row r="16">
      <x:c r="A16" s="51"/>
      <x:c r="B16" s="52"/>
      <x:c r="C16" s="52"/>
      <x:c r="D16" s="63"/>
      <x:c r="E16" s="63"/>
      <x:c r="F16" s="63"/>
      <x:c r="G16" s="63"/>
      <x:c r="H16" s="63"/>
      <x:c r="I16" s="63"/>
      <x:c r="J16" s="63"/>
      <x:c r="K16" s="63"/>
      <x:c r="L16" s="63" t="str">
        <x:f>IF(A16="","",D16+F16+H16-I16-K16)</x:f>
      </x:c>
      <x:c r="M16" s="63" t="str">
        <x:f>IF(A16="","",E16+G16-J16)</x:f>
      </x:c>
      <x:c r="N16" s="63" t="n">
        <x:f>IFERROR(M16/L16,0)</x:f>
        <x:v>0</x:v>
      </x:c>
      <x:c r="O16" s="63"/>
      <x:c r="P16" s="63" t="str">
        <x:f>IF(A16="","",O16-L16)</x:f>
      </x:c>
      <x:c r="Q16" s="52"/>
      <x:c r="R16" s="53"/>
    </x:row>
    <x:row r="17">
      <x:c r="A17" s="39"/>
      <x:c r="B17" s="40"/>
      <x:c r="C17" s="40"/>
      <x:c r="D17" s="62"/>
      <x:c r="E17" s="62"/>
      <x:c r="F17" s="62"/>
      <x:c r="G17" s="62"/>
      <x:c r="H17" s="62"/>
      <x:c r="I17" s="62"/>
      <x:c r="J17" s="62"/>
      <x:c r="K17" s="62"/>
      <x:c r="L17" s="62" t="str">
        <x:f>IF(A17="","",D17+F17+H17-I17-K17)</x:f>
      </x:c>
      <x:c r="M17" s="62" t="str">
        <x:f>IF(A17="","",E17+G17-J17)</x:f>
      </x:c>
      <x:c r="N17" s="62" t="n">
        <x:f>IFERROR(M17/L17,0)</x:f>
        <x:v>0</x:v>
      </x:c>
      <x:c r="O17" s="62"/>
      <x:c r="P17" s="62" t="str">
        <x:f>IF(A17="","",O17-L17)</x:f>
      </x:c>
      <x:c r="Q17" s="40"/>
      <x:c r="R17" s="41"/>
    </x:row>
    <x:row r="18">
      <x:c r="A18" s="51"/>
      <x:c r="B18" s="52"/>
      <x:c r="C18" s="52"/>
      <x:c r="D18" s="63"/>
      <x:c r="E18" s="63"/>
      <x:c r="F18" s="63"/>
      <x:c r="G18" s="63"/>
      <x:c r="H18" s="63"/>
      <x:c r="I18" s="63"/>
      <x:c r="J18" s="63"/>
      <x:c r="K18" s="63"/>
      <x:c r="L18" s="63" t="str">
        <x:f>IF(A18="","",D18+F18+H18-I18-K18)</x:f>
      </x:c>
      <x:c r="M18" s="63" t="str">
        <x:f>IF(A18="","",E18+G18-J18)</x:f>
      </x:c>
      <x:c r="N18" s="63" t="n">
        <x:f>IFERROR(M18/L18,0)</x:f>
        <x:v>0</x:v>
      </x:c>
      <x:c r="O18" s="63"/>
      <x:c r="P18" s="63" t="str">
        <x:f>IF(A18="","",O18-L18)</x:f>
      </x:c>
      <x:c r="Q18" s="52"/>
      <x:c r="R18" s="53"/>
    </x:row>
    <x:row r="19">
      <x:c r="A19" s="39"/>
      <x:c r="B19" s="40"/>
      <x:c r="C19" s="40"/>
      <x:c r="D19" s="62"/>
      <x:c r="E19" s="62"/>
      <x:c r="F19" s="62"/>
      <x:c r="G19" s="62"/>
      <x:c r="H19" s="62"/>
      <x:c r="I19" s="62"/>
      <x:c r="J19" s="62"/>
      <x:c r="K19" s="62"/>
      <x:c r="L19" s="62" t="str">
        <x:f>IF(A19="","",D19+F19+H19-I19-K19)</x:f>
      </x:c>
      <x:c r="M19" s="62" t="str">
        <x:f>IF(A19="","",E19+G19-J19)</x:f>
      </x:c>
      <x:c r="N19" s="62" t="n">
        <x:f>IFERROR(M19/L19,0)</x:f>
        <x:v>0</x:v>
      </x:c>
      <x:c r="O19" s="62"/>
      <x:c r="P19" s="62" t="str">
        <x:f>IF(A19="","",O19-L19)</x:f>
      </x:c>
      <x:c r="Q19" s="40"/>
      <x:c r="R19" s="41"/>
    </x:row>
    <x:row r="20">
      <x:c r="A20" s="51"/>
      <x:c r="B20" s="52"/>
      <x:c r="C20" s="52"/>
      <x:c r="D20" s="63"/>
      <x:c r="E20" s="63"/>
      <x:c r="F20" s="63"/>
      <x:c r="G20" s="63"/>
      <x:c r="H20" s="63"/>
      <x:c r="I20" s="63"/>
      <x:c r="J20" s="63"/>
      <x:c r="K20" s="63"/>
      <x:c r="L20" s="63" t="str">
        <x:f>IF(A20="","",D20+F20+H20-I20-K20)</x:f>
      </x:c>
      <x:c r="M20" s="63" t="str">
        <x:f>IF(A20="","",E20+G20-J20)</x:f>
      </x:c>
      <x:c r="N20" s="63" t="n">
        <x:f>IFERROR(M20/L20,0)</x:f>
        <x:v>0</x:v>
      </x:c>
      <x:c r="O20" s="63"/>
      <x:c r="P20" s="63" t="str">
        <x:f>IF(A20="","",O20-L20)</x:f>
      </x:c>
      <x:c r="Q20" s="52"/>
      <x:c r="R20" s="53"/>
    </x:row>
    <x:row r="21">
      <x:c r="A21" s="39"/>
      <x:c r="B21" s="40"/>
      <x:c r="C21" s="40"/>
      <x:c r="D21" s="62"/>
      <x:c r="E21" s="62"/>
      <x:c r="F21" s="62"/>
      <x:c r="G21" s="62"/>
      <x:c r="H21" s="62"/>
      <x:c r="I21" s="62"/>
      <x:c r="J21" s="62"/>
      <x:c r="K21" s="62"/>
      <x:c r="L21" s="62" t="str">
        <x:f>IF(A21="","",D21+F21+H21-I21-K21)</x:f>
      </x:c>
      <x:c r="M21" s="62" t="str">
        <x:f>IF(A21="","",E21+G21-J21)</x:f>
      </x:c>
      <x:c r="N21" s="62" t="n">
        <x:f>IFERROR(M21/L21,0)</x:f>
        <x:v>0</x:v>
      </x:c>
      <x:c r="O21" s="62"/>
      <x:c r="P21" s="62" t="str">
        <x:f>IF(A21="","",O21-L21)</x:f>
      </x:c>
      <x:c r="Q21" s="40"/>
      <x:c r="R21" s="41"/>
    </x:row>
    <x:row r="22">
      <x:c r="A22" s="51"/>
      <x:c r="B22" s="52"/>
      <x:c r="C22" s="52"/>
      <x:c r="D22" s="63"/>
      <x:c r="E22" s="63"/>
      <x:c r="F22" s="63"/>
      <x:c r="G22" s="63"/>
      <x:c r="H22" s="63"/>
      <x:c r="I22" s="63"/>
      <x:c r="J22" s="63"/>
      <x:c r="K22" s="63"/>
      <x:c r="L22" s="63" t="str">
        <x:f>IF(A22="","",D22+F22+H22-I22-K22)</x:f>
      </x:c>
      <x:c r="M22" s="63" t="str">
        <x:f>IF(A22="","",E22+G22-J22)</x:f>
      </x:c>
      <x:c r="N22" s="63" t="n">
        <x:f>IFERROR(M22/L22,0)</x:f>
        <x:v>0</x:v>
      </x:c>
      <x:c r="O22" s="63"/>
      <x:c r="P22" s="63" t="str">
        <x:f>IF(A22="","",O22-L22)</x:f>
      </x:c>
      <x:c r="Q22" s="52"/>
      <x:c r="R22" s="53"/>
    </x:row>
    <x:row r="23">
      <x:c r="A23" s="39"/>
      <x:c r="B23" s="40"/>
      <x:c r="C23" s="40"/>
      <x:c r="D23" s="62"/>
      <x:c r="E23" s="62"/>
      <x:c r="F23" s="62"/>
      <x:c r="G23" s="62"/>
      <x:c r="H23" s="62"/>
      <x:c r="I23" s="62"/>
      <x:c r="J23" s="62"/>
      <x:c r="K23" s="62"/>
      <x:c r="L23" s="62" t="str">
        <x:f>IF(A23="","",D23+F23+H23-I23-K23)</x:f>
      </x:c>
      <x:c r="M23" s="62" t="str">
        <x:f>IF(A23="","",E23+G23-J23)</x:f>
      </x:c>
      <x:c r="N23" s="62" t="n">
        <x:f>IFERROR(M23/L23,0)</x:f>
        <x:v>0</x:v>
      </x:c>
      <x:c r="O23" s="62"/>
      <x:c r="P23" s="62" t="str">
        <x:f>IF(A23="","",O23-L23)</x:f>
      </x:c>
      <x:c r="Q23" s="40"/>
      <x:c r="R23" s="41"/>
    </x:row>
    <x:row r="24">
      <x:c r="A24" s="51"/>
      <x:c r="B24" s="52"/>
      <x:c r="C24" s="52"/>
      <x:c r="D24" s="63"/>
      <x:c r="E24" s="63"/>
      <x:c r="F24" s="63"/>
      <x:c r="G24" s="63"/>
      <x:c r="H24" s="63"/>
      <x:c r="I24" s="63"/>
      <x:c r="J24" s="63"/>
      <x:c r="K24" s="63"/>
      <x:c r="L24" s="63" t="str">
        <x:f>IF(A24="","",D24+F24+H24-I24-K24)</x:f>
      </x:c>
      <x:c r="M24" s="63" t="str">
        <x:f>IF(A24="","",E24+G24-J24)</x:f>
      </x:c>
      <x:c r="N24" s="63" t="n">
        <x:f>IFERROR(M24/L24,0)</x:f>
        <x:v>0</x:v>
      </x:c>
      <x:c r="O24" s="63"/>
      <x:c r="P24" s="63" t="str">
        <x:f>IF(A24="","",O24-L24)</x:f>
      </x:c>
      <x:c r="Q24" s="52"/>
      <x:c r="R24" s="53"/>
    </x:row>
    <x:row r="25">
      <x:c r="A25" s="39"/>
      <x:c r="B25" s="40"/>
      <x:c r="C25" s="40"/>
      <x:c r="D25" s="62"/>
      <x:c r="E25" s="62"/>
      <x:c r="F25" s="62"/>
      <x:c r="G25" s="62"/>
      <x:c r="H25" s="62"/>
      <x:c r="I25" s="62"/>
      <x:c r="J25" s="62"/>
      <x:c r="K25" s="62"/>
      <x:c r="L25" s="62" t="str">
        <x:f>IF(A25="","",D25+F25+H25-I25-K25)</x:f>
      </x:c>
      <x:c r="M25" s="62" t="str">
        <x:f>IF(A25="","",E25+G25-J25)</x:f>
      </x:c>
      <x:c r="N25" s="62" t="n">
        <x:f>IFERROR(M25/L25,0)</x:f>
        <x:v>0</x:v>
      </x:c>
      <x:c r="O25" s="62"/>
      <x:c r="P25" s="62" t="str">
        <x:f>IF(A25="","",O25-L25)</x:f>
      </x:c>
      <x:c r="Q25" s="40"/>
      <x:c r="R25" s="41"/>
    </x:row>
    <x:row r="26">
      <x:c r="A26" s="51"/>
      <x:c r="B26" s="52"/>
      <x:c r="C26" s="52"/>
      <x:c r="D26" s="63"/>
      <x:c r="E26" s="63"/>
      <x:c r="F26" s="63"/>
      <x:c r="G26" s="63"/>
      <x:c r="H26" s="63"/>
      <x:c r="I26" s="63"/>
      <x:c r="J26" s="63"/>
      <x:c r="K26" s="63"/>
      <x:c r="L26" s="63" t="str">
        <x:f>IF(A26="","",D26+F26+H26-I26-K26)</x:f>
      </x:c>
      <x:c r="M26" s="63" t="str">
        <x:f>IF(A26="","",E26+G26-J26)</x:f>
      </x:c>
      <x:c r="N26" s="63" t="n">
        <x:f>IFERROR(M26/L26,0)</x:f>
        <x:v>0</x:v>
      </x:c>
      <x:c r="O26" s="63"/>
      <x:c r="P26" s="63" t="str">
        <x:f>IF(A26="","",O26-L26)</x:f>
      </x:c>
      <x:c r="Q26" s="52"/>
      <x:c r="R26" s="53"/>
    </x:row>
    <x:row r="27">
      <x:c r="A27" s="39"/>
      <x:c r="B27" s="40"/>
      <x:c r="C27" s="40"/>
      <x:c r="D27" s="62"/>
      <x:c r="E27" s="62"/>
      <x:c r="F27" s="62"/>
      <x:c r="G27" s="62"/>
      <x:c r="H27" s="62"/>
      <x:c r="I27" s="62"/>
      <x:c r="J27" s="62"/>
      <x:c r="K27" s="62"/>
      <x:c r="L27" s="62" t="str">
        <x:f>IF(A27="","",D27+F27+H27-I27-K27)</x:f>
      </x:c>
      <x:c r="M27" s="62" t="str">
        <x:f>IF(A27="","",E27+G27-J27)</x:f>
      </x:c>
      <x:c r="N27" s="62" t="n">
        <x:f>IFERROR(M27/L27,0)</x:f>
        <x:v>0</x:v>
      </x:c>
      <x:c r="O27" s="62"/>
      <x:c r="P27" s="62" t="str">
        <x:f>IF(A27="","",O27-L27)</x:f>
      </x:c>
      <x:c r="Q27" s="40"/>
      <x:c r="R27" s="41"/>
    </x:row>
    <x:row r="28">
      <x:c r="A28" s="51"/>
      <x:c r="B28" s="52"/>
      <x:c r="C28" s="52"/>
      <x:c r="D28" s="63"/>
      <x:c r="E28" s="63"/>
      <x:c r="F28" s="63"/>
      <x:c r="G28" s="63"/>
      <x:c r="H28" s="63"/>
      <x:c r="I28" s="63"/>
      <x:c r="J28" s="63"/>
      <x:c r="K28" s="63"/>
      <x:c r="L28" s="63" t="str">
        <x:f>IF(A28="","",D28+F28+H28-I28-K28)</x:f>
      </x:c>
      <x:c r="M28" s="63" t="str">
        <x:f>IF(A28="","",E28+G28-J28)</x:f>
      </x:c>
      <x:c r="N28" s="63" t="n">
        <x:f>IFERROR(M28/L28,0)</x:f>
        <x:v>0</x:v>
      </x:c>
      <x:c r="O28" s="63"/>
      <x:c r="P28" s="63" t="str">
        <x:f>IF(A28="","",O28-L28)</x:f>
      </x:c>
      <x:c r="Q28" s="52"/>
      <x:c r="R28" s="53"/>
    </x:row>
    <x:row r="29">
      <x:c r="A29" s="39"/>
      <x:c r="B29" s="40"/>
      <x:c r="C29" s="40"/>
      <x:c r="D29" s="62"/>
      <x:c r="E29" s="62"/>
      <x:c r="F29" s="62"/>
      <x:c r="G29" s="62"/>
      <x:c r="H29" s="62"/>
      <x:c r="I29" s="62"/>
      <x:c r="J29" s="62"/>
      <x:c r="K29" s="62"/>
      <x:c r="L29" s="62" t="str">
        <x:f>IF(A29="","",D29+F29+H29-I29-K29)</x:f>
      </x:c>
      <x:c r="M29" s="62" t="str">
        <x:f>IF(A29="","",E29+G29-J29)</x:f>
      </x:c>
      <x:c r="N29" s="62" t="n">
        <x:f>IFERROR(M29/L29,0)</x:f>
        <x:v>0</x:v>
      </x:c>
      <x:c r="O29" s="62"/>
      <x:c r="P29" s="62" t="str">
        <x:f>IF(A29="","",O29-L29)</x:f>
      </x:c>
      <x:c r="Q29" s="40"/>
      <x:c r="R29" s="41"/>
    </x:row>
    <x:row r="30">
      <x:c r="A30" s="54"/>
      <x:c r="B30" s="55"/>
      <x:c r="C30" s="55"/>
      <x:c r="D30" s="64"/>
      <x:c r="E30" s="64"/>
      <x:c r="F30" s="64"/>
      <x:c r="G30" s="64"/>
      <x:c r="H30" s="64"/>
      <x:c r="I30" s="64"/>
      <x:c r="J30" s="64"/>
      <x:c r="K30" s="64"/>
      <x:c r="L30" s="64" t="str">
        <x:f>IF(A30="","",D30+F30+H30-I30-K30)</x:f>
      </x:c>
      <x:c r="M30" s="64" t="str">
        <x:f>IF(A30="","",E30+G30-J30)</x:f>
      </x:c>
      <x:c r="N30" s="64" t="n">
        <x:f>IFERROR(M30/L30,0)</x:f>
        <x:v>0</x:v>
      </x:c>
      <x:c r="O30" s="64"/>
      <x:c r="P30" s="64" t="str">
        <x:f>IF(A30="","",O30-L30)</x:f>
      </x:c>
      <x:c r="Q30" s="55"/>
      <x:c r="R30" s="56"/>
    </x:row>
  </x:sheetData>
  <x:mergeCells>
    <x:mergeCell ref="A1:R1"/>
    <x:mergeCell ref="A2:R2"/>
  </x:mergeCells>
  <x:conditionalFormatting sqref="Q6:Q30">
    <x:cfRule type="expression" dxfId="3" priority="1">
      <x:formula>INDIRECT("RC",FALSE)="已关闭"</x:formula>
    </x:cfRule>
    <x:cfRule type="expression" dxfId="4" priority="2">
      <x:formula>INDIRECT("RC",FALSE)="进行中"</x:formula>
    </x:cfRule>
    <x:cfRule type="expression" dxfId="5" priority="3">
      <x:formula>INDIRECT("RC",FALSE)="待复核"</x:formula>
    </x:cfRule>
  </x:conditionalFormatting>
  <x:dataValidations count="1">
    <x:dataValidation type="list" sqref="Q6:Q30">
      <x:formula1>"未开始,进行中,待复核,已关闭,不适用"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787a02b11ff423e"/>
  </x:tableParts>
</x:worksheet>
</file>

<file path=xl/worksheets/sheet4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12" hidden="0" customWidth="1"/>
    <x:col min="2" max="2" width="22" hidden="0" customWidth="1"/>
    <x:col min="3" max="3" width="14" hidden="0" customWidth="1"/>
    <x:col min="4" max="4" width="10" hidden="0" customWidth="1"/>
    <x:col min="5" max="5" width="13" hidden="0" customWidth="1"/>
    <x:col min="6" max="6" width="11" hidden="0" customWidth="1"/>
    <x:col min="7" max="7" width="13" hidden="0" customWidth="1"/>
    <x:col min="8" max="8" width="14" hidden="0" customWidth="1"/>
    <x:col min="9" max="9" width="13" hidden="0" customWidth="1"/>
    <x:col min="10" max="10" width="13" hidden="0" customWidth="1"/>
    <x:col min="11" max="11" width="14" hidden="0" customWidth="1"/>
    <x:col min="12" max="12" width="13" hidden="0" customWidth="1"/>
    <x:col min="13" max="13" width="12" hidden="0" customWidth="1"/>
    <x:col min="14" max="14" width="12" hidden="0" customWidth="1"/>
    <x:col min="15" max="15" width="14" hidden="0" customWidth="1"/>
    <x:col min="16" max="16" width="28" hidden="0" customWidth="1"/>
    <x:col min="17" max="17" width="12" hidden="0" customWidth="1"/>
    <x:col min="18" max="18" width="12" hidden="0" customWidth="1"/>
  </x:cols>
  <x:sheetData>
    <x:row r="1" ht="30" customHeight="1">
      <x:c r="A1" s="87" t="str">
        <x:v>暂估未冲台账</x:v>
      </x:c>
      <x:c r="B1" s="88"/>
      <x:c r="C1" s="88"/>
      <x:c r="D1" s="88"/>
      <x:c r="E1" s="88"/>
      <x:c r="F1" s="88"/>
      <x:c r="G1" s="88"/>
      <x:c r="H1" s="88"/>
      <x:c r="I1" s="88"/>
      <x:c r="J1" s="88"/>
      <x:c r="K1" s="88"/>
      <x:c r="L1" s="88"/>
      <x:c r="M1" s="88"/>
      <x:c r="N1" s="88"/>
      <x:c r="O1" s="88"/>
      <x:c r="P1" s="88"/>
      <x:c r="Q1" s="88"/>
      <x:c r="R1" s="88"/>
    </x:row>
    <x:row r="2" ht="24" customHeight="1">
      <x:c r="A2" s="89" t="str">
        <x:v>暂估按收货和可验证价格确认；收票后冲暂估并处理价差及进项</x:v>
      </x:c>
      <x:c r="B2" s="88"/>
      <x:c r="C2" s="88"/>
      <x:c r="D2" s="88"/>
      <x:c r="E2" s="88"/>
      <x:c r="F2" s="88"/>
      <x:c r="G2" s="88"/>
      <x:c r="H2" s="88"/>
      <x:c r="I2" s="88"/>
      <x:c r="J2" s="88"/>
      <x:c r="K2" s="88"/>
      <x:c r="L2" s="88"/>
      <x:c r="M2" s="88"/>
      <x:c r="N2" s="88"/>
      <x:c r="O2" s="88"/>
      <x:c r="P2" s="88"/>
      <x:c r="Q2" s="88"/>
      <x:c r="R2" s="88"/>
    </x:row>
    <x:row r="3">
      <x:c r="A3" s="88"/>
      <x:c r="B3" s="88"/>
      <x:c r="C3" s="88"/>
      <x:c r="D3" s="88"/>
      <x:c r="E3" s="88"/>
      <x:c r="F3" s="88"/>
      <x:c r="G3" s="88"/>
      <x:c r="H3" s="88"/>
      <x:c r="I3" s="88"/>
      <x:c r="J3" s="88"/>
      <x:c r="K3" s="88"/>
      <x:c r="L3" s="88"/>
      <x:c r="M3" s="88"/>
      <x:c r="N3" s="88"/>
      <x:c r="O3" s="88"/>
      <x:c r="P3" s="88"/>
      <x:c r="Q3" s="88"/>
      <x:c r="R3" s="88"/>
    </x:row>
    <x:row r="4">
      <x:c r="A4" s="88"/>
      <x:c r="B4" s="88"/>
      <x:c r="C4" s="88"/>
      <x:c r="D4" s="88"/>
      <x:c r="E4" s="88"/>
      <x:c r="F4" s="88"/>
      <x:c r="G4" s="88"/>
      <x:c r="H4" s="88"/>
      <x:c r="I4" s="88"/>
      <x:c r="J4" s="88"/>
      <x:c r="K4" s="88"/>
      <x:c r="L4" s="88"/>
      <x:c r="M4" s="88"/>
      <x:c r="N4" s="88"/>
      <x:c r="O4" s="88"/>
      <x:c r="P4" s="88"/>
      <x:c r="Q4" s="88"/>
      <x:c r="R4" s="88"/>
    </x:row>
    <x:row r="5" ht="32" customHeight="1">
      <x:c r="A5" s="15" t="str">
        <x:v>编号</x:v>
      </x:c>
      <x:c r="B5" s="16" t="str">
        <x:v>供应商</x:v>
      </x:c>
      <x:c r="C5" s="16" t="str">
        <x:v>PO</x:v>
      </x:c>
      <x:c r="D5" s="16" t="str">
        <x:v>物料</x:v>
      </x:c>
      <x:c r="E5" s="16" t="str">
        <x:v>收货日</x:v>
      </x:c>
      <x:c r="F5" s="16" t="str">
        <x:v>数量</x:v>
      </x:c>
      <x:c r="G5" s="16" t="str">
        <x:v>暂估单价</x:v>
      </x:c>
      <x:c r="H5" s="16" t="str">
        <x:v>暂估金额</x:v>
      </x:c>
      <x:c r="I5" s="16" t="str">
        <x:v>预计税额</x:v>
      </x:c>
      <x:c r="J5" s="16" t="str">
        <x:v>收票日</x:v>
      </x:c>
      <x:c r="K5" s="16" t="str">
        <x:v>发票金额</x:v>
      </x:c>
      <x:c r="L5" s="16" t="str">
        <x:v>发票税额</x:v>
      </x:c>
      <x:c r="M5" s="16" t="str">
        <x:v>价差</x:v>
      </x:c>
      <x:c r="N5" s="16" t="str">
        <x:v>账龄</x:v>
      </x:c>
      <x:c r="O5" s="16" t="str">
        <x:v>已耗用金额</x:v>
      </x:c>
      <x:c r="P5" s="16" t="str">
        <x:v>价差去向</x:v>
      </x:c>
      <x:c r="Q5" s="16" t="str">
        <x:v>责任人</x:v>
      </x:c>
      <x:c r="R5" s="17" t="str">
        <x:v>状态</x:v>
      </x:c>
    </x:row>
    <x:row r="6">
      <x:c r="A6" s="48" t="str">
        <x:v>ACR-01</x:v>
      </x:c>
      <x:c r="B6" s="49" t="str">
        <x:v>控制板供应商</x:v>
      </x:c>
      <x:c r="C6" s="49" t="str">
        <x:v>PO-0801</x:v>
      </x:c>
      <x:c r="D6" s="49" t="str">
        <x:v>M01</x:v>
      </x:c>
      <x:c r="E6" s="57" t="n">
        <x:v>46244</x:v>
      </x:c>
      <x:c r="F6" s="61" t="n">
        <x:v>500</x:v>
      </x:c>
      <x:c r="G6" s="61" t="n">
        <x:v>0.22</x:v>
      </x:c>
      <x:c r="H6" s="61" t="n">
        <x:v>110</x:v>
      </x:c>
      <x:c r="I6" s="61" t="n">
        <x:v>14.3</x:v>
      </x:c>
      <x:c r="J6" s="61"/>
      <x:c r="K6" s="61"/>
      <x:c r="L6" s="61"/>
      <x:c r="M6" s="61" t="str">
        <x:f>IF(OR(H6="",K6=""),"",K6-H6)</x:f>
      </x:c>
      <x:c r="N6" s="61" t="n">
        <x:f>IF(A6="","",'00-说明与参数'!$B$6-E6)</x:f>
        <x:v>21</x:v>
      </x:c>
      <x:c r="O6" s="61" t="n">
        <x:v>43.33</x:v>
      </x:c>
      <x:c r="P6" s="49" t="str">
        <x:v>收票后按库存/成本分配</x:v>
      </x:c>
      <x:c r="Q6" s="49" t="str">
        <x:v>采购</x:v>
      </x:c>
      <x:c r="R6" s="50" t="str">
        <x:v>进行中</x:v>
      </x:c>
    </x:row>
    <x:row r="7">
      <x:c r="A7" s="39" t="str">
        <x:v>ACR-02</x:v>
      </x:c>
      <x:c r="B7" s="40" t="str">
        <x:v>包装供应商</x:v>
      </x:c>
      <x:c r="C7" s="40" t="str">
        <x:v>PO-0820</x:v>
      </x:c>
      <x:c r="D7" s="40" t="str">
        <x:v>P01</x:v>
      </x:c>
      <x:c r="E7" s="58" t="n">
        <x:v>46259</x:v>
      </x:c>
      <x:c r="F7" s="62" t="n">
        <x:v>40</x:v>
      </x:c>
      <x:c r="G7" s="62" t="n">
        <x:v>0.5</x:v>
      </x:c>
      <x:c r="H7" s="62" t="n">
        <x:v>20</x:v>
      </x:c>
      <x:c r="I7" s="62" t="n">
        <x:v>2.6</x:v>
      </x:c>
      <x:c r="J7" s="62" t="n">
        <x:v>46268</x:v>
      </x:c>
      <x:c r="K7" s="62" t="n">
        <x:v>20</x:v>
      </x:c>
      <x:c r="L7" s="62" t="n">
        <x:v>2.6</x:v>
      </x:c>
      <x:c r="M7" s="62" t="n">
        <x:f>IF(OR(H7="",K7=""),"",K7-H7)</x:f>
        <x:v>0</x:v>
      </x:c>
      <x:c r="N7" s="62" t="n">
        <x:f>IF(A7="","",'00-说明与参数'!$B$6-E7)</x:f>
        <x:v>6</x:v>
      </x:c>
      <x:c r="O7" s="62" t="n">
        <x:v>10</x:v>
      </x:c>
      <x:c r="P7" s="40" t="str">
        <x:v>无价差</x:v>
      </x:c>
      <x:c r="Q7" s="40" t="str">
        <x:v>AP</x:v>
      </x:c>
      <x:c r="R7" s="41" t="str">
        <x:v>待复核</x:v>
      </x:c>
    </x:row>
    <x:row r="8">
      <x:c r="A8" s="51"/>
      <x:c r="B8" s="52"/>
      <x:c r="C8" s="52"/>
      <x:c r="D8" s="52"/>
      <x:c r="E8" s="59"/>
      <x:c r="F8" s="63"/>
      <x:c r="G8" s="63"/>
      <x:c r="H8" s="63"/>
      <x:c r="I8" s="63"/>
      <x:c r="J8" s="63"/>
      <x:c r="K8" s="63"/>
      <x:c r="L8" s="63"/>
      <x:c r="M8" s="63" t="str">
        <x:f>IF(OR(H8="",K8=""),"",K8-H8)</x:f>
      </x:c>
      <x:c r="N8" s="63" t="str">
        <x:f>IF(A8="","",'00-说明与参数'!$B$6-E8)</x:f>
      </x:c>
      <x:c r="O8" s="63"/>
      <x:c r="P8" s="52"/>
      <x:c r="Q8" s="52"/>
      <x:c r="R8" s="53"/>
    </x:row>
    <x:row r="9">
      <x:c r="A9" s="39"/>
      <x:c r="B9" s="40"/>
      <x:c r="C9" s="40"/>
      <x:c r="D9" s="40"/>
      <x:c r="E9" s="58"/>
      <x:c r="F9" s="62"/>
      <x:c r="G9" s="62"/>
      <x:c r="H9" s="62"/>
      <x:c r="I9" s="62"/>
      <x:c r="J9" s="62"/>
      <x:c r="K9" s="62"/>
      <x:c r="L9" s="62"/>
      <x:c r="M9" s="62" t="str">
        <x:f>IF(OR(H9="",K9=""),"",K9-H9)</x:f>
      </x:c>
      <x:c r="N9" s="62" t="str">
        <x:f>IF(A9="","",'00-说明与参数'!$B$6-E9)</x:f>
      </x:c>
      <x:c r="O9" s="62"/>
      <x:c r="P9" s="40"/>
      <x:c r="Q9" s="40"/>
      <x:c r="R9" s="41"/>
    </x:row>
    <x:row r="10">
      <x:c r="A10" s="51"/>
      <x:c r="B10" s="52"/>
      <x:c r="C10" s="52"/>
      <x:c r="D10" s="52"/>
      <x:c r="E10" s="59"/>
      <x:c r="F10" s="63"/>
      <x:c r="G10" s="63"/>
      <x:c r="H10" s="63"/>
      <x:c r="I10" s="63"/>
      <x:c r="J10" s="63"/>
      <x:c r="K10" s="63"/>
      <x:c r="L10" s="63"/>
      <x:c r="M10" s="63" t="str">
        <x:f>IF(OR(H10="",K10=""),"",K10-H10)</x:f>
      </x:c>
      <x:c r="N10" s="63" t="str">
        <x:f>IF(A10="","",'00-说明与参数'!$B$6-E10)</x:f>
      </x:c>
      <x:c r="O10" s="63"/>
      <x:c r="P10" s="52"/>
      <x:c r="Q10" s="52"/>
      <x:c r="R10" s="53"/>
    </x:row>
    <x:row r="11">
      <x:c r="A11" s="39"/>
      <x:c r="B11" s="40"/>
      <x:c r="C11" s="40"/>
      <x:c r="D11" s="40"/>
      <x:c r="E11" s="58"/>
      <x:c r="F11" s="62"/>
      <x:c r="G11" s="62"/>
      <x:c r="H11" s="62"/>
      <x:c r="I11" s="62"/>
      <x:c r="J11" s="62"/>
      <x:c r="K11" s="62"/>
      <x:c r="L11" s="62"/>
      <x:c r="M11" s="62" t="str">
        <x:f>IF(OR(H11="",K11=""),"",K11-H11)</x:f>
      </x:c>
      <x:c r="N11" s="62" t="str">
        <x:f>IF(A11="","",'00-说明与参数'!$B$6-E11)</x:f>
      </x:c>
      <x:c r="O11" s="62"/>
      <x:c r="P11" s="40"/>
      <x:c r="Q11" s="40"/>
      <x:c r="R11" s="41"/>
    </x:row>
    <x:row r="12">
      <x:c r="A12" s="51"/>
      <x:c r="B12" s="52"/>
      <x:c r="C12" s="52"/>
      <x:c r="D12" s="52"/>
      <x:c r="E12" s="59"/>
      <x:c r="F12" s="63"/>
      <x:c r="G12" s="63"/>
      <x:c r="H12" s="63"/>
      <x:c r="I12" s="63"/>
      <x:c r="J12" s="63"/>
      <x:c r="K12" s="63"/>
      <x:c r="L12" s="63"/>
      <x:c r="M12" s="63" t="str">
        <x:f>IF(OR(H12="",K12=""),"",K12-H12)</x:f>
      </x:c>
      <x:c r="N12" s="63" t="str">
        <x:f>IF(A12="","",'00-说明与参数'!$B$6-E12)</x:f>
      </x:c>
      <x:c r="O12" s="63"/>
      <x:c r="P12" s="52"/>
      <x:c r="Q12" s="52"/>
      <x:c r="R12" s="53"/>
    </x:row>
    <x:row r="13">
      <x:c r="A13" s="39"/>
      <x:c r="B13" s="40"/>
      <x:c r="C13" s="40"/>
      <x:c r="D13" s="40"/>
      <x:c r="E13" s="58"/>
      <x:c r="F13" s="62"/>
      <x:c r="G13" s="62"/>
      <x:c r="H13" s="62"/>
      <x:c r="I13" s="62"/>
      <x:c r="J13" s="62"/>
      <x:c r="K13" s="62"/>
      <x:c r="L13" s="62"/>
      <x:c r="M13" s="62" t="str">
        <x:f>IF(OR(H13="",K13=""),"",K13-H13)</x:f>
      </x:c>
      <x:c r="N13" s="62" t="str">
        <x:f>IF(A13="","",'00-说明与参数'!$B$6-E13)</x:f>
      </x:c>
      <x:c r="O13" s="62"/>
      <x:c r="P13" s="40"/>
      <x:c r="Q13" s="40"/>
      <x:c r="R13" s="41"/>
    </x:row>
    <x:row r="14">
      <x:c r="A14" s="51"/>
      <x:c r="B14" s="52"/>
      <x:c r="C14" s="52"/>
      <x:c r="D14" s="52"/>
      <x:c r="E14" s="59"/>
      <x:c r="F14" s="63"/>
      <x:c r="G14" s="63"/>
      <x:c r="H14" s="63"/>
      <x:c r="I14" s="63"/>
      <x:c r="J14" s="63"/>
      <x:c r="K14" s="63"/>
      <x:c r="L14" s="63"/>
      <x:c r="M14" s="63" t="str">
        <x:f>IF(OR(H14="",K14=""),"",K14-H14)</x:f>
      </x:c>
      <x:c r="N14" s="63" t="str">
        <x:f>IF(A14="","",'00-说明与参数'!$B$6-E14)</x:f>
      </x:c>
      <x:c r="O14" s="63"/>
      <x:c r="P14" s="52"/>
      <x:c r="Q14" s="52"/>
      <x:c r="R14" s="53"/>
    </x:row>
    <x:row r="15">
      <x:c r="A15" s="39"/>
      <x:c r="B15" s="40"/>
      <x:c r="C15" s="40"/>
      <x:c r="D15" s="40"/>
      <x:c r="E15" s="58"/>
      <x:c r="F15" s="62"/>
      <x:c r="G15" s="62"/>
      <x:c r="H15" s="62"/>
      <x:c r="I15" s="62"/>
      <x:c r="J15" s="62"/>
      <x:c r="K15" s="62"/>
      <x:c r="L15" s="62"/>
      <x:c r="M15" s="62" t="str">
        <x:f>IF(OR(H15="",K15=""),"",K15-H15)</x:f>
      </x:c>
      <x:c r="N15" s="62" t="str">
        <x:f>IF(A15="","",'00-说明与参数'!$B$6-E15)</x:f>
      </x:c>
      <x:c r="O15" s="62"/>
      <x:c r="P15" s="40"/>
      <x:c r="Q15" s="40"/>
      <x:c r="R15" s="41"/>
    </x:row>
    <x:row r="16">
      <x:c r="A16" s="51"/>
      <x:c r="B16" s="52"/>
      <x:c r="C16" s="52"/>
      <x:c r="D16" s="52"/>
      <x:c r="E16" s="59"/>
      <x:c r="F16" s="63"/>
      <x:c r="G16" s="63"/>
      <x:c r="H16" s="63"/>
      <x:c r="I16" s="63"/>
      <x:c r="J16" s="63"/>
      <x:c r="K16" s="63"/>
      <x:c r="L16" s="63"/>
      <x:c r="M16" s="63" t="str">
        <x:f>IF(OR(H16="",K16=""),"",K16-H16)</x:f>
      </x:c>
      <x:c r="N16" s="63" t="str">
        <x:f>IF(A16="","",'00-说明与参数'!$B$6-E16)</x:f>
      </x:c>
      <x:c r="O16" s="63"/>
      <x:c r="P16" s="52"/>
      <x:c r="Q16" s="52"/>
      <x:c r="R16" s="53"/>
    </x:row>
    <x:row r="17">
      <x:c r="A17" s="39"/>
      <x:c r="B17" s="40"/>
      <x:c r="C17" s="40"/>
      <x:c r="D17" s="40"/>
      <x:c r="E17" s="58"/>
      <x:c r="F17" s="62"/>
      <x:c r="G17" s="62"/>
      <x:c r="H17" s="62"/>
      <x:c r="I17" s="62"/>
      <x:c r="J17" s="62"/>
      <x:c r="K17" s="62"/>
      <x:c r="L17" s="62"/>
      <x:c r="M17" s="62" t="str">
        <x:f>IF(OR(H17="",K17=""),"",K17-H17)</x:f>
      </x:c>
      <x:c r="N17" s="62" t="str">
        <x:f>IF(A17="","",'00-说明与参数'!$B$6-E17)</x:f>
      </x:c>
      <x:c r="O17" s="62"/>
      <x:c r="P17" s="40"/>
      <x:c r="Q17" s="40"/>
      <x:c r="R17" s="41"/>
    </x:row>
    <x:row r="18">
      <x:c r="A18" s="51"/>
      <x:c r="B18" s="52"/>
      <x:c r="C18" s="52"/>
      <x:c r="D18" s="52"/>
      <x:c r="E18" s="59"/>
      <x:c r="F18" s="63"/>
      <x:c r="G18" s="63"/>
      <x:c r="H18" s="63"/>
      <x:c r="I18" s="63"/>
      <x:c r="J18" s="63"/>
      <x:c r="K18" s="63"/>
      <x:c r="L18" s="63"/>
      <x:c r="M18" s="63" t="str">
        <x:f>IF(OR(H18="",K18=""),"",K18-H18)</x:f>
      </x:c>
      <x:c r="N18" s="63" t="str">
        <x:f>IF(A18="","",'00-说明与参数'!$B$6-E18)</x:f>
      </x:c>
      <x:c r="O18" s="63"/>
      <x:c r="P18" s="52"/>
      <x:c r="Q18" s="52"/>
      <x:c r="R18" s="53"/>
    </x:row>
    <x:row r="19">
      <x:c r="A19" s="39"/>
      <x:c r="B19" s="40"/>
      <x:c r="C19" s="40"/>
      <x:c r="D19" s="40"/>
      <x:c r="E19" s="58"/>
      <x:c r="F19" s="62"/>
      <x:c r="G19" s="62"/>
      <x:c r="H19" s="62"/>
      <x:c r="I19" s="62"/>
      <x:c r="J19" s="62"/>
      <x:c r="K19" s="62"/>
      <x:c r="L19" s="62"/>
      <x:c r="M19" s="62" t="str">
        <x:f>IF(OR(H19="",K19=""),"",K19-H19)</x:f>
      </x:c>
      <x:c r="N19" s="62" t="str">
        <x:f>IF(A19="","",'00-说明与参数'!$B$6-E19)</x:f>
      </x:c>
      <x:c r="O19" s="62"/>
      <x:c r="P19" s="40"/>
      <x:c r="Q19" s="40"/>
      <x:c r="R19" s="41"/>
    </x:row>
    <x:row r="20">
      <x:c r="A20" s="51"/>
      <x:c r="B20" s="52"/>
      <x:c r="C20" s="52"/>
      <x:c r="D20" s="52"/>
      <x:c r="E20" s="59"/>
      <x:c r="F20" s="63"/>
      <x:c r="G20" s="63"/>
      <x:c r="H20" s="63"/>
      <x:c r="I20" s="63"/>
      <x:c r="J20" s="63"/>
      <x:c r="K20" s="63"/>
      <x:c r="L20" s="63"/>
      <x:c r="M20" s="63" t="str">
        <x:f>IF(OR(H20="",K20=""),"",K20-H20)</x:f>
      </x:c>
      <x:c r="N20" s="63" t="str">
        <x:f>IF(A20="","",'00-说明与参数'!$B$6-E20)</x:f>
      </x:c>
      <x:c r="O20" s="63"/>
      <x:c r="P20" s="52"/>
      <x:c r="Q20" s="52"/>
      <x:c r="R20" s="53"/>
    </x:row>
    <x:row r="21">
      <x:c r="A21" s="39"/>
      <x:c r="B21" s="40"/>
      <x:c r="C21" s="40"/>
      <x:c r="D21" s="40"/>
      <x:c r="E21" s="58"/>
      <x:c r="F21" s="62"/>
      <x:c r="G21" s="62"/>
      <x:c r="H21" s="62"/>
      <x:c r="I21" s="62"/>
      <x:c r="J21" s="62"/>
      <x:c r="K21" s="62"/>
      <x:c r="L21" s="62"/>
      <x:c r="M21" s="62" t="str">
        <x:f>IF(OR(H21="",K21=""),"",K21-H21)</x:f>
      </x:c>
      <x:c r="N21" s="62" t="str">
        <x:f>IF(A21="","",'00-说明与参数'!$B$6-E21)</x:f>
      </x:c>
      <x:c r="O21" s="62"/>
      <x:c r="P21" s="40"/>
      <x:c r="Q21" s="40"/>
      <x:c r="R21" s="41"/>
    </x:row>
    <x:row r="22">
      <x:c r="A22" s="51"/>
      <x:c r="B22" s="52"/>
      <x:c r="C22" s="52"/>
      <x:c r="D22" s="52"/>
      <x:c r="E22" s="59"/>
      <x:c r="F22" s="63"/>
      <x:c r="G22" s="63"/>
      <x:c r="H22" s="63"/>
      <x:c r="I22" s="63"/>
      <x:c r="J22" s="63"/>
      <x:c r="K22" s="63"/>
      <x:c r="L22" s="63"/>
      <x:c r="M22" s="63" t="str">
        <x:f>IF(OR(H22="",K22=""),"",K22-H22)</x:f>
      </x:c>
      <x:c r="N22" s="63" t="str">
        <x:f>IF(A22="","",'00-说明与参数'!$B$6-E22)</x:f>
      </x:c>
      <x:c r="O22" s="63"/>
      <x:c r="P22" s="52"/>
      <x:c r="Q22" s="52"/>
      <x:c r="R22" s="53"/>
    </x:row>
    <x:row r="23">
      <x:c r="A23" s="39"/>
      <x:c r="B23" s="40"/>
      <x:c r="C23" s="40"/>
      <x:c r="D23" s="40"/>
      <x:c r="E23" s="58"/>
      <x:c r="F23" s="62"/>
      <x:c r="G23" s="62"/>
      <x:c r="H23" s="62"/>
      <x:c r="I23" s="62"/>
      <x:c r="J23" s="62"/>
      <x:c r="K23" s="62"/>
      <x:c r="L23" s="62"/>
      <x:c r="M23" s="62" t="str">
        <x:f>IF(OR(H23="",K23=""),"",K23-H23)</x:f>
      </x:c>
      <x:c r="N23" s="62" t="str">
        <x:f>IF(A23="","",'00-说明与参数'!$B$6-E23)</x:f>
      </x:c>
      <x:c r="O23" s="62"/>
      <x:c r="P23" s="40"/>
      <x:c r="Q23" s="40"/>
      <x:c r="R23" s="41"/>
    </x:row>
    <x:row r="24">
      <x:c r="A24" s="51"/>
      <x:c r="B24" s="52"/>
      <x:c r="C24" s="52"/>
      <x:c r="D24" s="52"/>
      <x:c r="E24" s="59"/>
      <x:c r="F24" s="63"/>
      <x:c r="G24" s="63"/>
      <x:c r="H24" s="63"/>
      <x:c r="I24" s="63"/>
      <x:c r="J24" s="63"/>
      <x:c r="K24" s="63"/>
      <x:c r="L24" s="63"/>
      <x:c r="M24" s="63" t="str">
        <x:f>IF(OR(H24="",K24=""),"",K24-H24)</x:f>
      </x:c>
      <x:c r="N24" s="63" t="str">
        <x:f>IF(A24="","",'00-说明与参数'!$B$6-E24)</x:f>
      </x:c>
      <x:c r="O24" s="63"/>
      <x:c r="P24" s="52"/>
      <x:c r="Q24" s="52"/>
      <x:c r="R24" s="53"/>
    </x:row>
    <x:row r="25">
      <x:c r="A25" s="39"/>
      <x:c r="B25" s="40"/>
      <x:c r="C25" s="40"/>
      <x:c r="D25" s="40"/>
      <x:c r="E25" s="58"/>
      <x:c r="F25" s="62"/>
      <x:c r="G25" s="62"/>
      <x:c r="H25" s="62"/>
      <x:c r="I25" s="62"/>
      <x:c r="J25" s="62"/>
      <x:c r="K25" s="62"/>
      <x:c r="L25" s="62"/>
      <x:c r="M25" s="62" t="str">
        <x:f>IF(OR(H25="",K25=""),"",K25-H25)</x:f>
      </x:c>
      <x:c r="N25" s="62" t="str">
        <x:f>IF(A25="","",'00-说明与参数'!$B$6-E25)</x:f>
      </x:c>
      <x:c r="O25" s="62"/>
      <x:c r="P25" s="40"/>
      <x:c r="Q25" s="40"/>
      <x:c r="R25" s="41"/>
    </x:row>
    <x:row r="26">
      <x:c r="A26" s="51"/>
      <x:c r="B26" s="52"/>
      <x:c r="C26" s="52"/>
      <x:c r="D26" s="52"/>
      <x:c r="E26" s="59"/>
      <x:c r="F26" s="63"/>
      <x:c r="G26" s="63"/>
      <x:c r="H26" s="63"/>
      <x:c r="I26" s="63"/>
      <x:c r="J26" s="63"/>
      <x:c r="K26" s="63"/>
      <x:c r="L26" s="63"/>
      <x:c r="M26" s="63" t="str">
        <x:f>IF(OR(H26="",K26=""),"",K26-H26)</x:f>
      </x:c>
      <x:c r="N26" s="63" t="str">
        <x:f>IF(A26="","",'00-说明与参数'!$B$6-E26)</x:f>
      </x:c>
      <x:c r="O26" s="63"/>
      <x:c r="P26" s="52"/>
      <x:c r="Q26" s="52"/>
      <x:c r="R26" s="53"/>
    </x:row>
    <x:row r="27">
      <x:c r="A27" s="39"/>
      <x:c r="B27" s="40"/>
      <x:c r="C27" s="40"/>
      <x:c r="D27" s="40"/>
      <x:c r="E27" s="58"/>
      <x:c r="F27" s="62"/>
      <x:c r="G27" s="62"/>
      <x:c r="H27" s="62"/>
      <x:c r="I27" s="62"/>
      <x:c r="J27" s="62"/>
      <x:c r="K27" s="62"/>
      <x:c r="L27" s="62"/>
      <x:c r="M27" s="62" t="str">
        <x:f>IF(OR(H27="",K27=""),"",K27-H27)</x:f>
      </x:c>
      <x:c r="N27" s="62" t="str">
        <x:f>IF(A27="","",'00-说明与参数'!$B$6-E27)</x:f>
      </x:c>
      <x:c r="O27" s="62"/>
      <x:c r="P27" s="40"/>
      <x:c r="Q27" s="40"/>
      <x:c r="R27" s="41"/>
    </x:row>
    <x:row r="28">
      <x:c r="A28" s="51"/>
      <x:c r="B28" s="52"/>
      <x:c r="C28" s="52"/>
      <x:c r="D28" s="52"/>
      <x:c r="E28" s="59"/>
      <x:c r="F28" s="63"/>
      <x:c r="G28" s="63"/>
      <x:c r="H28" s="63"/>
      <x:c r="I28" s="63"/>
      <x:c r="J28" s="63"/>
      <x:c r="K28" s="63"/>
      <x:c r="L28" s="63"/>
      <x:c r="M28" s="63" t="str">
        <x:f>IF(OR(H28="",K28=""),"",K28-H28)</x:f>
      </x:c>
      <x:c r="N28" s="63" t="str">
        <x:f>IF(A28="","",'00-说明与参数'!$B$6-E28)</x:f>
      </x:c>
      <x:c r="O28" s="63"/>
      <x:c r="P28" s="52"/>
      <x:c r="Q28" s="52"/>
      <x:c r="R28" s="53"/>
    </x:row>
    <x:row r="29">
      <x:c r="A29" s="39"/>
      <x:c r="B29" s="40"/>
      <x:c r="C29" s="40"/>
      <x:c r="D29" s="40"/>
      <x:c r="E29" s="58"/>
      <x:c r="F29" s="62"/>
      <x:c r="G29" s="62"/>
      <x:c r="H29" s="62"/>
      <x:c r="I29" s="62"/>
      <x:c r="J29" s="62"/>
      <x:c r="K29" s="62"/>
      <x:c r="L29" s="62"/>
      <x:c r="M29" s="62" t="str">
        <x:f>IF(OR(H29="",K29=""),"",K29-H29)</x:f>
      </x:c>
      <x:c r="N29" s="62" t="str">
        <x:f>IF(A29="","",'00-说明与参数'!$B$6-E29)</x:f>
      </x:c>
      <x:c r="O29" s="62"/>
      <x:c r="P29" s="40"/>
      <x:c r="Q29" s="40"/>
      <x:c r="R29" s="41"/>
    </x:row>
    <x:row r="30">
      <x:c r="A30" s="54"/>
      <x:c r="B30" s="55"/>
      <x:c r="C30" s="55"/>
      <x:c r="D30" s="55"/>
      <x:c r="E30" s="60"/>
      <x:c r="F30" s="64"/>
      <x:c r="G30" s="64"/>
      <x:c r="H30" s="64"/>
      <x:c r="I30" s="64"/>
      <x:c r="J30" s="64"/>
      <x:c r="K30" s="64"/>
      <x:c r="L30" s="64"/>
      <x:c r="M30" s="64" t="str">
        <x:f>IF(OR(H30="",K30=""),"",K30-H30)</x:f>
      </x:c>
      <x:c r="N30" s="64" t="str">
        <x:f>IF(A30="","",'00-说明与参数'!$B$6-E30)</x:f>
      </x:c>
      <x:c r="O30" s="64"/>
      <x:c r="P30" s="55"/>
      <x:c r="Q30" s="55"/>
      <x:c r="R30" s="56"/>
    </x:row>
  </x:sheetData>
  <x:mergeCells>
    <x:mergeCell ref="A1:R1"/>
    <x:mergeCell ref="A2:R2"/>
  </x:mergeCells>
  <x:conditionalFormatting sqref="R6:R30">
    <x:cfRule type="expression" dxfId="6" priority="1">
      <x:formula>INDIRECT("RC",FALSE)="已关闭"</x:formula>
    </x:cfRule>
    <x:cfRule type="expression" dxfId="7" priority="2">
      <x:formula>INDIRECT("RC",FALSE)="进行中"</x:formula>
    </x:cfRule>
    <x:cfRule type="expression" dxfId="8" priority="3">
      <x:formula>INDIRECT("RC",FALSE)="待复核"</x:formula>
    </x:cfRule>
  </x:conditionalFormatting>
  <x:dataValidations count="1">
    <x:dataValidation type="list" sqref="R6:R30">
      <x:formula1>"未开始,进行中,待复核,已关闭,不适用"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a87bfb428a14648"/>
  </x:tableParts>
</x:worksheet>
</file>

<file path=xl/worksheets/sheet5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12" hidden="0" customWidth="1"/>
    <x:col min="2" max="2" width="10" hidden="0" customWidth="1"/>
    <x:col min="3" max="3" width="10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0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4" hidden="0" customWidth="1"/>
    <x:col min="14" max="14" width="22" hidden="0" customWidth="1"/>
    <x:col min="15" max="15" width="16" hidden="0" customWidth="1"/>
    <x:col min="16" max="16" width="16" hidden="0" customWidth="1"/>
    <x:col min="17" max="17" width="26" hidden="0" customWidth="1"/>
    <x:col min="18" max="18" width="12" hidden="0" customWidth="1"/>
  </x:cols>
  <x:sheetData>
    <x:row r="1" ht="30" customHeight="1">
      <x:c r="A1" s="87" t="str">
        <x:v>BOM异常分析</x:v>
      </x:c>
      <x:c r="B1" s="88"/>
      <x:c r="C1" s="88"/>
      <x:c r="D1" s="88"/>
      <x:c r="E1" s="88"/>
      <x:c r="F1" s="88"/>
      <x:c r="G1" s="88"/>
      <x:c r="H1" s="88"/>
      <x:c r="I1" s="88"/>
      <x:c r="J1" s="88"/>
      <x:c r="K1" s="88"/>
      <x:c r="L1" s="88"/>
      <x:c r="M1" s="88"/>
      <x:c r="N1" s="88"/>
      <x:c r="O1" s="88"/>
      <x:c r="P1" s="88"/>
      <x:c r="Q1" s="88"/>
      <x:c r="R1" s="88"/>
    </x:row>
    <x:row r="2" ht="24" customHeight="1">
      <x:c r="A2" s="89" t="str">
        <x:v>标准用量与实际领料按产品、版本、工单和生效日核对</x:v>
      </x:c>
      <x:c r="B2" s="88"/>
      <x:c r="C2" s="88"/>
      <x:c r="D2" s="88"/>
      <x:c r="E2" s="88"/>
      <x:c r="F2" s="88"/>
      <x:c r="G2" s="88"/>
      <x:c r="H2" s="88"/>
      <x:c r="I2" s="88"/>
      <x:c r="J2" s="88"/>
      <x:c r="K2" s="88"/>
      <x:c r="L2" s="88"/>
      <x:c r="M2" s="88"/>
      <x:c r="N2" s="88"/>
      <x:c r="O2" s="88"/>
      <x:c r="P2" s="88"/>
      <x:c r="Q2" s="88"/>
      <x:c r="R2" s="88"/>
    </x:row>
    <x:row r="3">
      <x:c r="A3" s="88"/>
      <x:c r="B3" s="88"/>
      <x:c r="C3" s="88"/>
      <x:c r="D3" s="88"/>
      <x:c r="E3" s="88"/>
      <x:c r="F3" s="88"/>
      <x:c r="G3" s="88"/>
      <x:c r="H3" s="88"/>
      <x:c r="I3" s="88"/>
      <x:c r="J3" s="88"/>
      <x:c r="K3" s="88"/>
      <x:c r="L3" s="88"/>
      <x:c r="M3" s="88"/>
      <x:c r="N3" s="88"/>
      <x:c r="O3" s="88"/>
      <x:c r="P3" s="88"/>
      <x:c r="Q3" s="88"/>
      <x:c r="R3" s="88"/>
    </x:row>
    <x:row r="4">
      <x:c r="A4" s="88"/>
      <x:c r="B4" s="88"/>
      <x:c r="C4" s="88"/>
      <x:c r="D4" s="88"/>
      <x:c r="E4" s="88"/>
      <x:c r="F4" s="88"/>
      <x:c r="G4" s="88"/>
      <x:c r="H4" s="88"/>
      <x:c r="I4" s="88"/>
      <x:c r="J4" s="88"/>
      <x:c r="K4" s="88"/>
      <x:c r="L4" s="88"/>
      <x:c r="M4" s="88"/>
      <x:c r="N4" s="88"/>
      <x:c r="O4" s="88"/>
      <x:c r="P4" s="88"/>
      <x:c r="Q4" s="88"/>
      <x:c r="R4" s="88"/>
    </x:row>
    <x:row r="5" ht="32" customHeight="1">
      <x:c r="A5" s="15" t="str">
        <x:v>产品</x:v>
      </x:c>
      <x:c r="B5" s="16" t="str">
        <x:v>版本</x:v>
      </x:c>
      <x:c r="C5" s="16" t="str">
        <x:v>物料</x:v>
      </x:c>
      <x:c r="D5" s="16" t="str">
        <x:v>BOM单耗</x:v>
      </x:c>
      <x:c r="E5" s="16" t="str">
        <x:v>工单数量</x:v>
      </x:c>
      <x:c r="F5" s="16" t="str">
        <x:v>标准用量</x:v>
      </x:c>
      <x:c r="G5" s="16" t="str">
        <x:v>实际领料</x:v>
      </x:c>
      <x:c r="H5" s="16" t="str">
        <x:v>退料</x:v>
      </x:c>
      <x:c r="I5" s="16" t="str">
        <x:v>净耗用</x:v>
      </x:c>
      <x:c r="J5" s="16" t="str">
        <x:v>用量差</x:v>
      </x:c>
      <x:c r="K5" s="16" t="str">
        <x:v>差异率</x:v>
      </x:c>
      <x:c r="L5" s="16" t="str">
        <x:v>标准价</x:v>
      </x:c>
      <x:c r="M5" s="16" t="str">
        <x:v>金额影响</x:v>
      </x:c>
      <x:c r="N5" s="16" t="str">
        <x:v>原因</x:v>
      </x:c>
      <x:c r="O5" s="16" t="str">
        <x:v>工程变更</x:v>
      </x:c>
      <x:c r="P5" s="16" t="str">
        <x:v>责任部门</x:v>
      </x:c>
      <x:c r="Q5" s="16" t="str">
        <x:v>处理方案</x:v>
      </x:c>
      <x:c r="R5" s="17" t="str">
        <x:v>状态</x:v>
      </x:c>
    </x:row>
    <x:row r="6">
      <x:c r="A6" s="48" t="str">
        <x:v>P100</x:v>
      </x:c>
      <x:c r="B6" s="49" t="str">
        <x:v>V3</x:v>
      </x:c>
      <x:c r="C6" s="49" t="str">
        <x:v>M01</x:v>
      </x:c>
      <x:c r="D6" s="61" t="n">
        <x:v>1</x:v>
      </x:c>
      <x:c r="E6" s="61" t="n">
        <x:v>200</x:v>
      </x:c>
      <x:c r="F6" s="61" t="n">
        <x:f>IF(A6="","",D6*E6)</x:f>
        <x:v>200</x:v>
      </x:c>
      <x:c r="G6" s="61" t="n">
        <x:v>205</x:v>
      </x:c>
      <x:c r="H6" s="61" t="n">
        <x:v>5</x:v>
      </x:c>
      <x:c r="I6" s="61" t="n">
        <x:f>IF(A6="","",G6-H6)</x:f>
        <x:v>200</x:v>
      </x:c>
      <x:c r="J6" s="61" t="n">
        <x:f>IF(A6="","",I6-F6)</x:f>
        <x:v>0</x:v>
      </x:c>
      <x:c r="K6" s="65" t="n">
        <x:f>IFERROR(J6/F6,0)</x:f>
        <x:v>0</x:v>
      </x:c>
      <x:c r="L6" s="61" t="n">
        <x:v>0.2167</x:v>
      </x:c>
      <x:c r="M6" s="61" t="n">
        <x:f>IF(A6="","",J6*L6)</x:f>
        <x:v>0</x:v>
      </x:c>
      <x:c r="N6" s="49" t="str">
        <x:v>正常退料后一致</x:v>
      </x:c>
      <x:c r="O6" s="49" t="str">
        <x:v>ECN-103</x:v>
      </x:c>
      <x:c r="P6" s="49" t="str">
        <x:v>生产</x:v>
      </x:c>
      <x:c r="Q6" s="49" t="str">
        <x:v>无</x:v>
      </x:c>
      <x:c r="R6" s="50" t="str">
        <x:v>已关闭</x:v>
      </x:c>
    </x:row>
    <x:row r="7">
      <x:c r="A7" s="39" t="str">
        <x:v>P100</x:v>
      </x:c>
      <x:c r="B7" s="40" t="str">
        <x:v>V3</x:v>
      </x:c>
      <x:c r="C7" s="40" t="str">
        <x:v>M02</x:v>
      </x:c>
      <x:c r="D7" s="62" t="n">
        <x:v>1</x:v>
      </x:c>
      <x:c r="E7" s="62" t="n">
        <x:v>200</x:v>
      </x:c>
      <x:c r="F7" s="62" t="n">
        <x:f>IF(A7="","",D7*E7)</x:f>
        <x:v>200</x:v>
      </x:c>
      <x:c r="G7" s="62" t="n">
        <x:v>205</x:v>
      </x:c>
      <x:c r="H7" s="62" t="n">
        <x:v>0</x:v>
      </x:c>
      <x:c r="I7" s="62" t="n">
        <x:f>IF(A7="","",G7-H7)</x:f>
        <x:v>205</x:v>
      </x:c>
      <x:c r="J7" s="62" t="n">
        <x:f>IF(A7="","",I7-F7)</x:f>
        <x:v>5</x:v>
      </x:c>
      <x:c r="K7" s="66" t="n">
        <x:f>IFERROR(J7/F7,0)</x:f>
        <x:v>0.025</x:v>
      </x:c>
      <x:c r="L7" s="62" t="n">
        <x:v>0.516</x:v>
      </x:c>
      <x:c r="M7" s="62" t="n">
        <x:f>IF(A7="","",J7*L7)</x:f>
        <x:v>2.58</x:v>
      </x:c>
      <x:c r="N7" s="40" t="str">
        <x:v>超耗5套</x:v>
      </x:c>
      <x:c r="O7" s="40" t="str">
        <x:v>ECN-103</x:v>
      </x:c>
      <x:c r="P7" s="40" t="str">
        <x:v>生产/质量</x:v>
      </x:c>
      <x:c r="Q7" s="40" t="str">
        <x:v>查报废补料</x:v>
      </x:c>
      <x:c r="R7" s="41" t="str">
        <x:v>进行中</x:v>
      </x:c>
    </x:row>
    <x:row r="8">
      <x:c r="A8" s="51" t="str">
        <x:v>C200</x:v>
      </x:c>
      <x:c r="B8" s="52" t="str">
        <x:v>R2</x:v>
      </x:c>
      <x:c r="C8" s="52" t="str">
        <x:v>M03</x:v>
      </x:c>
      <x:c r="D8" s="63" t="n">
        <x:v>0.05</x:v>
      </x:c>
      <x:c r="E8" s="63" t="n">
        <x:v>1000</x:v>
      </x:c>
      <x:c r="F8" s="63" t="n">
        <x:f>IF(A8="","",D8*E8)</x:f>
        <x:v>50</x:v>
      </x:c>
      <x:c r="G8" s="63" t="n">
        <x:v>51</x:v>
      </x:c>
      <x:c r="H8" s="63" t="n">
        <x:v>1</x:v>
      </x:c>
      <x:c r="I8" s="63" t="n">
        <x:f>IF(A8="","",G8-H8)</x:f>
        <x:v>50</x:v>
      </x:c>
      <x:c r="J8" s="63" t="n">
        <x:f>IF(A8="","",I8-F8)</x:f>
        <x:v>0</x:v>
      </x:c>
      <x:c r="K8" s="67" t="n">
        <x:f>IFERROR(J8/F8,0)</x:f>
        <x:v>0</x:v>
      </x:c>
      <x:c r="L8" s="63" t="n">
        <x:v>2</x:v>
      </x:c>
      <x:c r="M8" s="63" t="n">
        <x:f>IF(A8="","",J8*L8)</x:f>
        <x:v>0</x:v>
      </x:c>
      <x:c r="N8" s="52" t="str">
        <x:v>净耗一致</x:v>
      </x:c>
      <x:c r="O8" s="52" t="str">
        <x:v>F-22</x:v>
      </x:c>
      <x:c r="P8" s="52" t="str">
        <x:v>生产</x:v>
      </x:c>
      <x:c r="Q8" s="52" t="str">
        <x:v>无</x:v>
      </x:c>
      <x:c r="R8" s="53" t="str">
        <x:v>已关闭</x:v>
      </x:c>
    </x:row>
    <x:row r="9">
      <x:c r="A9" s="39"/>
      <x:c r="B9" s="40"/>
      <x:c r="C9" s="40"/>
      <x:c r="D9" s="62"/>
      <x:c r="E9" s="62"/>
      <x:c r="F9" s="62" t="str">
        <x:f>IF(A9="","",D9*E9)</x:f>
      </x:c>
      <x:c r="G9" s="62"/>
      <x:c r="H9" s="62"/>
      <x:c r="I9" s="62" t="str">
        <x:f>IF(A9="","",G9-H9)</x:f>
      </x:c>
      <x:c r="J9" s="62" t="str">
        <x:f>IF(A9="","",I9-F9)</x:f>
      </x:c>
      <x:c r="K9" s="66" t="n">
        <x:f>IFERROR(J9/F9,0)</x:f>
        <x:v>0</x:v>
      </x:c>
      <x:c r="L9" s="62"/>
      <x:c r="M9" s="62" t="str">
        <x:f>IF(A9="","",J9*L9)</x:f>
      </x:c>
      <x:c r="N9" s="40"/>
      <x:c r="O9" s="40"/>
      <x:c r="P9" s="40"/>
      <x:c r="Q9" s="40"/>
      <x:c r="R9" s="41"/>
    </x:row>
    <x:row r="10">
      <x:c r="A10" s="51"/>
      <x:c r="B10" s="52"/>
      <x:c r="C10" s="52"/>
      <x:c r="D10" s="63"/>
      <x:c r="E10" s="63"/>
      <x:c r="F10" s="63" t="str">
        <x:f>IF(A10="","",D10*E10)</x:f>
      </x:c>
      <x:c r="G10" s="63"/>
      <x:c r="H10" s="63"/>
      <x:c r="I10" s="63" t="str">
        <x:f>IF(A10="","",G10-H10)</x:f>
      </x:c>
      <x:c r="J10" s="63" t="str">
        <x:f>IF(A10="","",I10-F10)</x:f>
      </x:c>
      <x:c r="K10" s="67" t="n">
        <x:f>IFERROR(J10/F10,0)</x:f>
        <x:v>0</x:v>
      </x:c>
      <x:c r="L10" s="63"/>
      <x:c r="M10" s="63" t="str">
        <x:f>IF(A10="","",J10*L10)</x:f>
      </x:c>
      <x:c r="N10" s="52"/>
      <x:c r="O10" s="52"/>
      <x:c r="P10" s="52"/>
      <x:c r="Q10" s="52"/>
      <x:c r="R10" s="53"/>
    </x:row>
    <x:row r="11">
      <x:c r="A11" s="39"/>
      <x:c r="B11" s="40"/>
      <x:c r="C11" s="40"/>
      <x:c r="D11" s="62"/>
      <x:c r="E11" s="62"/>
      <x:c r="F11" s="62" t="str">
        <x:f>IF(A11="","",D11*E11)</x:f>
      </x:c>
      <x:c r="G11" s="62"/>
      <x:c r="H11" s="62"/>
      <x:c r="I11" s="62" t="str">
        <x:f>IF(A11="","",G11-H11)</x:f>
      </x:c>
      <x:c r="J11" s="62" t="str">
        <x:f>IF(A11="","",I11-F11)</x:f>
      </x:c>
      <x:c r="K11" s="66" t="n">
        <x:f>IFERROR(J11/F11,0)</x:f>
        <x:v>0</x:v>
      </x:c>
      <x:c r="L11" s="62"/>
      <x:c r="M11" s="62" t="str">
        <x:f>IF(A11="","",J11*L11)</x:f>
      </x:c>
      <x:c r="N11" s="40"/>
      <x:c r="O11" s="40"/>
      <x:c r="P11" s="40"/>
      <x:c r="Q11" s="40"/>
      <x:c r="R11" s="41"/>
    </x:row>
    <x:row r="12">
      <x:c r="A12" s="51"/>
      <x:c r="B12" s="52"/>
      <x:c r="C12" s="52"/>
      <x:c r="D12" s="63"/>
      <x:c r="E12" s="63"/>
      <x:c r="F12" s="63" t="str">
        <x:f>IF(A12="","",D12*E12)</x:f>
      </x:c>
      <x:c r="G12" s="63"/>
      <x:c r="H12" s="63"/>
      <x:c r="I12" s="63" t="str">
        <x:f>IF(A12="","",G12-H12)</x:f>
      </x:c>
      <x:c r="J12" s="63" t="str">
        <x:f>IF(A12="","",I12-F12)</x:f>
      </x:c>
      <x:c r="K12" s="67" t="n">
        <x:f>IFERROR(J12/F12,0)</x:f>
        <x:v>0</x:v>
      </x:c>
      <x:c r="L12" s="63"/>
      <x:c r="M12" s="63" t="str">
        <x:f>IF(A12="","",J12*L12)</x:f>
      </x:c>
      <x:c r="N12" s="52"/>
      <x:c r="O12" s="52"/>
      <x:c r="P12" s="52"/>
      <x:c r="Q12" s="52"/>
      <x:c r="R12" s="53"/>
    </x:row>
    <x:row r="13">
      <x:c r="A13" s="39"/>
      <x:c r="B13" s="40"/>
      <x:c r="C13" s="40"/>
      <x:c r="D13" s="62"/>
      <x:c r="E13" s="62"/>
      <x:c r="F13" s="62" t="str">
        <x:f>IF(A13="","",D13*E13)</x:f>
      </x:c>
      <x:c r="G13" s="62"/>
      <x:c r="H13" s="62"/>
      <x:c r="I13" s="62" t="str">
        <x:f>IF(A13="","",G13-H13)</x:f>
      </x:c>
      <x:c r="J13" s="62" t="str">
        <x:f>IF(A13="","",I13-F13)</x:f>
      </x:c>
      <x:c r="K13" s="66" t="n">
        <x:f>IFERROR(J13/F13,0)</x:f>
        <x:v>0</x:v>
      </x:c>
      <x:c r="L13" s="62"/>
      <x:c r="M13" s="62" t="str">
        <x:f>IF(A13="","",J13*L13)</x:f>
      </x:c>
      <x:c r="N13" s="40"/>
      <x:c r="O13" s="40"/>
      <x:c r="P13" s="40"/>
      <x:c r="Q13" s="40"/>
      <x:c r="R13" s="41"/>
    </x:row>
    <x:row r="14">
      <x:c r="A14" s="51"/>
      <x:c r="B14" s="52"/>
      <x:c r="C14" s="52"/>
      <x:c r="D14" s="63"/>
      <x:c r="E14" s="63"/>
      <x:c r="F14" s="63" t="str">
        <x:f>IF(A14="","",D14*E14)</x:f>
      </x:c>
      <x:c r="G14" s="63"/>
      <x:c r="H14" s="63"/>
      <x:c r="I14" s="63" t="str">
        <x:f>IF(A14="","",G14-H14)</x:f>
      </x:c>
      <x:c r="J14" s="63" t="str">
        <x:f>IF(A14="","",I14-F14)</x:f>
      </x:c>
      <x:c r="K14" s="67" t="n">
        <x:f>IFERROR(J14/F14,0)</x:f>
        <x:v>0</x:v>
      </x:c>
      <x:c r="L14" s="63"/>
      <x:c r="M14" s="63" t="str">
        <x:f>IF(A14="","",J14*L14)</x:f>
      </x:c>
      <x:c r="N14" s="52"/>
      <x:c r="O14" s="52"/>
      <x:c r="P14" s="52"/>
      <x:c r="Q14" s="52"/>
      <x:c r="R14" s="53"/>
    </x:row>
    <x:row r="15">
      <x:c r="A15" s="39"/>
      <x:c r="B15" s="40"/>
      <x:c r="C15" s="40"/>
      <x:c r="D15" s="62"/>
      <x:c r="E15" s="62"/>
      <x:c r="F15" s="62" t="str">
        <x:f>IF(A15="","",D15*E15)</x:f>
      </x:c>
      <x:c r="G15" s="62"/>
      <x:c r="H15" s="62"/>
      <x:c r="I15" s="62" t="str">
        <x:f>IF(A15="","",G15-H15)</x:f>
      </x:c>
      <x:c r="J15" s="62" t="str">
        <x:f>IF(A15="","",I15-F15)</x:f>
      </x:c>
      <x:c r="K15" s="66" t="n">
        <x:f>IFERROR(J15/F15,0)</x:f>
        <x:v>0</x:v>
      </x:c>
      <x:c r="L15" s="62"/>
      <x:c r="M15" s="62" t="str">
        <x:f>IF(A15="","",J15*L15)</x:f>
      </x:c>
      <x:c r="N15" s="40"/>
      <x:c r="O15" s="40"/>
      <x:c r="P15" s="40"/>
      <x:c r="Q15" s="40"/>
      <x:c r="R15" s="41"/>
    </x:row>
    <x:row r="16">
      <x:c r="A16" s="51"/>
      <x:c r="B16" s="52"/>
      <x:c r="C16" s="52"/>
      <x:c r="D16" s="63"/>
      <x:c r="E16" s="63"/>
      <x:c r="F16" s="63" t="str">
        <x:f>IF(A16="","",D16*E16)</x:f>
      </x:c>
      <x:c r="G16" s="63"/>
      <x:c r="H16" s="63"/>
      <x:c r="I16" s="63" t="str">
        <x:f>IF(A16="","",G16-H16)</x:f>
      </x:c>
      <x:c r="J16" s="63" t="str">
        <x:f>IF(A16="","",I16-F16)</x:f>
      </x:c>
      <x:c r="K16" s="67" t="n">
        <x:f>IFERROR(J16/F16,0)</x:f>
        <x:v>0</x:v>
      </x:c>
      <x:c r="L16" s="63"/>
      <x:c r="M16" s="63" t="str">
        <x:f>IF(A16="","",J16*L16)</x:f>
      </x:c>
      <x:c r="N16" s="52"/>
      <x:c r="O16" s="52"/>
      <x:c r="P16" s="52"/>
      <x:c r="Q16" s="52"/>
      <x:c r="R16" s="53"/>
    </x:row>
    <x:row r="17">
      <x:c r="A17" s="39"/>
      <x:c r="B17" s="40"/>
      <x:c r="C17" s="40"/>
      <x:c r="D17" s="62"/>
      <x:c r="E17" s="62"/>
      <x:c r="F17" s="62" t="str">
        <x:f>IF(A17="","",D17*E17)</x:f>
      </x:c>
      <x:c r="G17" s="62"/>
      <x:c r="H17" s="62"/>
      <x:c r="I17" s="62" t="str">
        <x:f>IF(A17="","",G17-H17)</x:f>
      </x:c>
      <x:c r="J17" s="62" t="str">
        <x:f>IF(A17="","",I17-F17)</x:f>
      </x:c>
      <x:c r="K17" s="66" t="n">
        <x:f>IFERROR(J17/F17,0)</x:f>
        <x:v>0</x:v>
      </x:c>
      <x:c r="L17" s="62"/>
      <x:c r="M17" s="62" t="str">
        <x:f>IF(A17="","",J17*L17)</x:f>
      </x:c>
      <x:c r="N17" s="40"/>
      <x:c r="O17" s="40"/>
      <x:c r="P17" s="40"/>
      <x:c r="Q17" s="40"/>
      <x:c r="R17" s="41"/>
    </x:row>
    <x:row r="18">
      <x:c r="A18" s="51"/>
      <x:c r="B18" s="52"/>
      <x:c r="C18" s="52"/>
      <x:c r="D18" s="63"/>
      <x:c r="E18" s="63"/>
      <x:c r="F18" s="63" t="str">
        <x:f>IF(A18="","",D18*E18)</x:f>
      </x:c>
      <x:c r="G18" s="63"/>
      <x:c r="H18" s="63"/>
      <x:c r="I18" s="63" t="str">
        <x:f>IF(A18="","",G18-H18)</x:f>
      </x:c>
      <x:c r="J18" s="63" t="str">
        <x:f>IF(A18="","",I18-F18)</x:f>
      </x:c>
      <x:c r="K18" s="67" t="n">
        <x:f>IFERROR(J18/F18,0)</x:f>
        <x:v>0</x:v>
      </x:c>
      <x:c r="L18" s="63"/>
      <x:c r="M18" s="63" t="str">
        <x:f>IF(A18="","",J18*L18)</x:f>
      </x:c>
      <x:c r="N18" s="52"/>
      <x:c r="O18" s="52"/>
      <x:c r="P18" s="52"/>
      <x:c r="Q18" s="52"/>
      <x:c r="R18" s="53"/>
    </x:row>
    <x:row r="19">
      <x:c r="A19" s="39"/>
      <x:c r="B19" s="40"/>
      <x:c r="C19" s="40"/>
      <x:c r="D19" s="62"/>
      <x:c r="E19" s="62"/>
      <x:c r="F19" s="62" t="str">
        <x:f>IF(A19="","",D19*E19)</x:f>
      </x:c>
      <x:c r="G19" s="62"/>
      <x:c r="H19" s="62"/>
      <x:c r="I19" s="62" t="str">
        <x:f>IF(A19="","",G19-H19)</x:f>
      </x:c>
      <x:c r="J19" s="62" t="str">
        <x:f>IF(A19="","",I19-F19)</x:f>
      </x:c>
      <x:c r="K19" s="66" t="n">
        <x:f>IFERROR(J19/F19,0)</x:f>
        <x:v>0</x:v>
      </x:c>
      <x:c r="L19" s="62"/>
      <x:c r="M19" s="62" t="str">
        <x:f>IF(A19="","",J19*L19)</x:f>
      </x:c>
      <x:c r="N19" s="40"/>
      <x:c r="O19" s="40"/>
      <x:c r="P19" s="40"/>
      <x:c r="Q19" s="40"/>
      <x:c r="R19" s="41"/>
    </x:row>
    <x:row r="20">
      <x:c r="A20" s="51"/>
      <x:c r="B20" s="52"/>
      <x:c r="C20" s="52"/>
      <x:c r="D20" s="63"/>
      <x:c r="E20" s="63"/>
      <x:c r="F20" s="63" t="str">
        <x:f>IF(A20="","",D20*E20)</x:f>
      </x:c>
      <x:c r="G20" s="63"/>
      <x:c r="H20" s="63"/>
      <x:c r="I20" s="63" t="str">
        <x:f>IF(A20="","",G20-H20)</x:f>
      </x:c>
      <x:c r="J20" s="63" t="str">
        <x:f>IF(A20="","",I20-F20)</x:f>
      </x:c>
      <x:c r="K20" s="67" t="n">
        <x:f>IFERROR(J20/F20,0)</x:f>
        <x:v>0</x:v>
      </x:c>
      <x:c r="L20" s="63"/>
      <x:c r="M20" s="63" t="str">
        <x:f>IF(A20="","",J20*L20)</x:f>
      </x:c>
      <x:c r="N20" s="52"/>
      <x:c r="O20" s="52"/>
      <x:c r="P20" s="52"/>
      <x:c r="Q20" s="52"/>
      <x:c r="R20" s="53"/>
    </x:row>
    <x:row r="21">
      <x:c r="A21" s="39"/>
      <x:c r="B21" s="40"/>
      <x:c r="C21" s="40"/>
      <x:c r="D21" s="62"/>
      <x:c r="E21" s="62"/>
      <x:c r="F21" s="62" t="str">
        <x:f>IF(A21="","",D21*E21)</x:f>
      </x:c>
      <x:c r="G21" s="62"/>
      <x:c r="H21" s="62"/>
      <x:c r="I21" s="62" t="str">
        <x:f>IF(A21="","",G21-H21)</x:f>
      </x:c>
      <x:c r="J21" s="62" t="str">
        <x:f>IF(A21="","",I21-F21)</x:f>
      </x:c>
      <x:c r="K21" s="66" t="n">
        <x:f>IFERROR(J21/F21,0)</x:f>
        <x:v>0</x:v>
      </x:c>
      <x:c r="L21" s="62"/>
      <x:c r="M21" s="62" t="str">
        <x:f>IF(A21="","",J21*L21)</x:f>
      </x:c>
      <x:c r="N21" s="40"/>
      <x:c r="O21" s="40"/>
      <x:c r="P21" s="40"/>
      <x:c r="Q21" s="40"/>
      <x:c r="R21" s="41"/>
    </x:row>
    <x:row r="22">
      <x:c r="A22" s="51"/>
      <x:c r="B22" s="52"/>
      <x:c r="C22" s="52"/>
      <x:c r="D22" s="63"/>
      <x:c r="E22" s="63"/>
      <x:c r="F22" s="63" t="str">
        <x:f>IF(A22="","",D22*E22)</x:f>
      </x:c>
      <x:c r="G22" s="63"/>
      <x:c r="H22" s="63"/>
      <x:c r="I22" s="63" t="str">
        <x:f>IF(A22="","",G22-H22)</x:f>
      </x:c>
      <x:c r="J22" s="63" t="str">
        <x:f>IF(A22="","",I22-F22)</x:f>
      </x:c>
      <x:c r="K22" s="67" t="n">
        <x:f>IFERROR(J22/F22,0)</x:f>
        <x:v>0</x:v>
      </x:c>
      <x:c r="L22" s="63"/>
      <x:c r="M22" s="63" t="str">
        <x:f>IF(A22="","",J22*L22)</x:f>
      </x:c>
      <x:c r="N22" s="52"/>
      <x:c r="O22" s="52"/>
      <x:c r="P22" s="52"/>
      <x:c r="Q22" s="52"/>
      <x:c r="R22" s="53"/>
    </x:row>
    <x:row r="23">
      <x:c r="A23" s="39"/>
      <x:c r="B23" s="40"/>
      <x:c r="C23" s="40"/>
      <x:c r="D23" s="62"/>
      <x:c r="E23" s="62"/>
      <x:c r="F23" s="62" t="str">
        <x:f>IF(A23="","",D23*E23)</x:f>
      </x:c>
      <x:c r="G23" s="62"/>
      <x:c r="H23" s="62"/>
      <x:c r="I23" s="62" t="str">
        <x:f>IF(A23="","",G23-H23)</x:f>
      </x:c>
      <x:c r="J23" s="62" t="str">
        <x:f>IF(A23="","",I23-F23)</x:f>
      </x:c>
      <x:c r="K23" s="66" t="n">
        <x:f>IFERROR(J23/F23,0)</x:f>
        <x:v>0</x:v>
      </x:c>
      <x:c r="L23" s="62"/>
      <x:c r="M23" s="62" t="str">
        <x:f>IF(A23="","",J23*L23)</x:f>
      </x:c>
      <x:c r="N23" s="40"/>
      <x:c r="O23" s="40"/>
      <x:c r="P23" s="40"/>
      <x:c r="Q23" s="40"/>
      <x:c r="R23" s="41"/>
    </x:row>
    <x:row r="24">
      <x:c r="A24" s="51"/>
      <x:c r="B24" s="52"/>
      <x:c r="C24" s="52"/>
      <x:c r="D24" s="63"/>
      <x:c r="E24" s="63"/>
      <x:c r="F24" s="63" t="str">
        <x:f>IF(A24="","",D24*E24)</x:f>
      </x:c>
      <x:c r="G24" s="63"/>
      <x:c r="H24" s="63"/>
      <x:c r="I24" s="63" t="str">
        <x:f>IF(A24="","",G24-H24)</x:f>
      </x:c>
      <x:c r="J24" s="63" t="str">
        <x:f>IF(A24="","",I24-F24)</x:f>
      </x:c>
      <x:c r="K24" s="67" t="n">
        <x:f>IFERROR(J24/F24,0)</x:f>
        <x:v>0</x:v>
      </x:c>
      <x:c r="L24" s="63"/>
      <x:c r="M24" s="63" t="str">
        <x:f>IF(A24="","",J24*L24)</x:f>
      </x:c>
      <x:c r="N24" s="52"/>
      <x:c r="O24" s="52"/>
      <x:c r="P24" s="52"/>
      <x:c r="Q24" s="52"/>
      <x:c r="R24" s="53"/>
    </x:row>
    <x:row r="25">
      <x:c r="A25" s="39"/>
      <x:c r="B25" s="40"/>
      <x:c r="C25" s="40"/>
      <x:c r="D25" s="62"/>
      <x:c r="E25" s="62"/>
      <x:c r="F25" s="62" t="str">
        <x:f>IF(A25="","",D25*E25)</x:f>
      </x:c>
      <x:c r="G25" s="62"/>
      <x:c r="H25" s="62"/>
      <x:c r="I25" s="62" t="str">
        <x:f>IF(A25="","",G25-H25)</x:f>
      </x:c>
      <x:c r="J25" s="62" t="str">
        <x:f>IF(A25="","",I25-F25)</x:f>
      </x:c>
      <x:c r="K25" s="66" t="n">
        <x:f>IFERROR(J25/F25,0)</x:f>
        <x:v>0</x:v>
      </x:c>
      <x:c r="L25" s="62"/>
      <x:c r="M25" s="62" t="str">
        <x:f>IF(A25="","",J25*L25)</x:f>
      </x:c>
      <x:c r="N25" s="40"/>
      <x:c r="O25" s="40"/>
      <x:c r="P25" s="40"/>
      <x:c r="Q25" s="40"/>
      <x:c r="R25" s="41"/>
    </x:row>
    <x:row r="26">
      <x:c r="A26" s="51"/>
      <x:c r="B26" s="52"/>
      <x:c r="C26" s="52"/>
      <x:c r="D26" s="63"/>
      <x:c r="E26" s="63"/>
      <x:c r="F26" s="63" t="str">
        <x:f>IF(A26="","",D26*E26)</x:f>
      </x:c>
      <x:c r="G26" s="63"/>
      <x:c r="H26" s="63"/>
      <x:c r="I26" s="63" t="str">
        <x:f>IF(A26="","",G26-H26)</x:f>
      </x:c>
      <x:c r="J26" s="63" t="str">
        <x:f>IF(A26="","",I26-F26)</x:f>
      </x:c>
      <x:c r="K26" s="67" t="n">
        <x:f>IFERROR(J26/F26,0)</x:f>
        <x:v>0</x:v>
      </x:c>
      <x:c r="L26" s="63"/>
      <x:c r="M26" s="63" t="str">
        <x:f>IF(A26="","",J26*L26)</x:f>
      </x:c>
      <x:c r="N26" s="52"/>
      <x:c r="O26" s="52"/>
      <x:c r="P26" s="52"/>
      <x:c r="Q26" s="52"/>
      <x:c r="R26" s="53"/>
    </x:row>
    <x:row r="27">
      <x:c r="A27" s="39"/>
      <x:c r="B27" s="40"/>
      <x:c r="C27" s="40"/>
      <x:c r="D27" s="62"/>
      <x:c r="E27" s="62"/>
      <x:c r="F27" s="62" t="str">
        <x:f>IF(A27="","",D27*E27)</x:f>
      </x:c>
      <x:c r="G27" s="62"/>
      <x:c r="H27" s="62"/>
      <x:c r="I27" s="62" t="str">
        <x:f>IF(A27="","",G27-H27)</x:f>
      </x:c>
      <x:c r="J27" s="62" t="str">
        <x:f>IF(A27="","",I27-F27)</x:f>
      </x:c>
      <x:c r="K27" s="66" t="n">
        <x:f>IFERROR(J27/F27,0)</x:f>
        <x:v>0</x:v>
      </x:c>
      <x:c r="L27" s="62"/>
      <x:c r="M27" s="62" t="str">
        <x:f>IF(A27="","",J27*L27)</x:f>
      </x:c>
      <x:c r="N27" s="40"/>
      <x:c r="O27" s="40"/>
      <x:c r="P27" s="40"/>
      <x:c r="Q27" s="40"/>
      <x:c r="R27" s="41"/>
    </x:row>
    <x:row r="28">
      <x:c r="A28" s="51"/>
      <x:c r="B28" s="52"/>
      <x:c r="C28" s="52"/>
      <x:c r="D28" s="63"/>
      <x:c r="E28" s="63"/>
      <x:c r="F28" s="63" t="str">
        <x:f>IF(A28="","",D28*E28)</x:f>
      </x:c>
      <x:c r="G28" s="63"/>
      <x:c r="H28" s="63"/>
      <x:c r="I28" s="63" t="str">
        <x:f>IF(A28="","",G28-H28)</x:f>
      </x:c>
      <x:c r="J28" s="63" t="str">
        <x:f>IF(A28="","",I28-F28)</x:f>
      </x:c>
      <x:c r="K28" s="67" t="n">
        <x:f>IFERROR(J28/F28,0)</x:f>
        <x:v>0</x:v>
      </x:c>
      <x:c r="L28" s="63"/>
      <x:c r="M28" s="63" t="str">
        <x:f>IF(A28="","",J28*L28)</x:f>
      </x:c>
      <x:c r="N28" s="52"/>
      <x:c r="O28" s="52"/>
      <x:c r="P28" s="52"/>
      <x:c r="Q28" s="52"/>
      <x:c r="R28" s="53"/>
    </x:row>
    <x:row r="29">
      <x:c r="A29" s="39"/>
      <x:c r="B29" s="40"/>
      <x:c r="C29" s="40"/>
      <x:c r="D29" s="62"/>
      <x:c r="E29" s="62"/>
      <x:c r="F29" s="62" t="str">
        <x:f>IF(A29="","",D29*E29)</x:f>
      </x:c>
      <x:c r="G29" s="62"/>
      <x:c r="H29" s="62"/>
      <x:c r="I29" s="62" t="str">
        <x:f>IF(A29="","",G29-H29)</x:f>
      </x:c>
      <x:c r="J29" s="62" t="str">
        <x:f>IF(A29="","",I29-F29)</x:f>
      </x:c>
      <x:c r="K29" s="66" t="n">
        <x:f>IFERROR(J29/F29,0)</x:f>
        <x:v>0</x:v>
      </x:c>
      <x:c r="L29" s="62"/>
      <x:c r="M29" s="62" t="str">
        <x:f>IF(A29="","",J29*L29)</x:f>
      </x:c>
      <x:c r="N29" s="40"/>
      <x:c r="O29" s="40"/>
      <x:c r="P29" s="40"/>
      <x:c r="Q29" s="40"/>
      <x:c r="R29" s="41"/>
    </x:row>
    <x:row r="30">
      <x:c r="A30" s="54"/>
      <x:c r="B30" s="55"/>
      <x:c r="C30" s="55"/>
      <x:c r="D30" s="64"/>
      <x:c r="E30" s="64"/>
      <x:c r="F30" s="64" t="str">
        <x:f>IF(A30="","",D30*E30)</x:f>
      </x:c>
      <x:c r="G30" s="64"/>
      <x:c r="H30" s="64"/>
      <x:c r="I30" s="64" t="str">
        <x:f>IF(A30="","",G30-H30)</x:f>
      </x:c>
      <x:c r="J30" s="64" t="str">
        <x:f>IF(A30="","",I30-F30)</x:f>
      </x:c>
      <x:c r="K30" s="68" t="n">
        <x:f>IFERROR(J30/F30,0)</x:f>
        <x:v>0</x:v>
      </x:c>
      <x:c r="L30" s="64"/>
      <x:c r="M30" s="64" t="str">
        <x:f>IF(A30="","",J30*L30)</x:f>
      </x:c>
      <x:c r="N30" s="55"/>
      <x:c r="O30" s="55"/>
      <x:c r="P30" s="55"/>
      <x:c r="Q30" s="55"/>
      <x:c r="R30" s="56"/>
    </x:row>
  </x:sheetData>
  <x:mergeCells>
    <x:mergeCell ref="A1:R1"/>
    <x:mergeCell ref="A2:R2"/>
  </x:mergeCells>
  <x:conditionalFormatting sqref="R6:R30">
    <x:cfRule type="expression" dxfId="9" priority="1">
      <x:formula>INDIRECT("RC",FALSE)="已关闭"</x:formula>
    </x:cfRule>
    <x:cfRule type="expression" dxfId="10" priority="2">
      <x:formula>INDIRECT("RC",FALSE)="进行中"</x:formula>
    </x:cfRule>
    <x:cfRule type="expression" dxfId="11" priority="3">
      <x:formula>INDIRECT("RC",FALSE)="待复核"</x:formula>
    </x:cfRule>
  </x:conditionalFormatting>
  <x:dataValidations count="1">
    <x:dataValidation type="list" sqref="R6:R30">
      <x:formula1>"未开始,进行中,待复核,已关闭,不适用"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1ca334f59a34dff"/>
  </x:tableParts>
</x:worksheet>
</file>

<file path=xl/worksheets/sheet6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18" hidden="0" customWidth="1"/>
    <x:col min="2" max="2" width="12" hidden="0" customWidth="1"/>
    <x:col min="3" max="3" width="10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4" hidden="0" customWidth="1"/>
    <x:col min="12" max="12" width="12" hidden="0" customWidth="1"/>
    <x:col min="13" max="13" width="14" hidden="0" customWidth="1"/>
    <x:col min="14" max="14" width="12" hidden="0" customWidth="1"/>
    <x:col min="15" max="15" width="13" hidden="0" customWidth="1"/>
    <x:col min="16" max="16" width="12" hidden="0" customWidth="1"/>
    <x:col min="17" max="17" width="12" hidden="0" customWidth="1"/>
    <x:col min="18" max="18" width="12" hidden="0" customWidth="1"/>
    <x:col min="19" max="19" width="24" hidden="0" customWidth="1"/>
  </x:cols>
  <x:sheetData>
    <x:row r="1" ht="30" customHeight="1">
      <x:c r="A1" s="87" t="str">
        <x:v>生产工单跟踪</x:v>
      </x:c>
      <x:c r="B1" s="88"/>
      <x:c r="C1" s="88"/>
      <x:c r="D1" s="88"/>
      <x:c r="E1" s="88"/>
      <x:c r="F1" s="88"/>
      <x:c r="G1" s="88"/>
      <x:c r="H1" s="88"/>
      <x:c r="I1" s="88"/>
      <x:c r="J1" s="88"/>
      <x:c r="K1" s="88"/>
      <x:c r="L1" s="88"/>
      <x:c r="M1" s="88"/>
      <x:c r="N1" s="88"/>
      <x:c r="O1" s="88"/>
      <x:c r="P1" s="88"/>
      <x:c r="Q1" s="88"/>
      <x:c r="R1" s="88"/>
      <x:c r="S1" s="88"/>
    </x:row>
    <x:row r="2" ht="24" customHeight="1">
      <x:c r="A2" s="89" t="str">
        <x:v>数量桥：投产－报废－完工＝期末在制；成本桥：期初WIP＋投入－完工＝期末WIP</x:v>
      </x:c>
      <x:c r="B2" s="88"/>
      <x:c r="C2" s="88"/>
      <x:c r="D2" s="88"/>
      <x:c r="E2" s="88"/>
      <x:c r="F2" s="88"/>
      <x:c r="G2" s="88"/>
      <x:c r="H2" s="88"/>
      <x:c r="I2" s="88"/>
      <x:c r="J2" s="88"/>
      <x:c r="K2" s="88"/>
      <x:c r="L2" s="88"/>
      <x:c r="M2" s="88"/>
      <x:c r="N2" s="88"/>
      <x:c r="O2" s="88"/>
      <x:c r="P2" s="88"/>
      <x:c r="Q2" s="88"/>
      <x:c r="R2" s="88"/>
      <x:c r="S2" s="88"/>
    </x:row>
    <x:row r="3">
      <x:c r="A3" s="88"/>
      <x:c r="B3" s="88"/>
      <x:c r="C3" s="88"/>
      <x:c r="D3" s="88"/>
      <x:c r="E3" s="88"/>
      <x:c r="F3" s="88"/>
      <x:c r="G3" s="88"/>
      <x:c r="H3" s="88"/>
      <x:c r="I3" s="88"/>
      <x:c r="J3" s="88"/>
      <x:c r="K3" s="88"/>
      <x:c r="L3" s="88"/>
      <x:c r="M3" s="88"/>
      <x:c r="N3" s="88"/>
      <x:c r="O3" s="88"/>
      <x:c r="P3" s="88"/>
      <x:c r="Q3" s="88"/>
      <x:c r="R3" s="88"/>
      <x:c r="S3" s="88"/>
    </x:row>
    <x:row r="4">
      <x:c r="A4" s="88"/>
      <x:c r="B4" s="88"/>
      <x:c r="C4" s="88"/>
      <x:c r="D4" s="88"/>
      <x:c r="E4" s="88"/>
      <x:c r="F4" s="88"/>
      <x:c r="G4" s="88"/>
      <x:c r="H4" s="88"/>
      <x:c r="I4" s="88"/>
      <x:c r="J4" s="88"/>
      <x:c r="K4" s="88"/>
      <x:c r="L4" s="88"/>
      <x:c r="M4" s="88"/>
      <x:c r="N4" s="88"/>
      <x:c r="O4" s="88"/>
      <x:c r="P4" s="88"/>
      <x:c r="Q4" s="88"/>
      <x:c r="R4" s="88"/>
      <x:c r="S4" s="88"/>
    </x:row>
    <x:row r="5" ht="32" customHeight="1">
      <x:c r="A5" s="15" t="str">
        <x:v>工单</x:v>
      </x:c>
      <x:c r="B5" s="16" t="str">
        <x:v>产品</x:v>
      </x:c>
      <x:c r="C5" s="16" t="str">
        <x:v>版本</x:v>
      </x:c>
      <x:c r="D5" s="16" t="str">
        <x:v>计划数量</x:v>
      </x:c>
      <x:c r="E5" s="16" t="str">
        <x:v>投产数量</x:v>
      </x:c>
      <x:c r="F5" s="16" t="str">
        <x:v>完工数量</x:v>
      </x:c>
      <x:c r="G5" s="16" t="str">
        <x:v>报废数量</x:v>
      </x:c>
      <x:c r="H5" s="16" t="str">
        <x:v>期末在制</x:v>
      </x:c>
      <x:c r="I5" s="16" t="str">
        <x:v>材料</x:v>
      </x:c>
      <x:c r="J5" s="16" t="str">
        <x:v>人工</x:v>
      </x:c>
      <x:c r="K5" s="16" t="str">
        <x:v>制造费用</x:v>
      </x:c>
      <x:c r="L5" s="16" t="str">
        <x:v>期初WIP</x:v>
      </x:c>
      <x:c r="M5" s="16" t="str">
        <x:v>完工成本</x:v>
      </x:c>
      <x:c r="N5" s="16" t="str">
        <x:v>期末WIP</x:v>
      </x:c>
      <x:c r="O5" s="16" t="str">
        <x:v>计划完工日</x:v>
      </x:c>
      <x:c r="P5" s="16" t="str">
        <x:v>状态</x:v>
      </x:c>
      <x:c r="Q5" s="16" t="str">
        <x:v>长期未关</x:v>
      </x:c>
      <x:c r="R5" s="16" t="str">
        <x:v>责任人</x:v>
      </x:c>
      <x:c r="S5" s="17" t="str">
        <x:v>异常说明</x:v>
      </x:c>
    </x:row>
    <x:row r="6">
      <x:c r="A6" s="48" t="str">
        <x:v>WO-P100-08</x:v>
      </x:c>
      <x:c r="B6" s="49" t="str">
        <x:v>P100</x:v>
      </x:c>
      <x:c r="C6" s="49" t="str">
        <x:v>V3</x:v>
      </x:c>
      <x:c r="D6" s="61" t="n">
        <x:v>200</x:v>
      </x:c>
      <x:c r="E6" s="61" t="n">
        <x:v>200</x:v>
      </x:c>
      <x:c r="F6" s="61" t="n">
        <x:v>150</x:v>
      </x:c>
      <x:c r="G6" s="61" t="n">
        <x:v>0</x:v>
      </x:c>
      <x:c r="H6" s="61" t="n">
        <x:f>IF(A6="","",E6-F6-G6)</x:f>
        <x:v>50</x:v>
      </x:c>
      <x:c r="I6" s="61" t="n">
        <x:v>200</x:v>
      </x:c>
      <x:c r="J6" s="61" t="n">
        <x:v>60</x:v>
      </x:c>
      <x:c r="K6" s="61" t="n">
        <x:v>135</x:v>
      </x:c>
      <x:c r="L6" s="61" t="n">
        <x:v>40</x:v>
      </x:c>
      <x:c r="M6" s="61" t="n">
        <x:v>345</x:v>
      </x:c>
      <x:c r="N6" s="61" t="n">
        <x:v>90</x:v>
      </x:c>
      <x:c r="O6" s="57" t="n">
        <x:v>46265</x:v>
      </x:c>
      <x:c r="P6" s="49" t="str">
        <x:v>进行中</x:v>
      </x:c>
      <x:c r="Q6" s="49" t="str">
        <x:v>否</x:v>
      </x:c>
      <x:c r="R6" s="49" t="str">
        <x:v>PMC</x:v>
      </x:c>
      <x:c r="S6" s="50" t="str">
        <x:v>50台在制</x:v>
      </x:c>
    </x:row>
    <x:row r="7">
      <x:c r="A7" s="39" t="str">
        <x:v>WO-C200-08</x:v>
      </x:c>
      <x:c r="B7" s="40" t="str">
        <x:v>C200</x:v>
      </x:c>
      <x:c r="C7" s="40" t="str">
        <x:v>R2</x:v>
      </x:c>
      <x:c r="D7" s="62" t="n">
        <x:v>1000</x:v>
      </x:c>
      <x:c r="E7" s="62" t="n">
        <x:v>1000</x:v>
      </x:c>
      <x:c r="F7" s="62" t="n">
        <x:v>900</x:v>
      </x:c>
      <x:c r="G7" s="62" t="n">
        <x:v>0</x:v>
      </x:c>
      <x:c r="H7" s="62" t="n">
        <x:f>IF(A7="","",E7-F7-G7)</x:f>
        <x:v>100</x:v>
      </x:c>
      <x:c r="I7" s="62" t="n">
        <x:v>100</x:v>
      </x:c>
      <x:c r="J7" s="62" t="n">
        <x:v>40</x:v>
      </x:c>
      <x:c r="K7" s="62" t="n">
        <x:v>45</x:v>
      </x:c>
      <x:c r="L7" s="62" t="n">
        <x:v>20</x:v>
      </x:c>
      <x:c r="M7" s="62" t="n">
        <x:v>180</x:v>
      </x:c>
      <x:c r="N7" s="62" t="n">
        <x:v>25</x:v>
      </x:c>
      <x:c r="O7" s="58" t="n">
        <x:v>46265</x:v>
      </x:c>
      <x:c r="P7" s="40" t="str">
        <x:v>进行中</x:v>
      </x:c>
      <x:c r="Q7" s="40" t="str">
        <x:v>否</x:v>
      </x:c>
      <x:c r="R7" s="40" t="str">
        <x:v>PMC</x:v>
      </x:c>
      <x:c r="S7" s="41" t="str">
        <x:v>100箱在制</x:v>
      </x:c>
    </x:row>
    <x:row r="8">
      <x:c r="A8" s="51"/>
      <x:c r="B8" s="52"/>
      <x:c r="C8" s="52"/>
      <x:c r="D8" s="63"/>
      <x:c r="E8" s="63"/>
      <x:c r="F8" s="63"/>
      <x:c r="G8" s="63"/>
      <x:c r="H8" s="63" t="str">
        <x:f>IF(A8="","",E8-F8-G8)</x:f>
      </x:c>
      <x:c r="I8" s="63"/>
      <x:c r="J8" s="63"/>
      <x:c r="K8" s="63"/>
      <x:c r="L8" s="63"/>
      <x:c r="M8" s="63"/>
      <x:c r="N8" s="63"/>
      <x:c r="O8" s="59"/>
      <x:c r="P8" s="52"/>
      <x:c r="Q8" s="52"/>
      <x:c r="R8" s="52"/>
      <x:c r="S8" s="53"/>
    </x:row>
    <x:row r="9">
      <x:c r="A9" s="39"/>
      <x:c r="B9" s="40"/>
      <x:c r="C9" s="40"/>
      <x:c r="D9" s="62"/>
      <x:c r="E9" s="62"/>
      <x:c r="F9" s="62"/>
      <x:c r="G9" s="62"/>
      <x:c r="H9" s="62" t="str">
        <x:f>IF(A9="","",E9-F9-G9)</x:f>
      </x:c>
      <x:c r="I9" s="62"/>
      <x:c r="J9" s="62"/>
      <x:c r="K9" s="62"/>
      <x:c r="L9" s="62"/>
      <x:c r="M9" s="62"/>
      <x:c r="N9" s="62"/>
      <x:c r="O9" s="58"/>
      <x:c r="P9" s="40"/>
      <x:c r="Q9" s="40"/>
      <x:c r="R9" s="40"/>
      <x:c r="S9" s="41"/>
    </x:row>
    <x:row r="10">
      <x:c r="A10" s="51"/>
      <x:c r="B10" s="52"/>
      <x:c r="C10" s="52"/>
      <x:c r="D10" s="63"/>
      <x:c r="E10" s="63"/>
      <x:c r="F10" s="63"/>
      <x:c r="G10" s="63"/>
      <x:c r="H10" s="63" t="str">
        <x:f>IF(A10="","",E10-F10-G10)</x:f>
      </x:c>
      <x:c r="I10" s="63"/>
      <x:c r="J10" s="63"/>
      <x:c r="K10" s="63"/>
      <x:c r="L10" s="63"/>
      <x:c r="M10" s="63"/>
      <x:c r="N10" s="63"/>
      <x:c r="O10" s="59"/>
      <x:c r="P10" s="52"/>
      <x:c r="Q10" s="52"/>
      <x:c r="R10" s="52"/>
      <x:c r="S10" s="53"/>
    </x:row>
    <x:row r="11">
      <x:c r="A11" s="39"/>
      <x:c r="B11" s="40"/>
      <x:c r="C11" s="40"/>
      <x:c r="D11" s="62"/>
      <x:c r="E11" s="62"/>
      <x:c r="F11" s="62"/>
      <x:c r="G11" s="62"/>
      <x:c r="H11" s="62" t="str">
        <x:f>IF(A11="","",E11-F11-G11)</x:f>
      </x:c>
      <x:c r="I11" s="62"/>
      <x:c r="J11" s="62"/>
      <x:c r="K11" s="62"/>
      <x:c r="L11" s="62"/>
      <x:c r="M11" s="62"/>
      <x:c r="N11" s="62"/>
      <x:c r="O11" s="58"/>
      <x:c r="P11" s="40"/>
      <x:c r="Q11" s="40"/>
      <x:c r="R11" s="40"/>
      <x:c r="S11" s="41"/>
    </x:row>
    <x:row r="12">
      <x:c r="A12" s="51"/>
      <x:c r="B12" s="52"/>
      <x:c r="C12" s="52"/>
      <x:c r="D12" s="63"/>
      <x:c r="E12" s="63"/>
      <x:c r="F12" s="63"/>
      <x:c r="G12" s="63"/>
      <x:c r="H12" s="63" t="str">
        <x:f>IF(A12="","",E12-F12-G12)</x:f>
      </x:c>
      <x:c r="I12" s="63"/>
      <x:c r="J12" s="63"/>
      <x:c r="K12" s="63"/>
      <x:c r="L12" s="63"/>
      <x:c r="M12" s="63"/>
      <x:c r="N12" s="63"/>
      <x:c r="O12" s="59"/>
      <x:c r="P12" s="52"/>
      <x:c r="Q12" s="52"/>
      <x:c r="R12" s="52"/>
      <x:c r="S12" s="53"/>
    </x:row>
    <x:row r="13">
      <x:c r="A13" s="39"/>
      <x:c r="B13" s="40"/>
      <x:c r="C13" s="40"/>
      <x:c r="D13" s="62"/>
      <x:c r="E13" s="62"/>
      <x:c r="F13" s="62"/>
      <x:c r="G13" s="62"/>
      <x:c r="H13" s="62" t="str">
        <x:f>IF(A13="","",E13-F13-G13)</x:f>
      </x:c>
      <x:c r="I13" s="62"/>
      <x:c r="J13" s="62"/>
      <x:c r="K13" s="62"/>
      <x:c r="L13" s="62"/>
      <x:c r="M13" s="62"/>
      <x:c r="N13" s="62"/>
      <x:c r="O13" s="58"/>
      <x:c r="P13" s="40"/>
      <x:c r="Q13" s="40"/>
      <x:c r="R13" s="40"/>
      <x:c r="S13" s="41"/>
    </x:row>
    <x:row r="14">
      <x:c r="A14" s="51"/>
      <x:c r="B14" s="52"/>
      <x:c r="C14" s="52"/>
      <x:c r="D14" s="63"/>
      <x:c r="E14" s="63"/>
      <x:c r="F14" s="63"/>
      <x:c r="G14" s="63"/>
      <x:c r="H14" s="63" t="str">
        <x:f>IF(A14="","",E14-F14-G14)</x:f>
      </x:c>
      <x:c r="I14" s="63"/>
      <x:c r="J14" s="63"/>
      <x:c r="K14" s="63"/>
      <x:c r="L14" s="63"/>
      <x:c r="M14" s="63"/>
      <x:c r="N14" s="63"/>
      <x:c r="O14" s="59"/>
      <x:c r="P14" s="52"/>
      <x:c r="Q14" s="52"/>
      <x:c r="R14" s="52"/>
      <x:c r="S14" s="53"/>
    </x:row>
    <x:row r="15">
      <x:c r="A15" s="39"/>
      <x:c r="B15" s="40"/>
      <x:c r="C15" s="40"/>
      <x:c r="D15" s="62"/>
      <x:c r="E15" s="62"/>
      <x:c r="F15" s="62"/>
      <x:c r="G15" s="62"/>
      <x:c r="H15" s="62" t="str">
        <x:f>IF(A15="","",E15-F15-G15)</x:f>
      </x:c>
      <x:c r="I15" s="62"/>
      <x:c r="J15" s="62"/>
      <x:c r="K15" s="62"/>
      <x:c r="L15" s="62"/>
      <x:c r="M15" s="62"/>
      <x:c r="N15" s="62"/>
      <x:c r="O15" s="58"/>
      <x:c r="P15" s="40"/>
      <x:c r="Q15" s="40"/>
      <x:c r="R15" s="40"/>
      <x:c r="S15" s="41"/>
    </x:row>
    <x:row r="16">
      <x:c r="A16" s="51"/>
      <x:c r="B16" s="52"/>
      <x:c r="C16" s="52"/>
      <x:c r="D16" s="63"/>
      <x:c r="E16" s="63"/>
      <x:c r="F16" s="63"/>
      <x:c r="G16" s="63"/>
      <x:c r="H16" s="63" t="str">
        <x:f>IF(A16="","",E16-F16-G16)</x:f>
      </x:c>
      <x:c r="I16" s="63"/>
      <x:c r="J16" s="63"/>
      <x:c r="K16" s="63"/>
      <x:c r="L16" s="63"/>
      <x:c r="M16" s="63"/>
      <x:c r="N16" s="63"/>
      <x:c r="O16" s="59"/>
      <x:c r="P16" s="52"/>
      <x:c r="Q16" s="52"/>
      <x:c r="R16" s="52"/>
      <x:c r="S16" s="53"/>
    </x:row>
    <x:row r="17">
      <x:c r="A17" s="39"/>
      <x:c r="B17" s="40"/>
      <x:c r="C17" s="40"/>
      <x:c r="D17" s="62"/>
      <x:c r="E17" s="62"/>
      <x:c r="F17" s="62"/>
      <x:c r="G17" s="62"/>
      <x:c r="H17" s="62" t="str">
        <x:f>IF(A17="","",E17-F17-G17)</x:f>
      </x:c>
      <x:c r="I17" s="62"/>
      <x:c r="J17" s="62"/>
      <x:c r="K17" s="62"/>
      <x:c r="L17" s="62"/>
      <x:c r="M17" s="62"/>
      <x:c r="N17" s="62"/>
      <x:c r="O17" s="58"/>
      <x:c r="P17" s="40"/>
      <x:c r="Q17" s="40"/>
      <x:c r="R17" s="40"/>
      <x:c r="S17" s="41"/>
    </x:row>
    <x:row r="18">
      <x:c r="A18" s="51"/>
      <x:c r="B18" s="52"/>
      <x:c r="C18" s="52"/>
      <x:c r="D18" s="63"/>
      <x:c r="E18" s="63"/>
      <x:c r="F18" s="63"/>
      <x:c r="G18" s="63"/>
      <x:c r="H18" s="63" t="str">
        <x:f>IF(A18="","",E18-F18-G18)</x:f>
      </x:c>
      <x:c r="I18" s="63"/>
      <x:c r="J18" s="63"/>
      <x:c r="K18" s="63"/>
      <x:c r="L18" s="63"/>
      <x:c r="M18" s="63"/>
      <x:c r="N18" s="63"/>
      <x:c r="O18" s="59"/>
      <x:c r="P18" s="52"/>
      <x:c r="Q18" s="52"/>
      <x:c r="R18" s="52"/>
      <x:c r="S18" s="53"/>
    </x:row>
    <x:row r="19">
      <x:c r="A19" s="39"/>
      <x:c r="B19" s="40"/>
      <x:c r="C19" s="40"/>
      <x:c r="D19" s="62"/>
      <x:c r="E19" s="62"/>
      <x:c r="F19" s="62"/>
      <x:c r="G19" s="62"/>
      <x:c r="H19" s="62" t="str">
        <x:f>IF(A19="","",E19-F19-G19)</x:f>
      </x:c>
      <x:c r="I19" s="62"/>
      <x:c r="J19" s="62"/>
      <x:c r="K19" s="62"/>
      <x:c r="L19" s="62"/>
      <x:c r="M19" s="62"/>
      <x:c r="N19" s="62"/>
      <x:c r="O19" s="58"/>
      <x:c r="P19" s="40"/>
      <x:c r="Q19" s="40"/>
      <x:c r="R19" s="40"/>
      <x:c r="S19" s="41"/>
    </x:row>
    <x:row r="20">
      <x:c r="A20" s="51"/>
      <x:c r="B20" s="52"/>
      <x:c r="C20" s="52"/>
      <x:c r="D20" s="63"/>
      <x:c r="E20" s="63"/>
      <x:c r="F20" s="63"/>
      <x:c r="G20" s="63"/>
      <x:c r="H20" s="63" t="str">
        <x:f>IF(A20="","",E20-F20-G20)</x:f>
      </x:c>
      <x:c r="I20" s="63"/>
      <x:c r="J20" s="63"/>
      <x:c r="K20" s="63"/>
      <x:c r="L20" s="63"/>
      <x:c r="M20" s="63"/>
      <x:c r="N20" s="63"/>
      <x:c r="O20" s="59"/>
      <x:c r="P20" s="52"/>
      <x:c r="Q20" s="52"/>
      <x:c r="R20" s="52"/>
      <x:c r="S20" s="53"/>
    </x:row>
    <x:row r="21">
      <x:c r="A21" s="39"/>
      <x:c r="B21" s="40"/>
      <x:c r="C21" s="40"/>
      <x:c r="D21" s="62"/>
      <x:c r="E21" s="62"/>
      <x:c r="F21" s="62"/>
      <x:c r="G21" s="62"/>
      <x:c r="H21" s="62" t="str">
        <x:f>IF(A21="","",E21-F21-G21)</x:f>
      </x:c>
      <x:c r="I21" s="62"/>
      <x:c r="J21" s="62"/>
      <x:c r="K21" s="62"/>
      <x:c r="L21" s="62"/>
      <x:c r="M21" s="62"/>
      <x:c r="N21" s="62"/>
      <x:c r="O21" s="58"/>
      <x:c r="P21" s="40"/>
      <x:c r="Q21" s="40"/>
      <x:c r="R21" s="40"/>
      <x:c r="S21" s="41"/>
    </x:row>
    <x:row r="22">
      <x:c r="A22" s="51"/>
      <x:c r="B22" s="52"/>
      <x:c r="C22" s="52"/>
      <x:c r="D22" s="63"/>
      <x:c r="E22" s="63"/>
      <x:c r="F22" s="63"/>
      <x:c r="G22" s="63"/>
      <x:c r="H22" s="63" t="str">
        <x:f>IF(A22="","",E22-F22-G22)</x:f>
      </x:c>
      <x:c r="I22" s="63"/>
      <x:c r="J22" s="63"/>
      <x:c r="K22" s="63"/>
      <x:c r="L22" s="63"/>
      <x:c r="M22" s="63"/>
      <x:c r="N22" s="63"/>
      <x:c r="O22" s="59"/>
      <x:c r="P22" s="52"/>
      <x:c r="Q22" s="52"/>
      <x:c r="R22" s="52"/>
      <x:c r="S22" s="53"/>
    </x:row>
    <x:row r="23">
      <x:c r="A23" s="39"/>
      <x:c r="B23" s="40"/>
      <x:c r="C23" s="40"/>
      <x:c r="D23" s="62"/>
      <x:c r="E23" s="62"/>
      <x:c r="F23" s="62"/>
      <x:c r="G23" s="62"/>
      <x:c r="H23" s="62" t="str">
        <x:f>IF(A23="","",E23-F23-G23)</x:f>
      </x:c>
      <x:c r="I23" s="62"/>
      <x:c r="J23" s="62"/>
      <x:c r="K23" s="62"/>
      <x:c r="L23" s="62"/>
      <x:c r="M23" s="62"/>
      <x:c r="N23" s="62"/>
      <x:c r="O23" s="58"/>
      <x:c r="P23" s="40"/>
      <x:c r="Q23" s="40"/>
      <x:c r="R23" s="40"/>
      <x:c r="S23" s="41"/>
    </x:row>
    <x:row r="24">
      <x:c r="A24" s="51"/>
      <x:c r="B24" s="52"/>
      <x:c r="C24" s="52"/>
      <x:c r="D24" s="63"/>
      <x:c r="E24" s="63"/>
      <x:c r="F24" s="63"/>
      <x:c r="G24" s="63"/>
      <x:c r="H24" s="63" t="str">
        <x:f>IF(A24="","",E24-F24-G24)</x:f>
      </x:c>
      <x:c r="I24" s="63"/>
      <x:c r="J24" s="63"/>
      <x:c r="K24" s="63"/>
      <x:c r="L24" s="63"/>
      <x:c r="M24" s="63"/>
      <x:c r="N24" s="63"/>
      <x:c r="O24" s="59"/>
      <x:c r="P24" s="52"/>
      <x:c r="Q24" s="52"/>
      <x:c r="R24" s="52"/>
      <x:c r="S24" s="53"/>
    </x:row>
    <x:row r="25">
      <x:c r="A25" s="39"/>
      <x:c r="B25" s="40"/>
      <x:c r="C25" s="40"/>
      <x:c r="D25" s="62"/>
      <x:c r="E25" s="62"/>
      <x:c r="F25" s="62"/>
      <x:c r="G25" s="62"/>
      <x:c r="H25" s="62" t="str">
        <x:f>IF(A25="","",E25-F25-G25)</x:f>
      </x:c>
      <x:c r="I25" s="62"/>
      <x:c r="J25" s="62"/>
      <x:c r="K25" s="62"/>
      <x:c r="L25" s="62"/>
      <x:c r="M25" s="62"/>
      <x:c r="N25" s="62"/>
      <x:c r="O25" s="58"/>
      <x:c r="P25" s="40"/>
      <x:c r="Q25" s="40"/>
      <x:c r="R25" s="40"/>
      <x:c r="S25" s="41"/>
    </x:row>
    <x:row r="26">
      <x:c r="A26" s="51"/>
      <x:c r="B26" s="52"/>
      <x:c r="C26" s="52"/>
      <x:c r="D26" s="63"/>
      <x:c r="E26" s="63"/>
      <x:c r="F26" s="63"/>
      <x:c r="G26" s="63"/>
      <x:c r="H26" s="63" t="str">
        <x:f>IF(A26="","",E26-F26-G26)</x:f>
      </x:c>
      <x:c r="I26" s="63"/>
      <x:c r="J26" s="63"/>
      <x:c r="K26" s="63"/>
      <x:c r="L26" s="63"/>
      <x:c r="M26" s="63"/>
      <x:c r="N26" s="63"/>
      <x:c r="O26" s="59"/>
      <x:c r="P26" s="52"/>
      <x:c r="Q26" s="52"/>
      <x:c r="R26" s="52"/>
      <x:c r="S26" s="53"/>
    </x:row>
    <x:row r="27">
      <x:c r="A27" s="39"/>
      <x:c r="B27" s="40"/>
      <x:c r="C27" s="40"/>
      <x:c r="D27" s="62"/>
      <x:c r="E27" s="62"/>
      <x:c r="F27" s="62"/>
      <x:c r="G27" s="62"/>
      <x:c r="H27" s="62" t="str">
        <x:f>IF(A27="","",E27-F27-G27)</x:f>
      </x:c>
      <x:c r="I27" s="62"/>
      <x:c r="J27" s="62"/>
      <x:c r="K27" s="62"/>
      <x:c r="L27" s="62"/>
      <x:c r="M27" s="62"/>
      <x:c r="N27" s="62"/>
      <x:c r="O27" s="58"/>
      <x:c r="P27" s="40"/>
      <x:c r="Q27" s="40"/>
      <x:c r="R27" s="40"/>
      <x:c r="S27" s="41"/>
    </x:row>
    <x:row r="28">
      <x:c r="A28" s="51"/>
      <x:c r="B28" s="52"/>
      <x:c r="C28" s="52"/>
      <x:c r="D28" s="63"/>
      <x:c r="E28" s="63"/>
      <x:c r="F28" s="63"/>
      <x:c r="G28" s="63"/>
      <x:c r="H28" s="63" t="str">
        <x:f>IF(A28="","",E28-F28-G28)</x:f>
      </x:c>
      <x:c r="I28" s="63"/>
      <x:c r="J28" s="63"/>
      <x:c r="K28" s="63"/>
      <x:c r="L28" s="63"/>
      <x:c r="M28" s="63"/>
      <x:c r="N28" s="63"/>
      <x:c r="O28" s="59"/>
      <x:c r="P28" s="52"/>
      <x:c r="Q28" s="52"/>
      <x:c r="R28" s="52"/>
      <x:c r="S28" s="53"/>
    </x:row>
    <x:row r="29">
      <x:c r="A29" s="39"/>
      <x:c r="B29" s="40"/>
      <x:c r="C29" s="40"/>
      <x:c r="D29" s="62"/>
      <x:c r="E29" s="62"/>
      <x:c r="F29" s="62"/>
      <x:c r="G29" s="62"/>
      <x:c r="H29" s="62" t="str">
        <x:f>IF(A29="","",E29-F29-G29)</x:f>
      </x:c>
      <x:c r="I29" s="62"/>
      <x:c r="J29" s="62"/>
      <x:c r="K29" s="62"/>
      <x:c r="L29" s="62"/>
      <x:c r="M29" s="62"/>
      <x:c r="N29" s="62"/>
      <x:c r="O29" s="58"/>
      <x:c r="P29" s="40"/>
      <x:c r="Q29" s="40"/>
      <x:c r="R29" s="40"/>
      <x:c r="S29" s="41"/>
    </x:row>
    <x:row r="30">
      <x:c r="A30" s="54"/>
      <x:c r="B30" s="55"/>
      <x:c r="C30" s="55"/>
      <x:c r="D30" s="64"/>
      <x:c r="E30" s="64"/>
      <x:c r="F30" s="64"/>
      <x:c r="G30" s="64"/>
      <x:c r="H30" s="64" t="str">
        <x:f>IF(A30="","",E30-F30-G30)</x:f>
      </x:c>
      <x:c r="I30" s="64"/>
      <x:c r="J30" s="64"/>
      <x:c r="K30" s="64"/>
      <x:c r="L30" s="64"/>
      <x:c r="M30" s="64"/>
      <x:c r="N30" s="64"/>
      <x:c r="O30" s="60"/>
      <x:c r="P30" s="55"/>
      <x:c r="Q30" s="55"/>
      <x:c r="R30" s="55"/>
      <x:c r="S30" s="56"/>
    </x:row>
  </x:sheetData>
  <x:mergeCells>
    <x:mergeCell ref="A1:S1"/>
    <x:mergeCell ref="A2:S2"/>
  </x:mergeCells>
  <x:conditionalFormatting sqref="P6:P30">
    <x:cfRule type="expression" dxfId="12" priority="1">
      <x:formula>INDIRECT("RC",FALSE)="已关闭"</x:formula>
    </x:cfRule>
    <x:cfRule type="expression" dxfId="13" priority="2">
      <x:formula>INDIRECT("RC",FALSE)="进行中"</x:formula>
    </x:cfRule>
    <x:cfRule type="expression" dxfId="14" priority="3">
      <x:formula>INDIRECT("RC",FALSE)="待复核"</x:formula>
    </x:cfRule>
  </x:conditionalFormatting>
  <x:dataValidations count="1">
    <x:dataValidation type="list" sqref="P6:P30">
      <x:formula1>"未开始,进行中,待复核,已关闭,不适用"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73eb8c237a44650"/>
  </x:tableParts>
</x:worksheet>
</file>

<file path=xl/worksheets/sheet7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22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8" hidden="0" customWidth="1"/>
    <x:col min="7" max="7" width="14" hidden="0" customWidth="1"/>
    <x:col min="8" max="8" width="18" hidden="0" customWidth="1"/>
    <x:col min="9" max="9" width="14" hidden="0" customWidth="1"/>
    <x:col min="10" max="10" width="16" hidden="0" customWidth="1"/>
    <x:col min="11" max="11" width="14" hidden="0" customWidth="1"/>
    <x:col min="12" max="12" width="12" hidden="0" customWidth="1"/>
    <x:col min="13" max="13" width="12" hidden="0" customWidth="1"/>
    <x:col min="14" max="14" width="24" hidden="0" customWidth="1"/>
    <x:col min="15" max="15" width="12" hidden="0" customWidth="1"/>
  </x:cols>
  <x:sheetData>
    <x:row r="1" ht="30" customHeight="1">
      <x:c r="A1" s="87" t="str">
        <x:v>制造费用归集表</x:v>
      </x:c>
      <x:c r="B1" s="88"/>
      <x:c r="C1" s="88"/>
      <x:c r="D1" s="88"/>
      <x:c r="E1" s="88"/>
      <x:c r="F1" s="88"/>
      <x:c r="G1" s="88"/>
      <x:c r="H1" s="88"/>
      <x:c r="I1" s="88"/>
      <x:c r="J1" s="88"/>
      <x:c r="K1" s="88"/>
      <x:c r="L1" s="88"/>
      <x:c r="M1" s="88"/>
      <x:c r="N1" s="88"/>
      <x:c r="O1" s="88"/>
    </x:row>
    <x:row r="2" ht="24" customHeight="1">
      <x:c r="A2" s="89" t="str">
        <x:v>先按车间/成本中心归集，再按反映资源消耗的基础分配</x:v>
      </x:c>
      <x:c r="B2" s="88"/>
      <x:c r="C2" s="88"/>
      <x:c r="D2" s="88"/>
      <x:c r="E2" s="88"/>
      <x:c r="F2" s="88"/>
      <x:c r="G2" s="88"/>
      <x:c r="H2" s="88"/>
      <x:c r="I2" s="88"/>
      <x:c r="J2" s="88"/>
      <x:c r="K2" s="88"/>
      <x:c r="L2" s="88"/>
      <x:c r="M2" s="88"/>
      <x:c r="N2" s="88"/>
      <x:c r="O2" s="88"/>
    </x:row>
    <x:row r="3">
      <x:c r="A3" s="88"/>
      <x:c r="B3" s="88"/>
      <x:c r="C3" s="88"/>
      <x:c r="D3" s="88"/>
      <x:c r="E3" s="88"/>
      <x:c r="F3" s="88"/>
      <x:c r="G3" s="88"/>
      <x:c r="H3" s="88"/>
      <x:c r="I3" s="88"/>
      <x:c r="J3" s="88"/>
      <x:c r="K3" s="88"/>
      <x:c r="L3" s="88"/>
      <x:c r="M3" s="88"/>
      <x:c r="N3" s="88"/>
      <x:c r="O3" s="88"/>
    </x:row>
    <x:row r="4">
      <x:c r="A4" s="88"/>
      <x:c r="B4" s="88"/>
      <x:c r="C4" s="88"/>
      <x:c r="D4" s="88"/>
      <x:c r="E4" s="88"/>
      <x:c r="F4" s="88"/>
      <x:c r="G4" s="88"/>
      <x:c r="H4" s="88"/>
      <x:c r="I4" s="88"/>
      <x:c r="J4" s="88"/>
      <x:c r="K4" s="88"/>
      <x:c r="L4" s="88"/>
      <x:c r="M4" s="88"/>
      <x:c r="N4" s="88"/>
      <x:c r="O4" s="88"/>
    </x:row>
    <x:row r="5" ht="32" customHeight="1">
      <x:c r="A5" s="15" t="str">
        <x:v>费用项目</x:v>
      </x:c>
      <x:c r="B5" s="16" t="str">
        <x:v>装配车间</x:v>
      </x:c>
      <x:c r="C5" s="16" t="str">
        <x:v>耗材车间</x:v>
      </x:c>
      <x:c r="D5" s="16" t="str">
        <x:v>公共制造</x:v>
      </x:c>
      <x:c r="E5" s="16" t="str">
        <x:v>合计</x:v>
      </x:c>
      <x:c r="F5" s="16" t="str">
        <x:v>数据来源</x:v>
      </x:c>
      <x:c r="G5" s="16" t="str">
        <x:v>计提/发票</x:v>
      </x:c>
      <x:c r="H5" s="16" t="str">
        <x:v>成本中心</x:v>
      </x:c>
      <x:c r="I5" s="16" t="str">
        <x:v>可直接归属</x:v>
      </x:c>
      <x:c r="J5" s="16" t="str">
        <x:v>分配基础</x:v>
      </x:c>
      <x:c r="K5" s="16" t="str">
        <x:v>本期预算</x:v>
      </x:c>
      <x:c r="L5" s="16" t="str">
        <x:v>差异</x:v>
      </x:c>
      <x:c r="M5" s="16" t="str">
        <x:v>差异率</x:v>
      </x:c>
      <x:c r="N5" s="16" t="str">
        <x:v>异常说明</x:v>
      </x:c>
      <x:c r="O5" s="17" t="str">
        <x:v>复核人</x:v>
      </x:c>
    </x:row>
    <x:row r="6">
      <x:c r="A6" s="48" t="str">
        <x:v>车间管理工资</x:v>
      </x:c>
      <x:c r="B6" s="61" t="n">
        <x:v>20</x:v>
      </x:c>
      <x:c r="C6" s="61" t="n">
        <x:v>15</x:v>
      </x:c>
      <x:c r="D6" s="61" t="n">
        <x:v>0</x:v>
      </x:c>
      <x:c r="E6" s="61" t="n">
        <x:f>IF(A6="","",SUM(B6:D6))</x:f>
        <x:v>35</x:v>
      </x:c>
      <x:c r="F6" s="61" t="str">
        <x:v>工资表</x:v>
      </x:c>
      <x:c r="G6" s="61" t="str">
        <x:v>计提</x:v>
      </x:c>
      <x:c r="H6" s="61" t="str">
        <x:v>两车间</x:v>
      </x:c>
      <x:c r="I6" s="61" t="str">
        <x:v>是</x:v>
      </x:c>
      <x:c r="J6" s="61" t="str">
        <x:v>归属</x:v>
      </x:c>
      <x:c r="K6" s="61" t="n">
        <x:v>34</x:v>
      </x:c>
      <x:c r="L6" s="61" t="n">
        <x:f>IF(A6="","",E6-K6)</x:f>
        <x:v>1</x:v>
      </x:c>
      <x:c r="M6" s="65" t="n">
        <x:f>IFERROR(L6/K6,0)</x:f>
        <x:v>0.029411764705882353</x:v>
      </x:c>
      <x:c r="N6" s="49" t="str"/>
      <x:c r="O6" s="50" t="str">
        <x:v>主管</x:v>
      </x:c>
    </x:row>
    <x:row r="7">
      <x:c r="A7" s="39" t="str">
        <x:v>设备折旧</x:v>
      </x:c>
      <x:c r="B7" s="62" t="n">
        <x:v>35</x:v>
      </x:c>
      <x:c r="C7" s="62" t="n">
        <x:v>15</x:v>
      </x:c>
      <x:c r="D7" s="62" t="n">
        <x:v>0</x:v>
      </x:c>
      <x:c r="E7" s="62" t="n">
        <x:f>IF(A7="","",SUM(B7:D7))</x:f>
        <x:v>50</x:v>
      </x:c>
      <x:c r="F7" s="62" t="str">
        <x:v>FA</x:v>
      </x:c>
      <x:c r="G7" s="62" t="str">
        <x:v>计提</x:v>
      </x:c>
      <x:c r="H7" s="62" t="str">
        <x:v>两车间</x:v>
      </x:c>
      <x:c r="I7" s="62" t="str">
        <x:v>是</x:v>
      </x:c>
      <x:c r="J7" s="62" t="str">
        <x:v>机器工时</x:v>
      </x:c>
      <x:c r="K7" s="62" t="n">
        <x:v>48</x:v>
      </x:c>
      <x:c r="L7" s="62" t="n">
        <x:f>IF(A7="","",E7-K7)</x:f>
        <x:v>2</x:v>
      </x:c>
      <x:c r="M7" s="66" t="n">
        <x:f>IFERROR(L7/K7,0)</x:f>
        <x:v>0.041666666666666664</x:v>
      </x:c>
      <x:c r="N7" s="40" t="str"/>
      <x:c r="O7" s="41" t="str">
        <x:v>主管</x:v>
      </x:c>
    </x:row>
    <x:row r="8">
      <x:c r="A8" s="51" t="str">
        <x:v>水电动力</x:v>
      </x:c>
      <x:c r="B8" s="63" t="n">
        <x:v>20</x:v>
      </x:c>
      <x:c r="C8" s="63" t="n">
        <x:v>10</x:v>
      </x:c>
      <x:c r="D8" s="63" t="n">
        <x:v>10</x:v>
      </x:c>
      <x:c r="E8" s="63" t="n">
        <x:f>IF(A8="","",SUM(B8:D8))</x:f>
        <x:v>40</x:v>
      </x:c>
      <x:c r="F8" s="63" t="str">
        <x:v>表计/AP</x:v>
      </x:c>
      <x:c r="G8" s="63" t="str">
        <x:v>计提</x:v>
      </x:c>
      <x:c r="H8" s="63" t="str">
        <x:v>公用工程</x:v>
      </x:c>
      <x:c r="I8" s="63" t="str">
        <x:v>部分</x:v>
      </x:c>
      <x:c r="J8" s="63" t="str">
        <x:v>机器工时</x:v>
      </x:c>
      <x:c r="K8" s="63" t="n">
        <x:v>36</x:v>
      </x:c>
      <x:c r="L8" s="63" t="n">
        <x:f>IF(A8="","",E8-K8)</x:f>
        <x:v>4</x:v>
      </x:c>
      <x:c r="M8" s="67" t="n">
        <x:f>IFERROR(L8/K8,0)</x:f>
        <x:v>0.1111111111111111</x:v>
      </x:c>
      <x:c r="N8" s="52" t="str"/>
      <x:c r="O8" s="53" t="str">
        <x:v>主管</x:v>
      </x:c>
    </x:row>
    <x:row r="9">
      <x:c r="A9" s="39" t="str">
        <x:v>厂房租金</x:v>
      </x:c>
      <x:c r="B9" s="62" t="n">
        <x:v>18</x:v>
      </x:c>
      <x:c r="C9" s="62" t="n">
        <x:v>12</x:v>
      </x:c>
      <x:c r="D9" s="62" t="n">
        <x:v>0</x:v>
      </x:c>
      <x:c r="E9" s="62" t="n">
        <x:f>IF(A9="","",SUM(B9:D9))</x:f>
        <x:v>30</x:v>
      </x:c>
      <x:c r="F9" s="62" t="str">
        <x:v>合同</x:v>
      </x:c>
      <x:c r="G9" s="62" t="str">
        <x:v>计提</x:v>
      </x:c>
      <x:c r="H9" s="62" t="str">
        <x:v>两车间</x:v>
      </x:c>
      <x:c r="I9" s="62" t="str">
        <x:v>是</x:v>
      </x:c>
      <x:c r="J9" s="62" t="str">
        <x:v>面积</x:v>
      </x:c>
      <x:c r="K9" s="62" t="n">
        <x:v>30</x:v>
      </x:c>
      <x:c r="L9" s="62" t="n">
        <x:f>IF(A9="","",E9-K9)</x:f>
        <x:v>0</x:v>
      </x:c>
      <x:c r="M9" s="66" t="n">
        <x:f>IFERROR(L9/K9,0)</x:f>
        <x:v>0</x:v>
      </x:c>
      <x:c r="N9" s="40" t="str"/>
      <x:c r="O9" s="41" t="str">
        <x:v>主管</x:v>
      </x:c>
    </x:row>
    <x:row r="10">
      <x:c r="A10" s="51" t="str">
        <x:v>维修费</x:v>
      </x:c>
      <x:c r="B10" s="63" t="n">
        <x:v>7</x:v>
      </x:c>
      <x:c r="C10" s="63" t="n">
        <x:v>3</x:v>
      </x:c>
      <x:c r="D10" s="63" t="n">
        <x:v>0</x:v>
      </x:c>
      <x:c r="E10" s="63" t="n">
        <x:f>IF(A10="","",SUM(B10:D10))</x:f>
        <x:v>10</x:v>
      </x:c>
      <x:c r="F10" s="63" t="str">
        <x:v>维修单</x:v>
      </x:c>
      <x:c r="G10" s="63" t="str">
        <x:v>发票</x:v>
      </x:c>
      <x:c r="H10" s="63" t="str">
        <x:v>设备</x:v>
      </x:c>
      <x:c r="I10" s="63" t="str">
        <x:v>是</x:v>
      </x:c>
      <x:c r="J10" s="63" t="str">
        <x:v>设备</x:v>
      </x:c>
      <x:c r="K10" s="63" t="n">
        <x:v>8</x:v>
      </x:c>
      <x:c r="L10" s="63" t="n">
        <x:f>IF(A10="","",E10-K10)</x:f>
        <x:v>2</x:v>
      </x:c>
      <x:c r="M10" s="67" t="n">
        <x:f>IFERROR(L10/K10,0)</x:f>
        <x:v>0.25</x:v>
      </x:c>
      <x:c r="N10" s="52" t="str"/>
      <x:c r="O10" s="53" t="str">
        <x:v>主管</x:v>
      </x:c>
    </x:row>
    <x:row r="11">
      <x:c r="A11" s="39" t="str">
        <x:v>间接材料</x:v>
      </x:c>
      <x:c r="B11" s="62" t="n">
        <x:v>5</x:v>
      </x:c>
      <x:c r="C11" s="62" t="n">
        <x:v>3</x:v>
      </x:c>
      <x:c r="D11" s="62" t="n">
        <x:v>0</x:v>
      </x:c>
      <x:c r="E11" s="62" t="n">
        <x:f>IF(A11="","",SUM(B11:D11))</x:f>
        <x:v>8</x:v>
      </x:c>
      <x:c r="F11" s="62" t="str">
        <x:v>领料</x:v>
      </x:c>
      <x:c r="G11" s="62" t="str">
        <x:v>出库</x:v>
      </x:c>
      <x:c r="H11" s="62" t="str">
        <x:v>两车间</x:v>
      </x:c>
      <x:c r="I11" s="62" t="str">
        <x:v>是</x:v>
      </x:c>
      <x:c r="J11" s="62" t="str">
        <x:v>领用</x:v>
      </x:c>
      <x:c r="K11" s="62" t="n">
        <x:v>8</x:v>
      </x:c>
      <x:c r="L11" s="62" t="n">
        <x:f>IF(A11="","",E11-K11)</x:f>
        <x:v>0</x:v>
      </x:c>
      <x:c r="M11" s="66" t="n">
        <x:f>IFERROR(L11/K11,0)</x:f>
        <x:v>0</x:v>
      </x:c>
      <x:c r="N11" s="40" t="str"/>
      <x:c r="O11" s="41" t="str">
        <x:v>主管</x:v>
      </x:c>
    </x:row>
    <x:row r="12">
      <x:c r="A12" s="51" t="str">
        <x:v>劳保用品</x:v>
      </x:c>
      <x:c r="B12" s="63" t="n">
        <x:v>2</x:v>
      </x:c>
      <x:c r="C12" s="63" t="n">
        <x:v>2</x:v>
      </x:c>
      <x:c r="D12" s="63" t="n">
        <x:v>0</x:v>
      </x:c>
      <x:c r="E12" s="63" t="n">
        <x:f>IF(A12="","",SUM(B12:D12))</x:f>
        <x:v>4</x:v>
      </x:c>
      <x:c r="F12" s="63" t="str">
        <x:v>领用</x:v>
      </x:c>
      <x:c r="G12" s="63" t="str">
        <x:v>出库</x:v>
      </x:c>
      <x:c r="H12" s="63" t="str">
        <x:v>两车间</x:v>
      </x:c>
      <x:c r="I12" s="63" t="str">
        <x:v>是</x:v>
      </x:c>
      <x:c r="J12" s="63" t="str">
        <x:v>人数</x:v>
      </x:c>
      <x:c r="K12" s="63" t="n">
        <x:v>4</x:v>
      </x:c>
      <x:c r="L12" s="63" t="n">
        <x:f>IF(A12="","",E12-K12)</x:f>
        <x:v>0</x:v>
      </x:c>
      <x:c r="M12" s="67" t="n">
        <x:f>IFERROR(L12/K12,0)</x:f>
        <x:v>0</x:v>
      </x:c>
      <x:c r="N12" s="52" t="str"/>
      <x:c r="O12" s="53" t="str">
        <x:v>主管</x:v>
      </x:c>
    </x:row>
    <x:row r="13">
      <x:c r="A13" s="39" t="str">
        <x:v>其他</x:v>
      </x:c>
      <x:c r="B13" s="62" t="n">
        <x:v>2</x:v>
      </x:c>
      <x:c r="C13" s="62" t="n">
        <x:v>1</x:v>
      </x:c>
      <x:c r="D13" s="62" t="n">
        <x:v>0</x:v>
      </x:c>
      <x:c r="E13" s="62" t="n">
        <x:f>IF(A13="","",SUM(B13:D13))</x:f>
        <x:v>3</x:v>
      </x:c>
      <x:c r="F13" s="62" t="str">
        <x:v>费用</x:v>
      </x:c>
      <x:c r="G13" s="62" t="str">
        <x:v>发票</x:v>
      </x:c>
      <x:c r="H13" s="62" t="str">
        <x:v>两车间</x:v>
      </x:c>
      <x:c r="I13" s="62" t="str">
        <x:v>是</x:v>
      </x:c>
      <x:c r="J13" s="62" t="str">
        <x:v>归属</x:v>
      </x:c>
      <x:c r="K13" s="62" t="n">
        <x:v>2</x:v>
      </x:c>
      <x:c r="L13" s="62" t="n">
        <x:f>IF(A13="","",E13-K13)</x:f>
        <x:v>1</x:v>
      </x:c>
      <x:c r="M13" s="66" t="n">
        <x:f>IFERROR(L13/K13,0)</x:f>
        <x:v>0.5</x:v>
      </x:c>
      <x:c r="N13" s="40" t="str">
        <x:v>+1</x:v>
      </x:c>
      <x:c r="O13" s="41" t="str">
        <x:v>主管</x:v>
      </x:c>
    </x:row>
    <x:row r="14">
      <x:c r="A14" s="51"/>
      <x:c r="B14" s="63"/>
      <x:c r="C14" s="63"/>
      <x:c r="D14" s="63"/>
      <x:c r="E14" s="63" t="str">
        <x:f>IF(A14="","",SUM(B14:D14))</x:f>
      </x:c>
      <x:c r="F14" s="63"/>
      <x:c r="G14" s="63"/>
      <x:c r="H14" s="63"/>
      <x:c r="I14" s="63"/>
      <x:c r="J14" s="63"/>
      <x:c r="K14" s="63"/>
      <x:c r="L14" s="63" t="str">
        <x:f>IF(A14="","",E14-K14)</x:f>
      </x:c>
      <x:c r="M14" s="67" t="n">
        <x:f>IFERROR(L14/K14,0)</x:f>
        <x:v>0</x:v>
      </x:c>
      <x:c r="N14" s="52"/>
      <x:c r="O14" s="53"/>
    </x:row>
    <x:row r="15">
      <x:c r="A15" s="39"/>
      <x:c r="B15" s="62"/>
      <x:c r="C15" s="62"/>
      <x:c r="D15" s="62"/>
      <x:c r="E15" s="62" t="str">
        <x:f>IF(A15="","",SUM(B15:D15))</x:f>
      </x:c>
      <x:c r="F15" s="62"/>
      <x:c r="G15" s="62"/>
      <x:c r="H15" s="62"/>
      <x:c r="I15" s="62"/>
      <x:c r="J15" s="62"/>
      <x:c r="K15" s="62"/>
      <x:c r="L15" s="62" t="str">
        <x:f>IF(A15="","",E15-K15)</x:f>
      </x:c>
      <x:c r="M15" s="66" t="n">
        <x:f>IFERROR(L15/K15,0)</x:f>
        <x:v>0</x:v>
      </x:c>
      <x:c r="N15" s="40"/>
      <x:c r="O15" s="41"/>
    </x:row>
    <x:row r="16">
      <x:c r="A16" s="51"/>
      <x:c r="B16" s="63"/>
      <x:c r="C16" s="63"/>
      <x:c r="D16" s="63"/>
      <x:c r="E16" s="63" t="str">
        <x:f>IF(A16="","",SUM(B16:D16))</x:f>
      </x:c>
      <x:c r="F16" s="63"/>
      <x:c r="G16" s="63"/>
      <x:c r="H16" s="63"/>
      <x:c r="I16" s="63"/>
      <x:c r="J16" s="63"/>
      <x:c r="K16" s="63"/>
      <x:c r="L16" s="63" t="str">
        <x:f>IF(A16="","",E16-K16)</x:f>
      </x:c>
      <x:c r="M16" s="67" t="n">
        <x:f>IFERROR(L16/K16,0)</x:f>
        <x:v>0</x:v>
      </x:c>
      <x:c r="N16" s="52"/>
      <x:c r="O16" s="53"/>
    </x:row>
    <x:row r="17">
      <x:c r="A17" s="39"/>
      <x:c r="B17" s="62"/>
      <x:c r="C17" s="62"/>
      <x:c r="D17" s="62"/>
      <x:c r="E17" s="62" t="str">
        <x:f>IF(A17="","",SUM(B17:D17))</x:f>
      </x:c>
      <x:c r="F17" s="62"/>
      <x:c r="G17" s="62"/>
      <x:c r="H17" s="62"/>
      <x:c r="I17" s="62"/>
      <x:c r="J17" s="62"/>
      <x:c r="K17" s="62"/>
      <x:c r="L17" s="62" t="str">
        <x:f>IF(A17="","",E17-K17)</x:f>
      </x:c>
      <x:c r="M17" s="66" t="n">
        <x:f>IFERROR(L17/K17,0)</x:f>
        <x:v>0</x:v>
      </x:c>
      <x:c r="N17" s="40"/>
      <x:c r="O17" s="41"/>
    </x:row>
    <x:row r="18">
      <x:c r="A18" s="51"/>
      <x:c r="B18" s="63"/>
      <x:c r="C18" s="63"/>
      <x:c r="D18" s="63"/>
      <x:c r="E18" s="63" t="str">
        <x:f>IF(A18="","",SUM(B18:D18))</x:f>
      </x:c>
      <x:c r="F18" s="63"/>
      <x:c r="G18" s="63"/>
      <x:c r="H18" s="63"/>
      <x:c r="I18" s="63"/>
      <x:c r="J18" s="63"/>
      <x:c r="K18" s="63"/>
      <x:c r="L18" s="63" t="str">
        <x:f>IF(A18="","",E18-K18)</x:f>
      </x:c>
      <x:c r="M18" s="67" t="n">
        <x:f>IFERROR(L18/K18,0)</x:f>
        <x:v>0</x:v>
      </x:c>
      <x:c r="N18" s="52"/>
      <x:c r="O18" s="53"/>
    </x:row>
    <x:row r="19">
      <x:c r="A19" s="39"/>
      <x:c r="B19" s="62"/>
      <x:c r="C19" s="62"/>
      <x:c r="D19" s="62"/>
      <x:c r="E19" s="62" t="str">
        <x:f>IF(A19="","",SUM(B19:D19))</x:f>
      </x:c>
      <x:c r="F19" s="62"/>
      <x:c r="G19" s="62"/>
      <x:c r="H19" s="62"/>
      <x:c r="I19" s="62"/>
      <x:c r="J19" s="62"/>
      <x:c r="K19" s="62"/>
      <x:c r="L19" s="62" t="str">
        <x:f>IF(A19="","",E19-K19)</x:f>
      </x:c>
      <x:c r="M19" s="66" t="n">
        <x:f>IFERROR(L19/K19,0)</x:f>
        <x:v>0</x:v>
      </x:c>
      <x:c r="N19" s="40"/>
      <x:c r="O19" s="41"/>
    </x:row>
    <x:row r="20">
      <x:c r="A20" s="51"/>
      <x:c r="B20" s="63"/>
      <x:c r="C20" s="63"/>
      <x:c r="D20" s="63"/>
      <x:c r="E20" s="63" t="str">
        <x:f>IF(A20="","",SUM(B20:D20))</x:f>
      </x:c>
      <x:c r="F20" s="63"/>
      <x:c r="G20" s="63"/>
      <x:c r="H20" s="63"/>
      <x:c r="I20" s="63"/>
      <x:c r="J20" s="63"/>
      <x:c r="K20" s="63"/>
      <x:c r="L20" s="63" t="str">
        <x:f>IF(A20="","",E20-K20)</x:f>
      </x:c>
      <x:c r="M20" s="67" t="n">
        <x:f>IFERROR(L20/K20,0)</x:f>
        <x:v>0</x:v>
      </x:c>
      <x:c r="N20" s="52"/>
      <x:c r="O20" s="53"/>
    </x:row>
    <x:row r="21">
      <x:c r="A21" s="39"/>
      <x:c r="B21" s="62"/>
      <x:c r="C21" s="62"/>
      <x:c r="D21" s="62"/>
      <x:c r="E21" s="62" t="str">
        <x:f>IF(A21="","",SUM(B21:D21))</x:f>
      </x:c>
      <x:c r="F21" s="62"/>
      <x:c r="G21" s="62"/>
      <x:c r="H21" s="62"/>
      <x:c r="I21" s="62"/>
      <x:c r="J21" s="62"/>
      <x:c r="K21" s="62"/>
      <x:c r="L21" s="62" t="str">
        <x:f>IF(A21="","",E21-K21)</x:f>
      </x:c>
      <x:c r="M21" s="66" t="n">
        <x:f>IFERROR(L21/K21,0)</x:f>
        <x:v>0</x:v>
      </x:c>
      <x:c r="N21" s="40"/>
      <x:c r="O21" s="41"/>
    </x:row>
    <x:row r="22">
      <x:c r="A22" s="51"/>
      <x:c r="B22" s="63"/>
      <x:c r="C22" s="63"/>
      <x:c r="D22" s="63"/>
      <x:c r="E22" s="63" t="str">
        <x:f>IF(A22="","",SUM(B22:D22))</x:f>
      </x:c>
      <x:c r="F22" s="63"/>
      <x:c r="G22" s="63"/>
      <x:c r="H22" s="63"/>
      <x:c r="I22" s="63"/>
      <x:c r="J22" s="63"/>
      <x:c r="K22" s="63"/>
      <x:c r="L22" s="63" t="str">
        <x:f>IF(A22="","",E22-K22)</x:f>
      </x:c>
      <x:c r="M22" s="67" t="n">
        <x:f>IFERROR(L22/K22,0)</x:f>
        <x:v>0</x:v>
      </x:c>
      <x:c r="N22" s="52"/>
      <x:c r="O22" s="53"/>
    </x:row>
    <x:row r="23">
      <x:c r="A23" s="39"/>
      <x:c r="B23" s="62"/>
      <x:c r="C23" s="62"/>
      <x:c r="D23" s="62"/>
      <x:c r="E23" s="62" t="str">
        <x:f>IF(A23="","",SUM(B23:D23))</x:f>
      </x:c>
      <x:c r="F23" s="62"/>
      <x:c r="G23" s="62"/>
      <x:c r="H23" s="62"/>
      <x:c r="I23" s="62"/>
      <x:c r="J23" s="62"/>
      <x:c r="K23" s="62"/>
      <x:c r="L23" s="62" t="str">
        <x:f>IF(A23="","",E23-K23)</x:f>
      </x:c>
      <x:c r="M23" s="66" t="n">
        <x:f>IFERROR(L23/K23,0)</x:f>
        <x:v>0</x:v>
      </x:c>
      <x:c r="N23" s="40"/>
      <x:c r="O23" s="41"/>
    </x:row>
    <x:row r="24">
      <x:c r="A24" s="51"/>
      <x:c r="B24" s="63"/>
      <x:c r="C24" s="63"/>
      <x:c r="D24" s="63"/>
      <x:c r="E24" s="63" t="str">
        <x:f>IF(A24="","",SUM(B24:D24))</x:f>
      </x:c>
      <x:c r="F24" s="63"/>
      <x:c r="G24" s="63"/>
      <x:c r="H24" s="63"/>
      <x:c r="I24" s="63"/>
      <x:c r="J24" s="63"/>
      <x:c r="K24" s="63"/>
      <x:c r="L24" s="63" t="str">
        <x:f>IF(A24="","",E24-K24)</x:f>
      </x:c>
      <x:c r="M24" s="67" t="n">
        <x:f>IFERROR(L24/K24,0)</x:f>
        <x:v>0</x:v>
      </x:c>
      <x:c r="N24" s="52"/>
      <x:c r="O24" s="53"/>
    </x:row>
    <x:row r="25">
      <x:c r="A25" s="39"/>
      <x:c r="B25" s="62"/>
      <x:c r="C25" s="62"/>
      <x:c r="D25" s="62"/>
      <x:c r="E25" s="62" t="str">
        <x:f>IF(A25="","",SUM(B25:D25))</x:f>
      </x:c>
      <x:c r="F25" s="62"/>
      <x:c r="G25" s="62"/>
      <x:c r="H25" s="62"/>
      <x:c r="I25" s="62"/>
      <x:c r="J25" s="62"/>
      <x:c r="K25" s="62"/>
      <x:c r="L25" s="62" t="str">
        <x:f>IF(A25="","",E25-K25)</x:f>
      </x:c>
      <x:c r="M25" s="66" t="n">
        <x:f>IFERROR(L25/K25,0)</x:f>
        <x:v>0</x:v>
      </x:c>
      <x:c r="N25" s="40"/>
      <x:c r="O25" s="41"/>
    </x:row>
    <x:row r="26">
      <x:c r="A26" s="51"/>
      <x:c r="B26" s="63"/>
      <x:c r="C26" s="63"/>
      <x:c r="D26" s="63"/>
      <x:c r="E26" s="63" t="str">
        <x:f>IF(A26="","",SUM(B26:D26))</x:f>
      </x:c>
      <x:c r="F26" s="63"/>
      <x:c r="G26" s="63"/>
      <x:c r="H26" s="63"/>
      <x:c r="I26" s="63"/>
      <x:c r="J26" s="63"/>
      <x:c r="K26" s="63"/>
      <x:c r="L26" s="63" t="str">
        <x:f>IF(A26="","",E26-K26)</x:f>
      </x:c>
      <x:c r="M26" s="67" t="n">
        <x:f>IFERROR(L26/K26,0)</x:f>
        <x:v>0</x:v>
      </x:c>
      <x:c r="N26" s="52"/>
      <x:c r="O26" s="53"/>
    </x:row>
    <x:row r="27">
      <x:c r="A27" s="39"/>
      <x:c r="B27" s="62"/>
      <x:c r="C27" s="62"/>
      <x:c r="D27" s="62"/>
      <x:c r="E27" s="62" t="str">
        <x:f>IF(A27="","",SUM(B27:D27))</x:f>
      </x:c>
      <x:c r="F27" s="62"/>
      <x:c r="G27" s="62"/>
      <x:c r="H27" s="62"/>
      <x:c r="I27" s="62"/>
      <x:c r="J27" s="62"/>
      <x:c r="K27" s="62"/>
      <x:c r="L27" s="62" t="str">
        <x:f>IF(A27="","",E27-K27)</x:f>
      </x:c>
      <x:c r="M27" s="66" t="n">
        <x:f>IFERROR(L27/K27,0)</x:f>
        <x:v>0</x:v>
      </x:c>
      <x:c r="N27" s="40"/>
      <x:c r="O27" s="41"/>
    </x:row>
    <x:row r="28">
      <x:c r="A28" s="51"/>
      <x:c r="B28" s="63"/>
      <x:c r="C28" s="63"/>
      <x:c r="D28" s="63"/>
      <x:c r="E28" s="63" t="str">
        <x:f>IF(A28="","",SUM(B28:D28))</x:f>
      </x:c>
      <x:c r="F28" s="63"/>
      <x:c r="G28" s="63"/>
      <x:c r="H28" s="63"/>
      <x:c r="I28" s="63"/>
      <x:c r="J28" s="63"/>
      <x:c r="K28" s="63"/>
      <x:c r="L28" s="63" t="str">
        <x:f>IF(A28="","",E28-K28)</x:f>
      </x:c>
      <x:c r="M28" s="67" t="n">
        <x:f>IFERROR(L28/K28,0)</x:f>
        <x:v>0</x:v>
      </x:c>
      <x:c r="N28" s="52"/>
      <x:c r="O28" s="53"/>
    </x:row>
    <x:row r="29">
      <x:c r="A29" s="39"/>
      <x:c r="B29" s="62"/>
      <x:c r="C29" s="62"/>
      <x:c r="D29" s="62"/>
      <x:c r="E29" s="62" t="str">
        <x:f>IF(A29="","",SUM(B29:D29))</x:f>
      </x:c>
      <x:c r="F29" s="62"/>
      <x:c r="G29" s="62"/>
      <x:c r="H29" s="62"/>
      <x:c r="I29" s="62"/>
      <x:c r="J29" s="62"/>
      <x:c r="K29" s="62"/>
      <x:c r="L29" s="62" t="str">
        <x:f>IF(A29="","",E29-K29)</x:f>
      </x:c>
      <x:c r="M29" s="66" t="n">
        <x:f>IFERROR(L29/K29,0)</x:f>
        <x:v>0</x:v>
      </x:c>
      <x:c r="N29" s="40"/>
      <x:c r="O29" s="41"/>
    </x:row>
    <x:row r="30">
      <x:c r="A30" s="54"/>
      <x:c r="B30" s="64"/>
      <x:c r="C30" s="64"/>
      <x:c r="D30" s="64"/>
      <x:c r="E30" s="64" t="str">
        <x:f>IF(A30="","",SUM(B30:D30))</x:f>
      </x:c>
      <x:c r="F30" s="64"/>
      <x:c r="G30" s="64"/>
      <x:c r="H30" s="64"/>
      <x:c r="I30" s="64"/>
      <x:c r="J30" s="64"/>
      <x:c r="K30" s="64"/>
      <x:c r="L30" s="64" t="str">
        <x:f>IF(A30="","",E30-K30)</x:f>
      </x:c>
      <x:c r="M30" s="68" t="n">
        <x:f>IFERROR(L30/K30,0)</x:f>
        <x:v>0</x:v>
      </x:c>
      <x:c r="N30" s="55"/>
      <x:c r="O30" s="56"/>
    </x:row>
  </x:sheetData>
  <x:mergeCells>
    <x:mergeCell ref="A1:O1"/>
    <x:mergeCell ref="A2:O2"/>
  </x:mergeCells>
  <x:pageMargins left="0.7" right="0.7" top="0.75" bottom="0.75" header="0.3" footer="0.3"/>
  <x:tableParts count="1">
    <x:tablePart xmlns:r="http://schemas.openxmlformats.org/officeDocument/2006/relationships" r:id="R84f5d7d01e8c43fd"/>
  </x:tableParts>
</x:worksheet>
</file>

<file path=xl/worksheets/sheet8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22" hidden="0" customWidth="1"/>
    <x:col min="2" max="2" width="16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26" hidden="0" customWidth="1"/>
    <x:col min="13" max="13" width="18" hidden="0" customWidth="1"/>
    <x:col min="14" max="14" width="12" hidden="0" customWidth="1"/>
  </x:cols>
  <x:sheetData>
    <x:row r="1" ht="30" customHeight="1">
      <x:c r="A1" s="87" t="str">
        <x:v>制造费用分配表</x:v>
      </x:c>
      <x:c r="B1" s="88"/>
      <x:c r="C1" s="88"/>
      <x:c r="D1" s="88"/>
      <x:c r="E1" s="88"/>
      <x:c r="F1" s="88"/>
      <x:c r="G1" s="88"/>
      <x:c r="H1" s="88"/>
      <x:c r="I1" s="88"/>
      <x:c r="J1" s="88"/>
      <x:c r="K1" s="88"/>
      <x:c r="L1" s="88"/>
      <x:c r="M1" s="88"/>
      <x:c r="N1" s="88"/>
    </x:row>
    <x:row r="2" ht="24" customHeight="1">
      <x:c r="A2" s="89" t="str">
        <x:v>案例按机器工时分配180万元：P100 3,000小时，C200 1,000小时</x:v>
      </x:c>
      <x:c r="B2" s="88"/>
      <x:c r="C2" s="88"/>
      <x:c r="D2" s="88"/>
      <x:c r="E2" s="88"/>
      <x:c r="F2" s="88"/>
      <x:c r="G2" s="88"/>
      <x:c r="H2" s="88"/>
      <x:c r="I2" s="88"/>
      <x:c r="J2" s="88"/>
      <x:c r="K2" s="88"/>
      <x:c r="L2" s="88"/>
      <x:c r="M2" s="88"/>
      <x:c r="N2" s="88"/>
    </x:row>
    <x:row r="3">
      <x:c r="A3" s="88"/>
      <x:c r="B3" s="88"/>
      <x:c r="C3" s="88"/>
      <x:c r="D3" s="88"/>
      <x:c r="E3" s="88"/>
      <x:c r="F3" s="88"/>
      <x:c r="G3" s="88"/>
      <x:c r="H3" s="88"/>
      <x:c r="I3" s="88"/>
      <x:c r="J3" s="88"/>
      <x:c r="K3" s="88"/>
      <x:c r="L3" s="88"/>
      <x:c r="M3" s="88"/>
      <x:c r="N3" s="88"/>
    </x:row>
    <x:row r="4">
      <x:c r="A4" s="88"/>
      <x:c r="B4" s="88"/>
      <x:c r="C4" s="88"/>
      <x:c r="D4" s="88"/>
      <x:c r="E4" s="88"/>
      <x:c r="F4" s="88"/>
      <x:c r="G4" s="88"/>
      <x:c r="H4" s="88"/>
      <x:c r="I4" s="88"/>
      <x:c r="J4" s="88"/>
      <x:c r="K4" s="88"/>
      <x:c r="L4" s="88"/>
      <x:c r="M4" s="88"/>
      <x:c r="N4" s="88"/>
    </x:row>
    <x:row r="5" ht="32" customHeight="1">
      <x:c r="A5" s="15" t="str">
        <x:v>成本池</x:v>
      </x:c>
      <x:c r="B5" s="16" t="str">
        <x:v>分配基础</x:v>
      </x:c>
      <x:c r="C5" s="16" t="str">
        <x:v>总费用</x:v>
      </x:c>
      <x:c r="D5" s="16" t="str">
        <x:v>P100动因</x:v>
      </x:c>
      <x:c r="E5" s="16" t="str">
        <x:v>C200动因</x:v>
      </x:c>
      <x:c r="F5" s="16" t="str">
        <x:v>动因合计</x:v>
      </x:c>
      <x:c r="G5" s="16" t="str">
        <x:v>分配率</x:v>
      </x:c>
      <x:c r="H5" s="16" t="str">
        <x:v>P100分配</x:v>
      </x:c>
      <x:c r="I5" s="16" t="str">
        <x:v>C200分配</x:v>
      </x:c>
      <x:c r="J5" s="16" t="str">
        <x:v>分配合计</x:v>
      </x:c>
      <x:c r="K5" s="16" t="str">
        <x:v>未分配差异</x:v>
      </x:c>
      <x:c r="L5" s="16" t="str">
        <x:v>方法适用</x:v>
      </x:c>
      <x:c r="M5" s="16" t="str">
        <x:v>政策版本</x:v>
      </x:c>
      <x:c r="N5" s="17" t="str">
        <x:v>复核人</x:v>
      </x:c>
    </x:row>
    <x:row r="6">
      <x:c r="A6" s="48" t="str">
        <x:v>全部制造费用</x:v>
      </x:c>
      <x:c r="B6" s="49" t="str">
        <x:v>机器工时</x:v>
      </x:c>
      <x:c r="C6" s="69" t="n">
        <x:v>180</x:v>
      </x:c>
      <x:c r="D6" s="69" t="n">
        <x:v>3000</x:v>
      </x:c>
      <x:c r="E6" s="69" t="n">
        <x:v>1000</x:v>
      </x:c>
      <x:c r="F6" s="69" t="n">
        <x:f>IF(A6="","",D6+E6)</x:f>
        <x:v>4000</x:v>
      </x:c>
      <x:c r="G6" s="69" t="n">
        <x:f>IFERROR(C6/F6,0)</x:f>
        <x:v>0.045</x:v>
      </x:c>
      <x:c r="H6" s="69" t="n">
        <x:f>IF(A6="","",D6*G6)</x:f>
        <x:v>135</x:v>
      </x:c>
      <x:c r="I6" s="69" t="n">
        <x:f>IF(A6="","",E6*G6)</x:f>
        <x:v>45</x:v>
      </x:c>
      <x:c r="J6" s="69" t="n">
        <x:f>IF(A6="","",H6+I6)</x:f>
        <x:v>180</x:v>
      </x:c>
      <x:c r="K6" s="69" t="n">
        <x:f>IF(A6="","",C6-J6)</x:f>
        <x:v>0</x:v>
      </x:c>
      <x:c r="L6" s="49" t="str">
        <x:v>自动化设备驱动</x:v>
      </x:c>
      <x:c r="M6" s="49" t="str">
        <x:v>POL-COST-03</x:v>
      </x:c>
      <x:c r="N6" s="50" t="str">
        <x:v>主管</x:v>
      </x:c>
    </x:row>
    <x:row r="7">
      <x:c r="A7" s="39"/>
      <x:c r="B7" s="40"/>
      <x:c r="C7" s="70"/>
      <x:c r="D7" s="70"/>
      <x:c r="E7" s="70"/>
      <x:c r="F7" s="70" t="str">
        <x:f>IF(A7="","",D7+E7)</x:f>
      </x:c>
      <x:c r="G7" s="70" t="n">
        <x:f>IFERROR(C7/F7,0)</x:f>
        <x:v>0</x:v>
      </x:c>
      <x:c r="H7" s="70" t="str">
        <x:f>IF(A7="","",D7*G7)</x:f>
      </x:c>
      <x:c r="I7" s="70" t="str">
        <x:f>IF(A7="","",E7*G7)</x:f>
      </x:c>
      <x:c r="J7" s="70" t="str">
        <x:f>IF(A7="","",H7+I7)</x:f>
      </x:c>
      <x:c r="K7" s="70" t="str">
        <x:f>IF(A7="","",C7-J7)</x:f>
      </x:c>
      <x:c r="L7" s="40"/>
      <x:c r="M7" s="40"/>
      <x:c r="N7" s="41"/>
    </x:row>
    <x:row r="8">
      <x:c r="A8" s="51"/>
      <x:c r="B8" s="52"/>
      <x:c r="C8" s="71"/>
      <x:c r="D8" s="71"/>
      <x:c r="E8" s="71"/>
      <x:c r="F8" s="71" t="str">
        <x:f>IF(A8="","",D8+E8)</x:f>
      </x:c>
      <x:c r="G8" s="71" t="n">
        <x:f>IFERROR(C8/F8,0)</x:f>
        <x:v>0</x:v>
      </x:c>
      <x:c r="H8" s="71" t="str">
        <x:f>IF(A8="","",D8*G8)</x:f>
      </x:c>
      <x:c r="I8" s="71" t="str">
        <x:f>IF(A8="","",E8*G8)</x:f>
      </x:c>
      <x:c r="J8" s="71" t="str">
        <x:f>IF(A8="","",H8+I8)</x:f>
      </x:c>
      <x:c r="K8" s="71" t="str">
        <x:f>IF(A8="","",C8-J8)</x:f>
      </x:c>
      <x:c r="L8" s="52"/>
      <x:c r="M8" s="52"/>
      <x:c r="N8" s="53"/>
    </x:row>
    <x:row r="9">
      <x:c r="A9" s="39"/>
      <x:c r="B9" s="40"/>
      <x:c r="C9" s="70"/>
      <x:c r="D9" s="70"/>
      <x:c r="E9" s="70"/>
      <x:c r="F9" s="70" t="str">
        <x:f>IF(A9="","",D9+E9)</x:f>
      </x:c>
      <x:c r="G9" s="70" t="n">
        <x:f>IFERROR(C9/F9,0)</x:f>
        <x:v>0</x:v>
      </x:c>
      <x:c r="H9" s="70" t="str">
        <x:f>IF(A9="","",D9*G9)</x:f>
      </x:c>
      <x:c r="I9" s="70" t="str">
        <x:f>IF(A9="","",E9*G9)</x:f>
      </x:c>
      <x:c r="J9" s="70" t="str">
        <x:f>IF(A9="","",H9+I9)</x:f>
      </x:c>
      <x:c r="K9" s="70" t="str">
        <x:f>IF(A9="","",C9-J9)</x:f>
      </x:c>
      <x:c r="L9" s="40"/>
      <x:c r="M9" s="40"/>
      <x:c r="N9" s="41"/>
    </x:row>
    <x:row r="10">
      <x:c r="A10" s="51"/>
      <x:c r="B10" s="52"/>
      <x:c r="C10" s="71"/>
      <x:c r="D10" s="71"/>
      <x:c r="E10" s="71"/>
      <x:c r="F10" s="71" t="str">
        <x:f>IF(A10="","",D10+E10)</x:f>
      </x:c>
      <x:c r="G10" s="71" t="n">
        <x:f>IFERROR(C10/F10,0)</x:f>
        <x:v>0</x:v>
      </x:c>
      <x:c r="H10" s="71" t="str">
        <x:f>IF(A10="","",D10*G10)</x:f>
      </x:c>
      <x:c r="I10" s="71" t="str">
        <x:f>IF(A10="","",E10*G10)</x:f>
      </x:c>
      <x:c r="J10" s="71" t="str">
        <x:f>IF(A10="","",H10+I10)</x:f>
      </x:c>
      <x:c r="K10" s="71" t="str">
        <x:f>IF(A10="","",C10-J10)</x:f>
      </x:c>
      <x:c r="L10" s="52"/>
      <x:c r="M10" s="52"/>
      <x:c r="N10" s="53"/>
    </x:row>
    <x:row r="11">
      <x:c r="A11" s="39"/>
      <x:c r="B11" s="40"/>
      <x:c r="C11" s="70"/>
      <x:c r="D11" s="70"/>
      <x:c r="E11" s="70"/>
      <x:c r="F11" s="70" t="str">
        <x:f>IF(A11="","",D11+E11)</x:f>
      </x:c>
      <x:c r="G11" s="70" t="n">
        <x:f>IFERROR(C11/F11,0)</x:f>
        <x:v>0</x:v>
      </x:c>
      <x:c r="H11" s="70" t="str">
        <x:f>IF(A11="","",D11*G11)</x:f>
      </x:c>
      <x:c r="I11" s="70" t="str">
        <x:f>IF(A11="","",E11*G11)</x:f>
      </x:c>
      <x:c r="J11" s="70" t="str">
        <x:f>IF(A11="","",H11+I11)</x:f>
      </x:c>
      <x:c r="K11" s="70" t="str">
        <x:f>IF(A11="","",C11-J11)</x:f>
      </x:c>
      <x:c r="L11" s="40"/>
      <x:c r="M11" s="40"/>
      <x:c r="N11" s="41"/>
    </x:row>
    <x:row r="12">
      <x:c r="A12" s="51"/>
      <x:c r="B12" s="52"/>
      <x:c r="C12" s="71"/>
      <x:c r="D12" s="71"/>
      <x:c r="E12" s="71"/>
      <x:c r="F12" s="71" t="str">
        <x:f>IF(A12="","",D12+E12)</x:f>
      </x:c>
      <x:c r="G12" s="71" t="n">
        <x:f>IFERROR(C12/F12,0)</x:f>
        <x:v>0</x:v>
      </x:c>
      <x:c r="H12" s="71" t="str">
        <x:f>IF(A12="","",D12*G12)</x:f>
      </x:c>
      <x:c r="I12" s="71" t="str">
        <x:f>IF(A12="","",E12*G12)</x:f>
      </x:c>
      <x:c r="J12" s="71" t="str">
        <x:f>IF(A12="","",H12+I12)</x:f>
      </x:c>
      <x:c r="K12" s="71" t="str">
        <x:f>IF(A12="","",C12-J12)</x:f>
      </x:c>
      <x:c r="L12" s="52"/>
      <x:c r="M12" s="52"/>
      <x:c r="N12" s="53"/>
    </x:row>
    <x:row r="13">
      <x:c r="A13" s="39"/>
      <x:c r="B13" s="40"/>
      <x:c r="C13" s="70"/>
      <x:c r="D13" s="70"/>
      <x:c r="E13" s="70"/>
      <x:c r="F13" s="70" t="str">
        <x:f>IF(A13="","",D13+E13)</x:f>
      </x:c>
      <x:c r="G13" s="70" t="n">
        <x:f>IFERROR(C13/F13,0)</x:f>
        <x:v>0</x:v>
      </x:c>
      <x:c r="H13" s="70" t="str">
        <x:f>IF(A13="","",D13*G13)</x:f>
      </x:c>
      <x:c r="I13" s="70" t="str">
        <x:f>IF(A13="","",E13*G13)</x:f>
      </x:c>
      <x:c r="J13" s="70" t="str">
        <x:f>IF(A13="","",H13+I13)</x:f>
      </x:c>
      <x:c r="K13" s="70" t="str">
        <x:f>IF(A13="","",C13-J13)</x:f>
      </x:c>
      <x:c r="L13" s="40"/>
      <x:c r="M13" s="40"/>
      <x:c r="N13" s="41"/>
    </x:row>
    <x:row r="14">
      <x:c r="A14" s="51"/>
      <x:c r="B14" s="52"/>
      <x:c r="C14" s="71"/>
      <x:c r="D14" s="71"/>
      <x:c r="E14" s="71"/>
      <x:c r="F14" s="71" t="str">
        <x:f>IF(A14="","",D14+E14)</x:f>
      </x:c>
      <x:c r="G14" s="71" t="n">
        <x:f>IFERROR(C14/F14,0)</x:f>
        <x:v>0</x:v>
      </x:c>
      <x:c r="H14" s="71" t="str">
        <x:f>IF(A14="","",D14*G14)</x:f>
      </x:c>
      <x:c r="I14" s="71" t="str">
        <x:f>IF(A14="","",E14*G14)</x:f>
      </x:c>
      <x:c r="J14" s="71" t="str">
        <x:f>IF(A14="","",H14+I14)</x:f>
      </x:c>
      <x:c r="K14" s="71" t="str">
        <x:f>IF(A14="","",C14-J14)</x:f>
      </x:c>
      <x:c r="L14" s="52"/>
      <x:c r="M14" s="52"/>
      <x:c r="N14" s="53"/>
    </x:row>
    <x:row r="15">
      <x:c r="A15" s="39"/>
      <x:c r="B15" s="40"/>
      <x:c r="C15" s="70"/>
      <x:c r="D15" s="70"/>
      <x:c r="E15" s="70"/>
      <x:c r="F15" s="70" t="str">
        <x:f>IF(A15="","",D15+E15)</x:f>
      </x:c>
      <x:c r="G15" s="70" t="n">
        <x:f>IFERROR(C15/F15,0)</x:f>
        <x:v>0</x:v>
      </x:c>
      <x:c r="H15" s="70" t="str">
        <x:f>IF(A15="","",D15*G15)</x:f>
      </x:c>
      <x:c r="I15" s="70" t="str">
        <x:f>IF(A15="","",E15*G15)</x:f>
      </x:c>
      <x:c r="J15" s="70" t="str">
        <x:f>IF(A15="","",H15+I15)</x:f>
      </x:c>
      <x:c r="K15" s="70" t="str">
        <x:f>IF(A15="","",C15-J15)</x:f>
      </x:c>
      <x:c r="L15" s="40"/>
      <x:c r="M15" s="40"/>
      <x:c r="N15" s="41"/>
    </x:row>
    <x:row r="16">
      <x:c r="A16" s="51"/>
      <x:c r="B16" s="52"/>
      <x:c r="C16" s="71"/>
      <x:c r="D16" s="71"/>
      <x:c r="E16" s="71"/>
      <x:c r="F16" s="71" t="str">
        <x:f>IF(A16="","",D16+E16)</x:f>
      </x:c>
      <x:c r="G16" s="71" t="n">
        <x:f>IFERROR(C16/F16,0)</x:f>
        <x:v>0</x:v>
      </x:c>
      <x:c r="H16" s="71" t="str">
        <x:f>IF(A16="","",D16*G16)</x:f>
      </x:c>
      <x:c r="I16" s="71" t="str">
        <x:f>IF(A16="","",E16*G16)</x:f>
      </x:c>
      <x:c r="J16" s="71" t="str">
        <x:f>IF(A16="","",H16+I16)</x:f>
      </x:c>
      <x:c r="K16" s="71" t="str">
        <x:f>IF(A16="","",C16-J16)</x:f>
      </x:c>
      <x:c r="L16" s="52"/>
      <x:c r="M16" s="52"/>
      <x:c r="N16" s="53"/>
    </x:row>
    <x:row r="17">
      <x:c r="A17" s="39"/>
      <x:c r="B17" s="40"/>
      <x:c r="C17" s="70"/>
      <x:c r="D17" s="70"/>
      <x:c r="E17" s="70"/>
      <x:c r="F17" s="70" t="str">
        <x:f>IF(A17="","",D17+E17)</x:f>
      </x:c>
      <x:c r="G17" s="70" t="n">
        <x:f>IFERROR(C17/F17,0)</x:f>
        <x:v>0</x:v>
      </x:c>
      <x:c r="H17" s="70" t="str">
        <x:f>IF(A17="","",D17*G17)</x:f>
      </x:c>
      <x:c r="I17" s="70" t="str">
        <x:f>IF(A17="","",E17*G17)</x:f>
      </x:c>
      <x:c r="J17" s="70" t="str">
        <x:f>IF(A17="","",H17+I17)</x:f>
      </x:c>
      <x:c r="K17" s="70" t="str">
        <x:f>IF(A17="","",C17-J17)</x:f>
      </x:c>
      <x:c r="L17" s="40"/>
      <x:c r="M17" s="40"/>
      <x:c r="N17" s="41"/>
    </x:row>
    <x:row r="18">
      <x:c r="A18" s="51"/>
      <x:c r="B18" s="52"/>
      <x:c r="C18" s="71"/>
      <x:c r="D18" s="71"/>
      <x:c r="E18" s="71"/>
      <x:c r="F18" s="71" t="str">
        <x:f>IF(A18="","",D18+E18)</x:f>
      </x:c>
      <x:c r="G18" s="71" t="n">
        <x:f>IFERROR(C18/F18,0)</x:f>
        <x:v>0</x:v>
      </x:c>
      <x:c r="H18" s="71" t="str">
        <x:f>IF(A18="","",D18*G18)</x:f>
      </x:c>
      <x:c r="I18" s="71" t="str">
        <x:f>IF(A18="","",E18*G18)</x:f>
      </x:c>
      <x:c r="J18" s="71" t="str">
        <x:f>IF(A18="","",H18+I18)</x:f>
      </x:c>
      <x:c r="K18" s="71" t="str">
        <x:f>IF(A18="","",C18-J18)</x:f>
      </x:c>
      <x:c r="L18" s="52"/>
      <x:c r="M18" s="52"/>
      <x:c r="N18" s="53"/>
    </x:row>
    <x:row r="19">
      <x:c r="A19" s="39"/>
      <x:c r="B19" s="40"/>
      <x:c r="C19" s="70"/>
      <x:c r="D19" s="70"/>
      <x:c r="E19" s="70"/>
      <x:c r="F19" s="70" t="str">
        <x:f>IF(A19="","",D19+E19)</x:f>
      </x:c>
      <x:c r="G19" s="70" t="n">
        <x:f>IFERROR(C19/F19,0)</x:f>
        <x:v>0</x:v>
      </x:c>
      <x:c r="H19" s="70" t="str">
        <x:f>IF(A19="","",D19*G19)</x:f>
      </x:c>
      <x:c r="I19" s="70" t="str">
        <x:f>IF(A19="","",E19*G19)</x:f>
      </x:c>
      <x:c r="J19" s="70" t="str">
        <x:f>IF(A19="","",H19+I19)</x:f>
      </x:c>
      <x:c r="K19" s="70" t="str">
        <x:f>IF(A19="","",C19-J19)</x:f>
      </x:c>
      <x:c r="L19" s="40"/>
      <x:c r="M19" s="40"/>
      <x:c r="N19" s="41"/>
    </x:row>
    <x:row r="20">
      <x:c r="A20" s="51"/>
      <x:c r="B20" s="52"/>
      <x:c r="C20" s="71"/>
      <x:c r="D20" s="71"/>
      <x:c r="E20" s="71"/>
      <x:c r="F20" s="71" t="str">
        <x:f>IF(A20="","",D20+E20)</x:f>
      </x:c>
      <x:c r="G20" s="71" t="n">
        <x:f>IFERROR(C20/F20,0)</x:f>
        <x:v>0</x:v>
      </x:c>
      <x:c r="H20" s="71" t="str">
        <x:f>IF(A20="","",D20*G20)</x:f>
      </x:c>
      <x:c r="I20" s="71" t="str">
        <x:f>IF(A20="","",E20*G20)</x:f>
      </x:c>
      <x:c r="J20" s="71" t="str">
        <x:f>IF(A20="","",H20+I20)</x:f>
      </x:c>
      <x:c r="K20" s="71" t="str">
        <x:f>IF(A20="","",C20-J20)</x:f>
      </x:c>
      <x:c r="L20" s="52"/>
      <x:c r="M20" s="52"/>
      <x:c r="N20" s="53"/>
    </x:row>
    <x:row r="21">
      <x:c r="A21" s="39"/>
      <x:c r="B21" s="40"/>
      <x:c r="C21" s="70"/>
      <x:c r="D21" s="70"/>
      <x:c r="E21" s="70"/>
      <x:c r="F21" s="70" t="str">
        <x:f>IF(A21="","",D21+E21)</x:f>
      </x:c>
      <x:c r="G21" s="70" t="n">
        <x:f>IFERROR(C21/F21,0)</x:f>
        <x:v>0</x:v>
      </x:c>
      <x:c r="H21" s="70" t="str">
        <x:f>IF(A21="","",D21*G21)</x:f>
      </x:c>
      <x:c r="I21" s="70" t="str">
        <x:f>IF(A21="","",E21*G21)</x:f>
      </x:c>
      <x:c r="J21" s="70" t="str">
        <x:f>IF(A21="","",H21+I21)</x:f>
      </x:c>
      <x:c r="K21" s="70" t="str">
        <x:f>IF(A21="","",C21-J21)</x:f>
      </x:c>
      <x:c r="L21" s="40"/>
      <x:c r="M21" s="40"/>
      <x:c r="N21" s="41"/>
    </x:row>
    <x:row r="22">
      <x:c r="A22" s="51"/>
      <x:c r="B22" s="52"/>
      <x:c r="C22" s="71"/>
      <x:c r="D22" s="71"/>
      <x:c r="E22" s="71"/>
      <x:c r="F22" s="71" t="str">
        <x:f>IF(A22="","",D22+E22)</x:f>
      </x:c>
      <x:c r="G22" s="71" t="n">
        <x:f>IFERROR(C22/F22,0)</x:f>
        <x:v>0</x:v>
      </x:c>
      <x:c r="H22" s="71" t="str">
        <x:f>IF(A22="","",D22*G22)</x:f>
      </x:c>
      <x:c r="I22" s="71" t="str">
        <x:f>IF(A22="","",E22*G22)</x:f>
      </x:c>
      <x:c r="J22" s="71" t="str">
        <x:f>IF(A22="","",H22+I22)</x:f>
      </x:c>
      <x:c r="K22" s="71" t="str">
        <x:f>IF(A22="","",C22-J22)</x:f>
      </x:c>
      <x:c r="L22" s="52"/>
      <x:c r="M22" s="52"/>
      <x:c r="N22" s="53"/>
    </x:row>
    <x:row r="23">
      <x:c r="A23" s="39"/>
      <x:c r="B23" s="40"/>
      <x:c r="C23" s="70"/>
      <x:c r="D23" s="70"/>
      <x:c r="E23" s="70"/>
      <x:c r="F23" s="70" t="str">
        <x:f>IF(A23="","",D23+E23)</x:f>
      </x:c>
      <x:c r="G23" s="70" t="n">
        <x:f>IFERROR(C23/F23,0)</x:f>
        <x:v>0</x:v>
      </x:c>
      <x:c r="H23" s="70" t="str">
        <x:f>IF(A23="","",D23*G23)</x:f>
      </x:c>
      <x:c r="I23" s="70" t="str">
        <x:f>IF(A23="","",E23*G23)</x:f>
      </x:c>
      <x:c r="J23" s="70" t="str">
        <x:f>IF(A23="","",H23+I23)</x:f>
      </x:c>
      <x:c r="K23" s="70" t="str">
        <x:f>IF(A23="","",C23-J23)</x:f>
      </x:c>
      <x:c r="L23" s="40"/>
      <x:c r="M23" s="40"/>
      <x:c r="N23" s="41"/>
    </x:row>
    <x:row r="24">
      <x:c r="A24" s="51"/>
      <x:c r="B24" s="52"/>
      <x:c r="C24" s="71"/>
      <x:c r="D24" s="71"/>
      <x:c r="E24" s="71"/>
      <x:c r="F24" s="71" t="str">
        <x:f>IF(A24="","",D24+E24)</x:f>
      </x:c>
      <x:c r="G24" s="71" t="n">
        <x:f>IFERROR(C24/F24,0)</x:f>
        <x:v>0</x:v>
      </x:c>
      <x:c r="H24" s="71" t="str">
        <x:f>IF(A24="","",D24*G24)</x:f>
      </x:c>
      <x:c r="I24" s="71" t="str">
        <x:f>IF(A24="","",E24*G24)</x:f>
      </x:c>
      <x:c r="J24" s="71" t="str">
        <x:f>IF(A24="","",H24+I24)</x:f>
      </x:c>
      <x:c r="K24" s="71" t="str">
        <x:f>IF(A24="","",C24-J24)</x:f>
      </x:c>
      <x:c r="L24" s="52"/>
      <x:c r="M24" s="52"/>
      <x:c r="N24" s="53"/>
    </x:row>
    <x:row r="25">
      <x:c r="A25" s="39"/>
      <x:c r="B25" s="40"/>
      <x:c r="C25" s="70"/>
      <x:c r="D25" s="70"/>
      <x:c r="E25" s="70"/>
      <x:c r="F25" s="70" t="str">
        <x:f>IF(A25="","",D25+E25)</x:f>
      </x:c>
      <x:c r="G25" s="70" t="n">
        <x:f>IFERROR(C25/F25,0)</x:f>
        <x:v>0</x:v>
      </x:c>
      <x:c r="H25" s="70" t="str">
        <x:f>IF(A25="","",D25*G25)</x:f>
      </x:c>
      <x:c r="I25" s="70" t="str">
        <x:f>IF(A25="","",E25*G25)</x:f>
      </x:c>
      <x:c r="J25" s="70" t="str">
        <x:f>IF(A25="","",H25+I25)</x:f>
      </x:c>
      <x:c r="K25" s="70" t="str">
        <x:f>IF(A25="","",C25-J25)</x:f>
      </x:c>
      <x:c r="L25" s="40"/>
      <x:c r="M25" s="40"/>
      <x:c r="N25" s="41"/>
    </x:row>
    <x:row r="26">
      <x:c r="A26" s="51"/>
      <x:c r="B26" s="52"/>
      <x:c r="C26" s="71"/>
      <x:c r="D26" s="71"/>
      <x:c r="E26" s="71"/>
      <x:c r="F26" s="71" t="str">
        <x:f>IF(A26="","",D26+E26)</x:f>
      </x:c>
      <x:c r="G26" s="71" t="n">
        <x:f>IFERROR(C26/F26,0)</x:f>
        <x:v>0</x:v>
      </x:c>
      <x:c r="H26" s="71" t="str">
        <x:f>IF(A26="","",D26*G26)</x:f>
      </x:c>
      <x:c r="I26" s="71" t="str">
        <x:f>IF(A26="","",E26*G26)</x:f>
      </x:c>
      <x:c r="J26" s="71" t="str">
        <x:f>IF(A26="","",H26+I26)</x:f>
      </x:c>
      <x:c r="K26" s="71" t="str">
        <x:f>IF(A26="","",C26-J26)</x:f>
      </x:c>
      <x:c r="L26" s="52"/>
      <x:c r="M26" s="52"/>
      <x:c r="N26" s="53"/>
    </x:row>
    <x:row r="27">
      <x:c r="A27" s="39"/>
      <x:c r="B27" s="40"/>
      <x:c r="C27" s="70"/>
      <x:c r="D27" s="70"/>
      <x:c r="E27" s="70"/>
      <x:c r="F27" s="70" t="str">
        <x:f>IF(A27="","",D27+E27)</x:f>
      </x:c>
      <x:c r="G27" s="70" t="n">
        <x:f>IFERROR(C27/F27,0)</x:f>
        <x:v>0</x:v>
      </x:c>
      <x:c r="H27" s="70" t="str">
        <x:f>IF(A27="","",D27*G27)</x:f>
      </x:c>
      <x:c r="I27" s="70" t="str">
        <x:f>IF(A27="","",E27*G27)</x:f>
      </x:c>
      <x:c r="J27" s="70" t="str">
        <x:f>IF(A27="","",H27+I27)</x:f>
      </x:c>
      <x:c r="K27" s="70" t="str">
        <x:f>IF(A27="","",C27-J27)</x:f>
      </x:c>
      <x:c r="L27" s="40"/>
      <x:c r="M27" s="40"/>
      <x:c r="N27" s="41"/>
    </x:row>
    <x:row r="28">
      <x:c r="A28" s="51"/>
      <x:c r="B28" s="52"/>
      <x:c r="C28" s="71"/>
      <x:c r="D28" s="71"/>
      <x:c r="E28" s="71"/>
      <x:c r="F28" s="71" t="str">
        <x:f>IF(A28="","",D28+E28)</x:f>
      </x:c>
      <x:c r="G28" s="71" t="n">
        <x:f>IFERROR(C28/F28,0)</x:f>
        <x:v>0</x:v>
      </x:c>
      <x:c r="H28" s="71" t="str">
        <x:f>IF(A28="","",D28*G28)</x:f>
      </x:c>
      <x:c r="I28" s="71" t="str">
        <x:f>IF(A28="","",E28*G28)</x:f>
      </x:c>
      <x:c r="J28" s="71" t="str">
        <x:f>IF(A28="","",H28+I28)</x:f>
      </x:c>
      <x:c r="K28" s="71" t="str">
        <x:f>IF(A28="","",C28-J28)</x:f>
      </x:c>
      <x:c r="L28" s="52"/>
      <x:c r="M28" s="52"/>
      <x:c r="N28" s="53"/>
    </x:row>
    <x:row r="29">
      <x:c r="A29" s="39"/>
      <x:c r="B29" s="40"/>
      <x:c r="C29" s="70"/>
      <x:c r="D29" s="70"/>
      <x:c r="E29" s="70"/>
      <x:c r="F29" s="70" t="str">
        <x:f>IF(A29="","",D29+E29)</x:f>
      </x:c>
      <x:c r="G29" s="70" t="n">
        <x:f>IFERROR(C29/F29,0)</x:f>
        <x:v>0</x:v>
      </x:c>
      <x:c r="H29" s="70" t="str">
        <x:f>IF(A29="","",D29*G29)</x:f>
      </x:c>
      <x:c r="I29" s="70" t="str">
        <x:f>IF(A29="","",E29*G29)</x:f>
      </x:c>
      <x:c r="J29" s="70" t="str">
        <x:f>IF(A29="","",H29+I29)</x:f>
      </x:c>
      <x:c r="K29" s="70" t="str">
        <x:f>IF(A29="","",C29-J29)</x:f>
      </x:c>
      <x:c r="L29" s="40"/>
      <x:c r="M29" s="40"/>
      <x:c r="N29" s="41"/>
    </x:row>
    <x:row r="30">
      <x:c r="A30" s="54"/>
      <x:c r="B30" s="55"/>
      <x:c r="C30" s="72"/>
      <x:c r="D30" s="72"/>
      <x:c r="E30" s="72"/>
      <x:c r="F30" s="72" t="str">
        <x:f>IF(A30="","",D30+E30)</x:f>
      </x:c>
      <x:c r="G30" s="72" t="n">
        <x:f>IFERROR(C30/F30,0)</x:f>
        <x:v>0</x:v>
      </x:c>
      <x:c r="H30" s="72" t="str">
        <x:f>IF(A30="","",D30*G30)</x:f>
      </x:c>
      <x:c r="I30" s="72" t="str">
        <x:f>IF(A30="","",E30*G30)</x:f>
      </x:c>
      <x:c r="J30" s="72" t="str">
        <x:f>IF(A30="","",H30+I30)</x:f>
      </x:c>
      <x:c r="K30" s="72" t="str">
        <x:f>IF(A30="","",C30-J30)</x:f>
      </x:c>
      <x:c r="L30" s="55"/>
      <x:c r="M30" s="55"/>
      <x:c r="N30" s="56"/>
    </x:row>
  </x:sheetData>
  <x:mergeCells>
    <x:mergeCell ref="A1:N1"/>
    <x:mergeCell ref="A2:N2"/>
  </x:mergeCells>
  <x:pageMargins left="0.7" right="0.7" top="0.75" bottom="0.75" header="0.3" footer="0.3"/>
  <x:tableParts count="1">
    <x:tablePart xmlns:r="http://schemas.openxmlformats.org/officeDocument/2006/relationships" r:id="R6e40ae42dc49439e"/>
  </x:tableParts>
</x:worksheet>
</file>

<file path=xl/worksheets/sheet9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18" hidden="0" customWidth="1"/>
    <x:col min="2" max="2" width="16" hidden="0" customWidth="1"/>
    <x:col min="3" max="3" width="14" hidden="0" customWidth="1"/>
    <x:col min="4" max="4" width="12" hidden="0" customWidth="1"/>
    <x:col min="5" max="5" width="14" hidden="0" customWidth="1"/>
    <x:col min="6" max="6" width="13" hidden="0" customWidth="1"/>
    <x:col min="7" max="7" width="13" hidden="0" customWidth="1"/>
    <x:col min="8" max="8" width="12" hidden="0" customWidth="1"/>
    <x:col min="9" max="9" width="12" hidden="0" customWidth="1"/>
    <x:col min="10" max="10" width="12" hidden="0" customWidth="1"/>
    <x:col min="11" max="11" width="15" hidden="0" customWidth="1"/>
    <x:col min="12" max="12" width="14" hidden="0" customWidth="1"/>
    <x:col min="13" max="13" width="14" hidden="0" customWidth="1"/>
    <x:col min="14" max="14" width="18" hidden="0" customWidth="1"/>
    <x:col min="15" max="15" width="24" hidden="0" customWidth="1"/>
    <x:col min="16" max="16" width="12" hidden="0" customWidth="1"/>
    <x:col min="17" max="17" width="12" hidden="0" customWidth="1"/>
  </x:cols>
  <x:sheetData>
    <x:row r="1" ht="30" customHeight="1">
      <x:c r="A1" s="87" t="str">
        <x:v>在产品成本表</x:v>
      </x:c>
      <x:c r="B1" s="88"/>
      <x:c r="C1" s="88"/>
      <x:c r="D1" s="88"/>
      <x:c r="E1" s="88"/>
      <x:c r="F1" s="88"/>
      <x:c r="G1" s="88"/>
      <x:c r="H1" s="88"/>
      <x:c r="I1" s="88"/>
      <x:c r="J1" s="88"/>
      <x:c r="K1" s="88"/>
      <x:c r="L1" s="88"/>
      <x:c r="M1" s="88"/>
      <x:c r="N1" s="88"/>
      <x:c r="O1" s="88"/>
      <x:c r="P1" s="88"/>
      <x:c r="Q1" s="88"/>
    </x:row>
    <x:row r="2" ht="24" customHeight="1">
      <x:c r="A2" s="89" t="str">
        <x:v>按实际工单进度或约当产量分配；材料投入时点与转换成本完工率分开</x:v>
      </x:c>
      <x:c r="B2" s="88"/>
      <x:c r="C2" s="88"/>
      <x:c r="D2" s="88"/>
      <x:c r="E2" s="88"/>
      <x:c r="F2" s="88"/>
      <x:c r="G2" s="88"/>
      <x:c r="H2" s="88"/>
      <x:c r="I2" s="88"/>
      <x:c r="J2" s="88"/>
      <x:c r="K2" s="88"/>
      <x:c r="L2" s="88"/>
      <x:c r="M2" s="88"/>
      <x:c r="N2" s="88"/>
      <x:c r="O2" s="88"/>
      <x:c r="P2" s="88"/>
      <x:c r="Q2" s="88"/>
    </x:row>
    <x:row r="3">
      <x:c r="A3" s="88"/>
      <x:c r="B3" s="88"/>
      <x:c r="C3" s="88"/>
      <x:c r="D3" s="88"/>
      <x:c r="E3" s="88"/>
      <x:c r="F3" s="88"/>
      <x:c r="G3" s="88"/>
      <x:c r="H3" s="88"/>
      <x:c r="I3" s="88"/>
      <x:c r="J3" s="88"/>
      <x:c r="K3" s="88"/>
      <x:c r="L3" s="88"/>
      <x:c r="M3" s="88"/>
      <x:c r="N3" s="88"/>
      <x:c r="O3" s="88"/>
      <x:c r="P3" s="88"/>
      <x:c r="Q3" s="88"/>
    </x:row>
    <x:row r="4">
      <x:c r="A4" s="88"/>
      <x:c r="B4" s="88"/>
      <x:c r="C4" s="88"/>
      <x:c r="D4" s="88"/>
      <x:c r="E4" s="88"/>
      <x:c r="F4" s="88"/>
      <x:c r="G4" s="88"/>
      <x:c r="H4" s="88"/>
      <x:c r="I4" s="88"/>
      <x:c r="J4" s="88"/>
      <x:c r="K4" s="88"/>
      <x:c r="L4" s="88"/>
      <x:c r="M4" s="88"/>
      <x:c r="N4" s="88"/>
      <x:c r="O4" s="88"/>
      <x:c r="P4" s="88"/>
      <x:c r="Q4" s="88"/>
    </x:row>
    <x:row r="5" ht="32" customHeight="1">
      <x:c r="A5" s="15" t="str">
        <x:v>产品/工单</x:v>
      </x:c>
      <x:c r="B5" s="16" t="str">
        <x:v>成本项目</x:v>
      </x:c>
      <x:c r="C5" s="16" t="str">
        <x:v>待分配成本</x:v>
      </x:c>
      <x:c r="D5" s="16" t="str">
        <x:v>完工数量</x:v>
      </x:c>
      <x:c r="E5" s="16" t="str">
        <x:v>期末WIP数量</x:v>
      </x:c>
      <x:c r="F5" s="16" t="str">
        <x:v>材料完工率</x:v>
      </x:c>
      <x:c r="G5" s="16" t="str">
        <x:v>转换完工率</x:v>
      </x:c>
      <x:c r="H5" s="16" t="str">
        <x:v>完工约当</x:v>
      </x:c>
      <x:c r="I5" s="16" t="str">
        <x:v>WIP约当</x:v>
      </x:c>
      <x:c r="J5" s="16" t="str">
        <x:v>约当合计</x:v>
      </x:c>
      <x:c r="K5" s="16" t="str">
        <x:v>单位约当成本</x:v>
      </x:c>
      <x:c r="L5" s="16" t="str">
        <x:v>完工成本</x:v>
      </x:c>
      <x:c r="M5" s="16" t="str">
        <x:v>期末WIP成本</x:v>
      </x:c>
      <x:c r="N5" s="16" t="str">
        <x:v>数据来源</x:v>
      </x:c>
      <x:c r="O5" s="16" t="str">
        <x:v>估计依据</x:v>
      </x:c>
      <x:c r="P5" s="16" t="str">
        <x:v>复核人</x:v>
      </x:c>
      <x:c r="Q5" s="17" t="str">
        <x:v>状态</x:v>
      </x:c>
    </x:row>
    <x:row r="6">
      <x:c r="A6" s="48" t="str">
        <x:v>示例工单</x:v>
      </x:c>
      <x:c r="B6" s="49" t="str">
        <x:v>直接材料</x:v>
      </x:c>
      <x:c r="C6" s="69" t="n">
        <x:v>300</x:v>
      </x:c>
      <x:c r="D6" s="69" t="n">
        <x:v>800</x:v>
      </x:c>
      <x:c r="E6" s="69" t="n">
        <x:v>200</x:v>
      </x:c>
      <x:c r="F6" s="73" t="n">
        <x:v>1</x:v>
      </x:c>
      <x:c r="G6" s="73" t="n">
        <x:v>0.5</x:v>
      </x:c>
      <x:c r="H6" s="69" t="n">
        <x:f>IF(A6="","",D6)</x:f>
        <x:v>800</x:v>
      </x:c>
      <x:c r="I6" s="69" t="n">
        <x:f>IF(B6="直接材料",E6*F6,E6*G6)</x:f>
        <x:v>200</x:v>
      </x:c>
      <x:c r="J6" s="69" t="n">
        <x:f>IF(A6="","",H6+I6)</x:f>
        <x:v>1000</x:v>
      </x:c>
      <x:c r="K6" s="69" t="n">
        <x:f>IFERROR(C6/J6,0)</x:f>
        <x:v>0.3</x:v>
      </x:c>
      <x:c r="L6" s="69" t="n">
        <x:f>IF(A6="","",H6*K6)</x:f>
        <x:v>240</x:v>
      </x:c>
      <x:c r="M6" s="69" t="n">
        <x:f>IF(A6="","",I6*K6)</x:f>
        <x:v>60</x:v>
      </x:c>
      <x:c r="N6" s="49" t="str">
        <x:v>BOM/领料</x:v>
      </x:c>
      <x:c r="O6" s="49" t="str">
        <x:v>材料开工一次投入</x:v>
      </x:c>
      <x:c r="P6" s="49" t="str">
        <x:v>主管</x:v>
      </x:c>
      <x:c r="Q6" s="50" t="str">
        <x:v>待复核</x:v>
      </x:c>
    </x:row>
    <x:row r="7">
      <x:c r="A7" s="39" t="str">
        <x:v>示例工单</x:v>
      </x:c>
      <x:c r="B7" s="40" t="str">
        <x:v>转换成本</x:v>
      </x:c>
      <x:c r="C7" s="70" t="n">
        <x:v>200</x:v>
      </x:c>
      <x:c r="D7" s="70" t="n">
        <x:v>800</x:v>
      </x:c>
      <x:c r="E7" s="70" t="n">
        <x:v>200</x:v>
      </x:c>
      <x:c r="F7" s="47" t="n">
        <x:v>1</x:v>
      </x:c>
      <x:c r="G7" s="47" t="n">
        <x:v>0.5</x:v>
      </x:c>
      <x:c r="H7" s="70" t="n">
        <x:f>IF(A7="","",D7)</x:f>
        <x:v>800</x:v>
      </x:c>
      <x:c r="I7" s="70" t="n">
        <x:f>IF(B7="直接材料",E7*F7,E7*G7)</x:f>
        <x:v>100</x:v>
      </x:c>
      <x:c r="J7" s="70" t="n">
        <x:f>IF(A7="","",H7+I7)</x:f>
        <x:v>900</x:v>
      </x:c>
      <x:c r="K7" s="70" t="n">
        <x:f>IFERROR(C7/J7,0)</x:f>
        <x:v>0.2222222222222222</x:v>
      </x:c>
      <x:c r="L7" s="70" t="n">
        <x:f>IF(A7="","",H7*K7)</x:f>
        <x:v>177.77777777777777</x:v>
      </x:c>
      <x:c r="M7" s="70" t="n">
        <x:f>IF(A7="","",I7*K7)</x:f>
        <x:v>22.22222222222222</x:v>
      </x:c>
      <x:c r="N7" s="40" t="str">
        <x:v>工时/制费</x:v>
      </x:c>
      <x:c r="O7" s="40" t="str">
        <x:v>加工进度50%</x:v>
      </x:c>
      <x:c r="P7" s="40" t="str">
        <x:v>主管</x:v>
      </x:c>
      <x:c r="Q7" s="41" t="str">
        <x:v>待复核</x:v>
      </x:c>
    </x:row>
    <x:row r="8">
      <x:c r="A8" s="51"/>
      <x:c r="B8" s="52"/>
      <x:c r="C8" s="71"/>
      <x:c r="D8" s="71"/>
      <x:c r="E8" s="71"/>
      <x:c r="F8" s="74"/>
      <x:c r="G8" s="74"/>
      <x:c r="H8" s="71" t="str">
        <x:f>IF(A8="","",D8)</x:f>
      </x:c>
      <x:c r="I8" s="71" t="n">
        <x:f>IF(B8="直接材料",E8*F8,E8*G8)</x:f>
        <x:v>0</x:v>
      </x:c>
      <x:c r="J8" s="71" t="str">
        <x:f>IF(A8="","",H8+I8)</x:f>
      </x:c>
      <x:c r="K8" s="71" t="n">
        <x:f>IFERROR(C8/J8,0)</x:f>
        <x:v>0</x:v>
      </x:c>
      <x:c r="L8" s="71" t="str">
        <x:f>IF(A8="","",H8*K8)</x:f>
      </x:c>
      <x:c r="M8" s="71" t="str">
        <x:f>IF(A8="","",I8*K8)</x:f>
      </x:c>
      <x:c r="N8" s="52"/>
      <x:c r="O8" s="52"/>
      <x:c r="P8" s="52"/>
      <x:c r="Q8" s="53"/>
    </x:row>
    <x:row r="9">
      <x:c r="A9" s="39"/>
      <x:c r="B9" s="40"/>
      <x:c r="C9" s="70"/>
      <x:c r="D9" s="70"/>
      <x:c r="E9" s="70"/>
      <x:c r="F9" s="47"/>
      <x:c r="G9" s="47"/>
      <x:c r="H9" s="70" t="str">
        <x:f>IF(A9="","",D9)</x:f>
      </x:c>
      <x:c r="I9" s="70" t="n">
        <x:f>IF(B9="直接材料",E9*F9,E9*G9)</x:f>
        <x:v>0</x:v>
      </x:c>
      <x:c r="J9" s="70" t="str">
        <x:f>IF(A9="","",H9+I9)</x:f>
      </x:c>
      <x:c r="K9" s="70" t="n">
        <x:f>IFERROR(C9/J9,0)</x:f>
        <x:v>0</x:v>
      </x:c>
      <x:c r="L9" s="70" t="str">
        <x:f>IF(A9="","",H9*K9)</x:f>
      </x:c>
      <x:c r="M9" s="70" t="str">
        <x:f>IF(A9="","",I9*K9)</x:f>
      </x:c>
      <x:c r="N9" s="40"/>
      <x:c r="O9" s="40"/>
      <x:c r="P9" s="40"/>
      <x:c r="Q9" s="41"/>
    </x:row>
    <x:row r="10">
      <x:c r="A10" s="51"/>
      <x:c r="B10" s="52"/>
      <x:c r="C10" s="71"/>
      <x:c r="D10" s="71"/>
      <x:c r="E10" s="71"/>
      <x:c r="F10" s="74"/>
      <x:c r="G10" s="74"/>
      <x:c r="H10" s="71" t="str">
        <x:f>IF(A10="","",D10)</x:f>
      </x:c>
      <x:c r="I10" s="71" t="n">
        <x:f>IF(B10="直接材料",E10*F10,E10*G10)</x:f>
        <x:v>0</x:v>
      </x:c>
      <x:c r="J10" s="71" t="str">
        <x:f>IF(A10="","",H10+I10)</x:f>
      </x:c>
      <x:c r="K10" s="71" t="n">
        <x:f>IFERROR(C10/J10,0)</x:f>
        <x:v>0</x:v>
      </x:c>
      <x:c r="L10" s="71" t="str">
        <x:f>IF(A10="","",H10*K10)</x:f>
      </x:c>
      <x:c r="M10" s="71" t="str">
        <x:f>IF(A10="","",I10*K10)</x:f>
      </x:c>
      <x:c r="N10" s="52"/>
      <x:c r="O10" s="52"/>
      <x:c r="P10" s="52"/>
      <x:c r="Q10" s="53"/>
    </x:row>
    <x:row r="11">
      <x:c r="A11" s="39"/>
      <x:c r="B11" s="40"/>
      <x:c r="C11" s="70"/>
      <x:c r="D11" s="70"/>
      <x:c r="E11" s="70"/>
      <x:c r="F11" s="47"/>
      <x:c r="G11" s="47"/>
      <x:c r="H11" s="70" t="str">
        <x:f>IF(A11="","",D11)</x:f>
      </x:c>
      <x:c r="I11" s="70" t="n">
        <x:f>IF(B11="直接材料",E11*F11,E11*G11)</x:f>
        <x:v>0</x:v>
      </x:c>
      <x:c r="J11" s="70" t="str">
        <x:f>IF(A11="","",H11+I11)</x:f>
      </x:c>
      <x:c r="K11" s="70" t="n">
        <x:f>IFERROR(C11/J11,0)</x:f>
        <x:v>0</x:v>
      </x:c>
      <x:c r="L11" s="70" t="str">
        <x:f>IF(A11="","",H11*K11)</x:f>
      </x:c>
      <x:c r="M11" s="70" t="str">
        <x:f>IF(A11="","",I11*K11)</x:f>
      </x:c>
      <x:c r="N11" s="40"/>
      <x:c r="O11" s="40"/>
      <x:c r="P11" s="40"/>
      <x:c r="Q11" s="41"/>
    </x:row>
    <x:row r="12">
      <x:c r="A12" s="51"/>
      <x:c r="B12" s="52"/>
      <x:c r="C12" s="71"/>
      <x:c r="D12" s="71"/>
      <x:c r="E12" s="71"/>
      <x:c r="F12" s="74"/>
      <x:c r="G12" s="74"/>
      <x:c r="H12" s="71" t="str">
        <x:f>IF(A12="","",D12)</x:f>
      </x:c>
      <x:c r="I12" s="71" t="n">
        <x:f>IF(B12="直接材料",E12*F12,E12*G12)</x:f>
        <x:v>0</x:v>
      </x:c>
      <x:c r="J12" s="71" t="str">
        <x:f>IF(A12="","",H12+I12)</x:f>
      </x:c>
      <x:c r="K12" s="71" t="n">
        <x:f>IFERROR(C12/J12,0)</x:f>
        <x:v>0</x:v>
      </x:c>
      <x:c r="L12" s="71" t="str">
        <x:f>IF(A12="","",H12*K12)</x:f>
      </x:c>
      <x:c r="M12" s="71" t="str">
        <x:f>IF(A12="","",I12*K12)</x:f>
      </x:c>
      <x:c r="N12" s="52"/>
      <x:c r="O12" s="52"/>
      <x:c r="P12" s="52"/>
      <x:c r="Q12" s="53"/>
    </x:row>
    <x:row r="13">
      <x:c r="A13" s="39"/>
      <x:c r="B13" s="40"/>
      <x:c r="C13" s="70"/>
      <x:c r="D13" s="70"/>
      <x:c r="E13" s="70"/>
      <x:c r="F13" s="47"/>
      <x:c r="G13" s="47"/>
      <x:c r="H13" s="70" t="str">
        <x:f>IF(A13="","",D13)</x:f>
      </x:c>
      <x:c r="I13" s="70" t="n">
        <x:f>IF(B13="直接材料",E13*F13,E13*G13)</x:f>
        <x:v>0</x:v>
      </x:c>
      <x:c r="J13" s="70" t="str">
        <x:f>IF(A13="","",H13+I13)</x:f>
      </x:c>
      <x:c r="K13" s="70" t="n">
        <x:f>IFERROR(C13/J13,0)</x:f>
        <x:v>0</x:v>
      </x:c>
      <x:c r="L13" s="70" t="str">
        <x:f>IF(A13="","",H13*K13)</x:f>
      </x:c>
      <x:c r="M13" s="70" t="str">
        <x:f>IF(A13="","",I13*K13)</x:f>
      </x:c>
      <x:c r="N13" s="40"/>
      <x:c r="O13" s="40"/>
      <x:c r="P13" s="40"/>
      <x:c r="Q13" s="41"/>
    </x:row>
    <x:row r="14">
      <x:c r="A14" s="51"/>
      <x:c r="B14" s="52"/>
      <x:c r="C14" s="71"/>
      <x:c r="D14" s="71"/>
      <x:c r="E14" s="71"/>
      <x:c r="F14" s="74"/>
      <x:c r="G14" s="74"/>
      <x:c r="H14" s="71" t="str">
        <x:f>IF(A14="","",D14)</x:f>
      </x:c>
      <x:c r="I14" s="71" t="n">
        <x:f>IF(B14="直接材料",E14*F14,E14*G14)</x:f>
        <x:v>0</x:v>
      </x:c>
      <x:c r="J14" s="71" t="str">
        <x:f>IF(A14="","",H14+I14)</x:f>
      </x:c>
      <x:c r="K14" s="71" t="n">
        <x:f>IFERROR(C14/J14,0)</x:f>
        <x:v>0</x:v>
      </x:c>
      <x:c r="L14" s="71" t="str">
        <x:f>IF(A14="","",H14*K14)</x:f>
      </x:c>
      <x:c r="M14" s="71" t="str">
        <x:f>IF(A14="","",I14*K14)</x:f>
      </x:c>
      <x:c r="N14" s="52"/>
      <x:c r="O14" s="52"/>
      <x:c r="P14" s="52"/>
      <x:c r="Q14" s="53"/>
    </x:row>
    <x:row r="15">
      <x:c r="A15" s="39"/>
      <x:c r="B15" s="40"/>
      <x:c r="C15" s="70"/>
      <x:c r="D15" s="70"/>
      <x:c r="E15" s="70"/>
      <x:c r="F15" s="47"/>
      <x:c r="G15" s="47"/>
      <x:c r="H15" s="70" t="str">
        <x:f>IF(A15="","",D15)</x:f>
      </x:c>
      <x:c r="I15" s="70" t="n">
        <x:f>IF(B15="直接材料",E15*F15,E15*G15)</x:f>
        <x:v>0</x:v>
      </x:c>
      <x:c r="J15" s="70" t="str">
        <x:f>IF(A15="","",H15+I15)</x:f>
      </x:c>
      <x:c r="K15" s="70" t="n">
        <x:f>IFERROR(C15/J15,0)</x:f>
        <x:v>0</x:v>
      </x:c>
      <x:c r="L15" s="70" t="str">
        <x:f>IF(A15="","",H15*K15)</x:f>
      </x:c>
      <x:c r="M15" s="70" t="str">
        <x:f>IF(A15="","",I15*K15)</x:f>
      </x:c>
      <x:c r="N15" s="40"/>
      <x:c r="O15" s="40"/>
      <x:c r="P15" s="40"/>
      <x:c r="Q15" s="41"/>
    </x:row>
    <x:row r="16">
      <x:c r="A16" s="51"/>
      <x:c r="B16" s="52"/>
      <x:c r="C16" s="71"/>
      <x:c r="D16" s="71"/>
      <x:c r="E16" s="71"/>
      <x:c r="F16" s="74"/>
      <x:c r="G16" s="74"/>
      <x:c r="H16" s="71" t="str">
        <x:f>IF(A16="","",D16)</x:f>
      </x:c>
      <x:c r="I16" s="71" t="n">
        <x:f>IF(B16="直接材料",E16*F16,E16*G16)</x:f>
        <x:v>0</x:v>
      </x:c>
      <x:c r="J16" s="71" t="str">
        <x:f>IF(A16="","",H16+I16)</x:f>
      </x:c>
      <x:c r="K16" s="71" t="n">
        <x:f>IFERROR(C16/J16,0)</x:f>
        <x:v>0</x:v>
      </x:c>
      <x:c r="L16" s="71" t="str">
        <x:f>IF(A16="","",H16*K16)</x:f>
      </x:c>
      <x:c r="M16" s="71" t="str">
        <x:f>IF(A16="","",I16*K16)</x:f>
      </x:c>
      <x:c r="N16" s="52"/>
      <x:c r="O16" s="52"/>
      <x:c r="P16" s="52"/>
      <x:c r="Q16" s="53"/>
    </x:row>
    <x:row r="17">
      <x:c r="A17" s="39"/>
      <x:c r="B17" s="40"/>
      <x:c r="C17" s="70"/>
      <x:c r="D17" s="70"/>
      <x:c r="E17" s="70"/>
      <x:c r="F17" s="47"/>
      <x:c r="G17" s="47"/>
      <x:c r="H17" s="70" t="str">
        <x:f>IF(A17="","",D17)</x:f>
      </x:c>
      <x:c r="I17" s="70" t="n">
        <x:f>IF(B17="直接材料",E17*F17,E17*G17)</x:f>
        <x:v>0</x:v>
      </x:c>
      <x:c r="J17" s="70" t="str">
        <x:f>IF(A17="","",H17+I17)</x:f>
      </x:c>
      <x:c r="K17" s="70" t="n">
        <x:f>IFERROR(C17/J17,0)</x:f>
        <x:v>0</x:v>
      </x:c>
      <x:c r="L17" s="70" t="str">
        <x:f>IF(A17="","",H17*K17)</x:f>
      </x:c>
      <x:c r="M17" s="70" t="str">
        <x:f>IF(A17="","",I17*K17)</x:f>
      </x:c>
      <x:c r="N17" s="40"/>
      <x:c r="O17" s="40"/>
      <x:c r="P17" s="40"/>
      <x:c r="Q17" s="41"/>
    </x:row>
    <x:row r="18">
      <x:c r="A18" s="51"/>
      <x:c r="B18" s="52"/>
      <x:c r="C18" s="71"/>
      <x:c r="D18" s="71"/>
      <x:c r="E18" s="71"/>
      <x:c r="F18" s="74"/>
      <x:c r="G18" s="74"/>
      <x:c r="H18" s="71" t="str">
        <x:f>IF(A18="","",D18)</x:f>
      </x:c>
      <x:c r="I18" s="71" t="n">
        <x:f>IF(B18="直接材料",E18*F18,E18*G18)</x:f>
        <x:v>0</x:v>
      </x:c>
      <x:c r="J18" s="71" t="str">
        <x:f>IF(A18="","",H18+I18)</x:f>
      </x:c>
      <x:c r="K18" s="71" t="n">
        <x:f>IFERROR(C18/J18,0)</x:f>
        <x:v>0</x:v>
      </x:c>
      <x:c r="L18" s="71" t="str">
        <x:f>IF(A18="","",H18*K18)</x:f>
      </x:c>
      <x:c r="M18" s="71" t="str">
        <x:f>IF(A18="","",I18*K18)</x:f>
      </x:c>
      <x:c r="N18" s="52"/>
      <x:c r="O18" s="52"/>
      <x:c r="P18" s="52"/>
      <x:c r="Q18" s="53"/>
    </x:row>
    <x:row r="19">
      <x:c r="A19" s="39"/>
      <x:c r="B19" s="40"/>
      <x:c r="C19" s="70"/>
      <x:c r="D19" s="70"/>
      <x:c r="E19" s="70"/>
      <x:c r="F19" s="47"/>
      <x:c r="G19" s="47"/>
      <x:c r="H19" s="70" t="str">
        <x:f>IF(A19="","",D19)</x:f>
      </x:c>
      <x:c r="I19" s="70" t="n">
        <x:f>IF(B19="直接材料",E19*F19,E19*G19)</x:f>
        <x:v>0</x:v>
      </x:c>
      <x:c r="J19" s="70" t="str">
        <x:f>IF(A19="","",H19+I19)</x:f>
      </x:c>
      <x:c r="K19" s="70" t="n">
        <x:f>IFERROR(C19/J19,0)</x:f>
        <x:v>0</x:v>
      </x:c>
      <x:c r="L19" s="70" t="str">
        <x:f>IF(A19="","",H19*K19)</x:f>
      </x:c>
      <x:c r="M19" s="70" t="str">
        <x:f>IF(A19="","",I19*K19)</x:f>
      </x:c>
      <x:c r="N19" s="40"/>
      <x:c r="O19" s="40"/>
      <x:c r="P19" s="40"/>
      <x:c r="Q19" s="41"/>
    </x:row>
    <x:row r="20">
      <x:c r="A20" s="51"/>
      <x:c r="B20" s="52"/>
      <x:c r="C20" s="71"/>
      <x:c r="D20" s="71"/>
      <x:c r="E20" s="71"/>
      <x:c r="F20" s="74"/>
      <x:c r="G20" s="74"/>
      <x:c r="H20" s="71" t="str">
        <x:f>IF(A20="","",D20)</x:f>
      </x:c>
      <x:c r="I20" s="71" t="n">
        <x:f>IF(B20="直接材料",E20*F20,E20*G20)</x:f>
        <x:v>0</x:v>
      </x:c>
      <x:c r="J20" s="71" t="str">
        <x:f>IF(A20="","",H20+I20)</x:f>
      </x:c>
      <x:c r="K20" s="71" t="n">
        <x:f>IFERROR(C20/J20,0)</x:f>
        <x:v>0</x:v>
      </x:c>
      <x:c r="L20" s="71" t="str">
        <x:f>IF(A20="","",H20*K20)</x:f>
      </x:c>
      <x:c r="M20" s="71" t="str">
        <x:f>IF(A20="","",I20*K20)</x:f>
      </x:c>
      <x:c r="N20" s="52"/>
      <x:c r="O20" s="52"/>
      <x:c r="P20" s="52"/>
      <x:c r="Q20" s="53"/>
    </x:row>
    <x:row r="21">
      <x:c r="A21" s="39"/>
      <x:c r="B21" s="40"/>
      <x:c r="C21" s="70"/>
      <x:c r="D21" s="70"/>
      <x:c r="E21" s="70"/>
      <x:c r="F21" s="47"/>
      <x:c r="G21" s="47"/>
      <x:c r="H21" s="70" t="str">
        <x:f>IF(A21="","",D21)</x:f>
      </x:c>
      <x:c r="I21" s="70" t="n">
        <x:f>IF(B21="直接材料",E21*F21,E21*G21)</x:f>
        <x:v>0</x:v>
      </x:c>
      <x:c r="J21" s="70" t="str">
        <x:f>IF(A21="","",H21+I21)</x:f>
      </x:c>
      <x:c r="K21" s="70" t="n">
        <x:f>IFERROR(C21/J21,0)</x:f>
        <x:v>0</x:v>
      </x:c>
      <x:c r="L21" s="70" t="str">
        <x:f>IF(A21="","",H21*K21)</x:f>
      </x:c>
      <x:c r="M21" s="70" t="str">
        <x:f>IF(A21="","",I21*K21)</x:f>
      </x:c>
      <x:c r="N21" s="40"/>
      <x:c r="O21" s="40"/>
      <x:c r="P21" s="40"/>
      <x:c r="Q21" s="41"/>
    </x:row>
    <x:row r="22">
      <x:c r="A22" s="51"/>
      <x:c r="B22" s="52"/>
      <x:c r="C22" s="71"/>
      <x:c r="D22" s="71"/>
      <x:c r="E22" s="71"/>
      <x:c r="F22" s="74"/>
      <x:c r="G22" s="74"/>
      <x:c r="H22" s="71" t="str">
        <x:f>IF(A22="","",D22)</x:f>
      </x:c>
      <x:c r="I22" s="71" t="n">
        <x:f>IF(B22="直接材料",E22*F22,E22*G22)</x:f>
        <x:v>0</x:v>
      </x:c>
      <x:c r="J22" s="71" t="str">
        <x:f>IF(A22="","",H22+I22)</x:f>
      </x:c>
      <x:c r="K22" s="71" t="n">
        <x:f>IFERROR(C22/J22,0)</x:f>
        <x:v>0</x:v>
      </x:c>
      <x:c r="L22" s="71" t="str">
        <x:f>IF(A22="","",H22*K22)</x:f>
      </x:c>
      <x:c r="M22" s="71" t="str">
        <x:f>IF(A22="","",I22*K22)</x:f>
      </x:c>
      <x:c r="N22" s="52"/>
      <x:c r="O22" s="52"/>
      <x:c r="P22" s="52"/>
      <x:c r="Q22" s="53"/>
    </x:row>
    <x:row r="23">
      <x:c r="A23" s="39"/>
      <x:c r="B23" s="40"/>
      <x:c r="C23" s="70"/>
      <x:c r="D23" s="70"/>
      <x:c r="E23" s="70"/>
      <x:c r="F23" s="47"/>
      <x:c r="G23" s="47"/>
      <x:c r="H23" s="70" t="str">
        <x:f>IF(A23="","",D23)</x:f>
      </x:c>
      <x:c r="I23" s="70" t="n">
        <x:f>IF(B23="直接材料",E23*F23,E23*G23)</x:f>
        <x:v>0</x:v>
      </x:c>
      <x:c r="J23" s="70" t="str">
        <x:f>IF(A23="","",H23+I23)</x:f>
      </x:c>
      <x:c r="K23" s="70" t="n">
        <x:f>IFERROR(C23/J23,0)</x:f>
        <x:v>0</x:v>
      </x:c>
      <x:c r="L23" s="70" t="str">
        <x:f>IF(A23="","",H23*K23)</x:f>
      </x:c>
      <x:c r="M23" s="70" t="str">
        <x:f>IF(A23="","",I23*K23)</x:f>
      </x:c>
      <x:c r="N23" s="40"/>
      <x:c r="O23" s="40"/>
      <x:c r="P23" s="40"/>
      <x:c r="Q23" s="41"/>
    </x:row>
    <x:row r="24">
      <x:c r="A24" s="51"/>
      <x:c r="B24" s="52"/>
      <x:c r="C24" s="71"/>
      <x:c r="D24" s="71"/>
      <x:c r="E24" s="71"/>
      <x:c r="F24" s="74"/>
      <x:c r="G24" s="74"/>
      <x:c r="H24" s="71" t="str">
        <x:f>IF(A24="","",D24)</x:f>
      </x:c>
      <x:c r="I24" s="71" t="n">
        <x:f>IF(B24="直接材料",E24*F24,E24*G24)</x:f>
        <x:v>0</x:v>
      </x:c>
      <x:c r="J24" s="71" t="str">
        <x:f>IF(A24="","",H24+I24)</x:f>
      </x:c>
      <x:c r="K24" s="71" t="n">
        <x:f>IFERROR(C24/J24,0)</x:f>
        <x:v>0</x:v>
      </x:c>
      <x:c r="L24" s="71" t="str">
        <x:f>IF(A24="","",H24*K24)</x:f>
      </x:c>
      <x:c r="M24" s="71" t="str">
        <x:f>IF(A24="","",I24*K24)</x:f>
      </x:c>
      <x:c r="N24" s="52"/>
      <x:c r="O24" s="52"/>
      <x:c r="P24" s="52"/>
      <x:c r="Q24" s="53"/>
    </x:row>
    <x:row r="25">
      <x:c r="A25" s="39"/>
      <x:c r="B25" s="40"/>
      <x:c r="C25" s="70"/>
      <x:c r="D25" s="70"/>
      <x:c r="E25" s="70"/>
      <x:c r="F25" s="47"/>
      <x:c r="G25" s="47"/>
      <x:c r="H25" s="70" t="str">
        <x:f>IF(A25="","",D25)</x:f>
      </x:c>
      <x:c r="I25" s="70" t="n">
        <x:f>IF(B25="直接材料",E25*F25,E25*G25)</x:f>
        <x:v>0</x:v>
      </x:c>
      <x:c r="J25" s="70" t="str">
        <x:f>IF(A25="","",H25+I25)</x:f>
      </x:c>
      <x:c r="K25" s="70" t="n">
        <x:f>IFERROR(C25/J25,0)</x:f>
        <x:v>0</x:v>
      </x:c>
      <x:c r="L25" s="70" t="str">
        <x:f>IF(A25="","",H25*K25)</x:f>
      </x:c>
      <x:c r="M25" s="70" t="str">
        <x:f>IF(A25="","",I25*K25)</x:f>
      </x:c>
      <x:c r="N25" s="40"/>
      <x:c r="O25" s="40"/>
      <x:c r="P25" s="40"/>
      <x:c r="Q25" s="41"/>
    </x:row>
    <x:row r="26">
      <x:c r="A26" s="51"/>
      <x:c r="B26" s="52"/>
      <x:c r="C26" s="71"/>
      <x:c r="D26" s="71"/>
      <x:c r="E26" s="71"/>
      <x:c r="F26" s="74"/>
      <x:c r="G26" s="74"/>
      <x:c r="H26" s="71" t="str">
        <x:f>IF(A26="","",D26)</x:f>
      </x:c>
      <x:c r="I26" s="71" t="n">
        <x:f>IF(B26="直接材料",E26*F26,E26*G26)</x:f>
        <x:v>0</x:v>
      </x:c>
      <x:c r="J26" s="71" t="str">
        <x:f>IF(A26="","",H26+I26)</x:f>
      </x:c>
      <x:c r="K26" s="71" t="n">
        <x:f>IFERROR(C26/J26,0)</x:f>
        <x:v>0</x:v>
      </x:c>
      <x:c r="L26" s="71" t="str">
        <x:f>IF(A26="","",H26*K26)</x:f>
      </x:c>
      <x:c r="M26" s="71" t="str">
        <x:f>IF(A26="","",I26*K26)</x:f>
      </x:c>
      <x:c r="N26" s="52"/>
      <x:c r="O26" s="52"/>
      <x:c r="P26" s="52"/>
      <x:c r="Q26" s="53"/>
    </x:row>
    <x:row r="27">
      <x:c r="A27" s="39"/>
      <x:c r="B27" s="40"/>
      <x:c r="C27" s="70"/>
      <x:c r="D27" s="70"/>
      <x:c r="E27" s="70"/>
      <x:c r="F27" s="47"/>
      <x:c r="G27" s="47"/>
      <x:c r="H27" s="70" t="str">
        <x:f>IF(A27="","",D27)</x:f>
      </x:c>
      <x:c r="I27" s="70" t="n">
        <x:f>IF(B27="直接材料",E27*F27,E27*G27)</x:f>
        <x:v>0</x:v>
      </x:c>
      <x:c r="J27" s="70" t="str">
        <x:f>IF(A27="","",H27+I27)</x:f>
      </x:c>
      <x:c r="K27" s="70" t="n">
        <x:f>IFERROR(C27/J27,0)</x:f>
        <x:v>0</x:v>
      </x:c>
      <x:c r="L27" s="70" t="str">
        <x:f>IF(A27="","",H27*K27)</x:f>
      </x:c>
      <x:c r="M27" s="70" t="str">
        <x:f>IF(A27="","",I27*K27)</x:f>
      </x:c>
      <x:c r="N27" s="40"/>
      <x:c r="O27" s="40"/>
      <x:c r="P27" s="40"/>
      <x:c r="Q27" s="41"/>
    </x:row>
    <x:row r="28">
      <x:c r="A28" s="51"/>
      <x:c r="B28" s="52"/>
      <x:c r="C28" s="71"/>
      <x:c r="D28" s="71"/>
      <x:c r="E28" s="71"/>
      <x:c r="F28" s="74"/>
      <x:c r="G28" s="74"/>
      <x:c r="H28" s="71" t="str">
        <x:f>IF(A28="","",D28)</x:f>
      </x:c>
      <x:c r="I28" s="71" t="n">
        <x:f>IF(B28="直接材料",E28*F28,E28*G28)</x:f>
        <x:v>0</x:v>
      </x:c>
      <x:c r="J28" s="71" t="str">
        <x:f>IF(A28="","",H28+I28)</x:f>
      </x:c>
      <x:c r="K28" s="71" t="n">
        <x:f>IFERROR(C28/J28,0)</x:f>
        <x:v>0</x:v>
      </x:c>
      <x:c r="L28" s="71" t="str">
        <x:f>IF(A28="","",H28*K28)</x:f>
      </x:c>
      <x:c r="M28" s="71" t="str">
        <x:f>IF(A28="","",I28*K28)</x:f>
      </x:c>
      <x:c r="N28" s="52"/>
      <x:c r="O28" s="52"/>
      <x:c r="P28" s="52"/>
      <x:c r="Q28" s="53"/>
    </x:row>
    <x:row r="29">
      <x:c r="A29" s="39"/>
      <x:c r="B29" s="40"/>
      <x:c r="C29" s="70"/>
      <x:c r="D29" s="70"/>
      <x:c r="E29" s="70"/>
      <x:c r="F29" s="47"/>
      <x:c r="G29" s="47"/>
      <x:c r="H29" s="70" t="str">
        <x:f>IF(A29="","",D29)</x:f>
      </x:c>
      <x:c r="I29" s="70" t="n">
        <x:f>IF(B29="直接材料",E29*F29,E29*G29)</x:f>
        <x:v>0</x:v>
      </x:c>
      <x:c r="J29" s="70" t="str">
        <x:f>IF(A29="","",H29+I29)</x:f>
      </x:c>
      <x:c r="K29" s="70" t="n">
        <x:f>IFERROR(C29/J29,0)</x:f>
        <x:v>0</x:v>
      </x:c>
      <x:c r="L29" s="70" t="str">
        <x:f>IF(A29="","",H29*K29)</x:f>
      </x:c>
      <x:c r="M29" s="70" t="str">
        <x:f>IF(A29="","",I29*K29)</x:f>
      </x:c>
      <x:c r="N29" s="40"/>
      <x:c r="O29" s="40"/>
      <x:c r="P29" s="40"/>
      <x:c r="Q29" s="41"/>
    </x:row>
    <x:row r="30">
      <x:c r="A30" s="54"/>
      <x:c r="B30" s="55"/>
      <x:c r="C30" s="72"/>
      <x:c r="D30" s="72"/>
      <x:c r="E30" s="72"/>
      <x:c r="F30" s="75"/>
      <x:c r="G30" s="75"/>
      <x:c r="H30" s="72" t="str">
        <x:f>IF(A30="","",D30)</x:f>
      </x:c>
      <x:c r="I30" s="72" t="n">
        <x:f>IF(B30="直接材料",E30*F30,E30*G30)</x:f>
        <x:v>0</x:v>
      </x:c>
      <x:c r="J30" s="72" t="str">
        <x:f>IF(A30="","",H30+I30)</x:f>
      </x:c>
      <x:c r="K30" s="72" t="n">
        <x:f>IFERROR(C30/J30,0)</x:f>
        <x:v>0</x:v>
      </x:c>
      <x:c r="L30" s="72" t="str">
        <x:f>IF(A30="","",H30*K30)</x:f>
      </x:c>
      <x:c r="M30" s="72" t="str">
        <x:f>IF(A30="","",I30*K30)</x:f>
      </x:c>
      <x:c r="N30" s="55"/>
      <x:c r="O30" s="55"/>
      <x:c r="P30" s="55"/>
      <x:c r="Q30" s="56"/>
    </x:row>
  </x:sheetData>
  <x:mergeCells>
    <x:mergeCell ref="A1:Q1"/>
    <x:mergeCell ref="A2:Q2"/>
  </x:mergeCells>
  <x:conditionalFormatting sqref="Q6:Q30">
    <x:cfRule type="expression" dxfId="15" priority="1">
      <x:formula>INDIRECT("RC",FALSE)="已关闭"</x:formula>
    </x:cfRule>
    <x:cfRule type="expression" dxfId="16" priority="2">
      <x:formula>INDIRECT("RC",FALSE)="进行中"</x:formula>
    </x:cfRule>
    <x:cfRule type="expression" dxfId="17" priority="3">
      <x:formula>INDIRECT("RC",FALSE)="待复核"</x:formula>
    </x:cfRule>
  </x:conditionalFormatting>
  <x:dataValidations count="1">
    <x:dataValidation type="list" sqref="Q6:Q30">
      <x:formula1>"未开始,进行中,待复核,已关闭,不适用"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02941360c344046"/>
  </x:tableParts>
</x:worksheet>
</file>

<file path=xl/worksheets/sheet10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12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5" hidden="0" customWidth="1"/>
    <x:col min="7" max="7" width="14" hidden="0" customWidth="1"/>
    <x:col min="8" max="8" width="13" hidden="0" customWidth="1"/>
    <x:col min="9" max="9" width="14" hidden="0" customWidth="1"/>
    <x:col min="10" max="10" width="12" hidden="0" customWidth="1"/>
    <x:col min="11" max="11" width="14" hidden="0" customWidth="1"/>
    <x:col min="12" max="12" width="18" hidden="0" customWidth="1"/>
    <x:col min="13" max="13" width="20" hidden="0" customWidth="1"/>
    <x:col min="14" max="14" width="18" hidden="0" customWidth="1"/>
    <x:col min="15" max="15" width="12" hidden="0" customWidth="1"/>
  </x:cols>
  <x:sheetData>
    <x:row r="1" ht="30" customHeight="1">
      <x:c r="A1" s="87" t="str">
        <x:v>完工产品成本计算表</x:v>
      </x:c>
      <x:c r="B1" s="88"/>
      <x:c r="C1" s="88"/>
      <x:c r="D1" s="88"/>
      <x:c r="E1" s="88"/>
      <x:c r="F1" s="88"/>
      <x:c r="G1" s="88"/>
      <x:c r="H1" s="88"/>
      <x:c r="I1" s="88"/>
      <x:c r="J1" s="88"/>
      <x:c r="K1" s="88"/>
      <x:c r="L1" s="88"/>
      <x:c r="M1" s="88"/>
      <x:c r="N1" s="88"/>
      <x:c r="O1" s="88"/>
    </x:row>
    <x:row r="2" ht="24" customHeight="1">
      <x:c r="A2" s="89" t="str">
        <x:v>月初WIP＋本期材料＋人工＋制造费用－月末WIP＝完工成本</x:v>
      </x:c>
      <x:c r="B2" s="88"/>
      <x:c r="C2" s="88"/>
      <x:c r="D2" s="88"/>
      <x:c r="E2" s="88"/>
      <x:c r="F2" s="88"/>
      <x:c r="G2" s="88"/>
      <x:c r="H2" s="88"/>
      <x:c r="I2" s="88"/>
      <x:c r="J2" s="88"/>
      <x:c r="K2" s="88"/>
      <x:c r="L2" s="88"/>
      <x:c r="M2" s="88"/>
      <x:c r="N2" s="88"/>
      <x:c r="O2" s="88"/>
    </x:row>
    <x:row r="3">
      <x:c r="A3" s="88"/>
      <x:c r="B3" s="88"/>
      <x:c r="C3" s="88"/>
      <x:c r="D3" s="88"/>
      <x:c r="E3" s="88"/>
      <x:c r="F3" s="88"/>
      <x:c r="G3" s="88"/>
      <x:c r="H3" s="88"/>
      <x:c r="I3" s="88"/>
      <x:c r="J3" s="88"/>
      <x:c r="K3" s="88"/>
      <x:c r="L3" s="88"/>
      <x:c r="M3" s="88"/>
      <x:c r="N3" s="88"/>
      <x:c r="O3" s="88"/>
    </x:row>
    <x:row r="4">
      <x:c r="A4" s="88"/>
      <x:c r="B4" s="88"/>
      <x:c r="C4" s="88"/>
      <x:c r="D4" s="88"/>
      <x:c r="E4" s="88"/>
      <x:c r="F4" s="88"/>
      <x:c r="G4" s="88"/>
      <x:c r="H4" s="88"/>
      <x:c r="I4" s="88"/>
      <x:c r="J4" s="88"/>
      <x:c r="K4" s="88"/>
      <x:c r="L4" s="88"/>
      <x:c r="M4" s="88"/>
      <x:c r="N4" s="88"/>
      <x:c r="O4" s="88"/>
    </x:row>
    <x:row r="5" ht="32" customHeight="1">
      <x:c r="A5" s="15" t="str">
        <x:v>产品</x:v>
      </x:c>
      <x:c r="B5" s="16" t="str">
        <x:v>月初WIP</x:v>
      </x:c>
      <x:c r="C5" s="16" t="str">
        <x:v>直接材料</x:v>
      </x:c>
      <x:c r="D5" s="16" t="str">
        <x:v>直接人工</x:v>
      </x:c>
      <x:c r="E5" s="16" t="str">
        <x:v>制造费用</x:v>
      </x:c>
      <x:c r="F5" s="16" t="str">
        <x:v>本期生产成本</x:v>
      </x:c>
      <x:c r="G5" s="16" t="str">
        <x:v>可供分配</x:v>
      </x:c>
      <x:c r="H5" s="16" t="str">
        <x:v>月末WIP</x:v>
      </x:c>
      <x:c r="I5" s="16" t="str">
        <x:v>完工成本</x:v>
      </x:c>
      <x:c r="J5" s="16" t="str">
        <x:v>完工数量</x:v>
      </x:c>
      <x:c r="K5" s="16" t="str">
        <x:v>单位成本</x:v>
      </x:c>
      <x:c r="L5" s="16" t="str">
        <x:v>工单</x:v>
      </x:c>
      <x:c r="M5" s="16" t="str">
        <x:v>成本方法</x:v>
      </x:c>
      <x:c r="N5" s="16" t="str">
        <x:v>复核结论</x:v>
      </x:c>
      <x:c r="O5" s="17" t="str">
        <x:v>复核人</x:v>
      </x:c>
    </x:row>
    <x:row r="6">
      <x:c r="A6" s="48" t="str">
        <x:v>P100</x:v>
      </x:c>
      <x:c r="B6" s="69" t="n">
        <x:v>40</x:v>
      </x:c>
      <x:c r="C6" s="69" t="n">
        <x:v>200</x:v>
      </x:c>
      <x:c r="D6" s="69" t="n">
        <x:v>60</x:v>
      </x:c>
      <x:c r="E6" s="69" t="n">
        <x:v>135</x:v>
      </x:c>
      <x:c r="F6" s="69" t="n">
        <x:f>IF(A6="","",C6+D6+E6)</x:f>
        <x:v>395</x:v>
      </x:c>
      <x:c r="G6" s="69" t="n">
        <x:f>IF(A6="","",B6+F6)</x:f>
        <x:v>435</x:v>
      </x:c>
      <x:c r="H6" s="69" t="n">
        <x:v>90</x:v>
      </x:c>
      <x:c r="I6" s="69" t="n">
        <x:f>IF(A6="","",G6-H6)</x:f>
        <x:v>345</x:v>
      </x:c>
      <x:c r="J6" s="69" t="n">
        <x:v>150</x:v>
      </x:c>
      <x:c r="K6" s="69" t="n">
        <x:f>IFERROR(I6/J6,0)</x:f>
        <x:v>2.3</x:v>
      </x:c>
      <x:c r="L6" s="49" t="str">
        <x:v>WO-P100-08</x:v>
      </x:c>
      <x:c r="M6" s="49" t="str">
        <x:v>订单/实际成本</x:v>
      </x:c>
      <x:c r="N6" s="49" t="str">
        <x:v>待复核</x:v>
      </x:c>
      <x:c r="O6" s="50" t="str">
        <x:v>主管</x:v>
      </x:c>
    </x:row>
    <x:row r="7">
      <x:c r="A7" s="39" t="str">
        <x:v>C200</x:v>
      </x:c>
      <x:c r="B7" s="70" t="n">
        <x:v>20</x:v>
      </x:c>
      <x:c r="C7" s="70" t="n">
        <x:v>100</x:v>
      </x:c>
      <x:c r="D7" s="70" t="n">
        <x:v>40</x:v>
      </x:c>
      <x:c r="E7" s="70" t="n">
        <x:v>45</x:v>
      </x:c>
      <x:c r="F7" s="70" t="n">
        <x:f>IF(A7="","",C7+D7+E7)</x:f>
        <x:v>185</x:v>
      </x:c>
      <x:c r="G7" s="70" t="n">
        <x:f>IF(A7="","",B7+F7)</x:f>
        <x:v>205</x:v>
      </x:c>
      <x:c r="H7" s="70" t="n">
        <x:v>25</x:v>
      </x:c>
      <x:c r="I7" s="70" t="n">
        <x:f>IF(A7="","",G7-H7)</x:f>
        <x:v>180</x:v>
      </x:c>
      <x:c r="J7" s="70" t="n">
        <x:v>900</x:v>
      </x:c>
      <x:c r="K7" s="70" t="n">
        <x:f>IFERROR(I7/J7,0)</x:f>
        <x:v>0.2</x:v>
      </x:c>
      <x:c r="L7" s="40" t="str">
        <x:v>WO-C200-08</x:v>
      </x:c>
      <x:c r="M7" s="40" t="str">
        <x:v>品种/实际成本</x:v>
      </x:c>
      <x:c r="N7" s="40" t="str">
        <x:v>待复核</x:v>
      </x:c>
      <x:c r="O7" s="41" t="str">
        <x:v>主管</x:v>
      </x:c>
    </x:row>
    <x:row r="8">
      <x:c r="A8" s="51"/>
      <x:c r="B8" s="71"/>
      <x:c r="C8" s="71"/>
      <x:c r="D8" s="71"/>
      <x:c r="E8" s="71"/>
      <x:c r="F8" s="71" t="str">
        <x:f>IF(A8="","",C8+D8+E8)</x:f>
      </x:c>
      <x:c r="G8" s="71" t="str">
        <x:f>IF(A8="","",B8+F8)</x:f>
      </x:c>
      <x:c r="H8" s="71"/>
      <x:c r="I8" s="71" t="str">
        <x:f>IF(A8="","",G8-H8)</x:f>
      </x:c>
      <x:c r="J8" s="71"/>
      <x:c r="K8" s="71" t="n">
        <x:f>IFERROR(I8/J8,0)</x:f>
        <x:v>0</x:v>
      </x:c>
      <x:c r="L8" s="52"/>
      <x:c r="M8" s="52"/>
      <x:c r="N8" s="52"/>
      <x:c r="O8" s="53"/>
    </x:row>
    <x:row r="9">
      <x:c r="A9" s="39"/>
      <x:c r="B9" s="70"/>
      <x:c r="C9" s="70"/>
      <x:c r="D9" s="70"/>
      <x:c r="E9" s="70"/>
      <x:c r="F9" s="70" t="str">
        <x:f>IF(A9="","",C9+D9+E9)</x:f>
      </x:c>
      <x:c r="G9" s="70" t="str">
        <x:f>IF(A9="","",B9+F9)</x:f>
      </x:c>
      <x:c r="H9" s="70"/>
      <x:c r="I9" s="70" t="str">
        <x:f>IF(A9="","",G9-H9)</x:f>
      </x:c>
      <x:c r="J9" s="70"/>
      <x:c r="K9" s="70" t="n">
        <x:f>IFERROR(I9/J9,0)</x:f>
        <x:v>0</x:v>
      </x:c>
      <x:c r="L9" s="40"/>
      <x:c r="M9" s="40"/>
      <x:c r="N9" s="40"/>
      <x:c r="O9" s="41"/>
    </x:row>
    <x:row r="10">
      <x:c r="A10" s="51"/>
      <x:c r="B10" s="71"/>
      <x:c r="C10" s="71"/>
      <x:c r="D10" s="71"/>
      <x:c r="E10" s="71"/>
      <x:c r="F10" s="71" t="str">
        <x:f>IF(A10="","",C10+D10+E10)</x:f>
      </x:c>
      <x:c r="G10" s="71" t="str">
        <x:f>IF(A10="","",B10+F10)</x:f>
      </x:c>
      <x:c r="H10" s="71"/>
      <x:c r="I10" s="71" t="str">
        <x:f>IF(A10="","",G10-H10)</x:f>
      </x:c>
      <x:c r="J10" s="71"/>
      <x:c r="K10" s="71" t="n">
        <x:f>IFERROR(I10/J10,0)</x:f>
        <x:v>0</x:v>
      </x:c>
      <x:c r="L10" s="52"/>
      <x:c r="M10" s="52"/>
      <x:c r="N10" s="52"/>
      <x:c r="O10" s="53"/>
    </x:row>
    <x:row r="11">
      <x:c r="A11" s="39"/>
      <x:c r="B11" s="70"/>
      <x:c r="C11" s="70"/>
      <x:c r="D11" s="70"/>
      <x:c r="E11" s="70"/>
      <x:c r="F11" s="70" t="str">
        <x:f>IF(A11="","",C11+D11+E11)</x:f>
      </x:c>
      <x:c r="G11" s="70" t="str">
        <x:f>IF(A11="","",B11+F11)</x:f>
      </x:c>
      <x:c r="H11" s="70"/>
      <x:c r="I11" s="70" t="str">
        <x:f>IF(A11="","",G11-H11)</x:f>
      </x:c>
      <x:c r="J11" s="70"/>
      <x:c r="K11" s="70" t="n">
        <x:f>IFERROR(I11/J11,0)</x:f>
        <x:v>0</x:v>
      </x:c>
      <x:c r="L11" s="40"/>
      <x:c r="M11" s="40"/>
      <x:c r="N11" s="40"/>
      <x:c r="O11" s="41"/>
    </x:row>
    <x:row r="12">
      <x:c r="A12" s="51"/>
      <x:c r="B12" s="71"/>
      <x:c r="C12" s="71"/>
      <x:c r="D12" s="71"/>
      <x:c r="E12" s="71"/>
      <x:c r="F12" s="71" t="str">
        <x:f>IF(A12="","",C12+D12+E12)</x:f>
      </x:c>
      <x:c r="G12" s="71" t="str">
        <x:f>IF(A12="","",B12+F12)</x:f>
      </x:c>
      <x:c r="H12" s="71"/>
      <x:c r="I12" s="71" t="str">
        <x:f>IF(A12="","",G12-H12)</x:f>
      </x:c>
      <x:c r="J12" s="71"/>
      <x:c r="K12" s="71" t="n">
        <x:f>IFERROR(I12/J12,0)</x:f>
        <x:v>0</x:v>
      </x:c>
      <x:c r="L12" s="52"/>
      <x:c r="M12" s="52"/>
      <x:c r="N12" s="52"/>
      <x:c r="O12" s="53"/>
    </x:row>
    <x:row r="13">
      <x:c r="A13" s="39"/>
      <x:c r="B13" s="70"/>
      <x:c r="C13" s="70"/>
      <x:c r="D13" s="70"/>
      <x:c r="E13" s="70"/>
      <x:c r="F13" s="70" t="str">
        <x:f>IF(A13="","",C13+D13+E13)</x:f>
      </x:c>
      <x:c r="G13" s="70" t="str">
        <x:f>IF(A13="","",B13+F13)</x:f>
      </x:c>
      <x:c r="H13" s="70"/>
      <x:c r="I13" s="70" t="str">
        <x:f>IF(A13="","",G13-H13)</x:f>
      </x:c>
      <x:c r="J13" s="70"/>
      <x:c r="K13" s="70" t="n">
        <x:f>IFERROR(I13/J13,0)</x:f>
        <x:v>0</x:v>
      </x:c>
      <x:c r="L13" s="40"/>
      <x:c r="M13" s="40"/>
      <x:c r="N13" s="40"/>
      <x:c r="O13" s="41"/>
    </x:row>
    <x:row r="14">
      <x:c r="A14" s="51"/>
      <x:c r="B14" s="71"/>
      <x:c r="C14" s="71"/>
      <x:c r="D14" s="71"/>
      <x:c r="E14" s="71"/>
      <x:c r="F14" s="71" t="str">
        <x:f>IF(A14="","",C14+D14+E14)</x:f>
      </x:c>
      <x:c r="G14" s="71" t="str">
        <x:f>IF(A14="","",B14+F14)</x:f>
      </x:c>
      <x:c r="H14" s="71"/>
      <x:c r="I14" s="71" t="str">
        <x:f>IF(A14="","",G14-H14)</x:f>
      </x:c>
      <x:c r="J14" s="71"/>
      <x:c r="K14" s="71" t="n">
        <x:f>IFERROR(I14/J14,0)</x:f>
        <x:v>0</x:v>
      </x:c>
      <x:c r="L14" s="52"/>
      <x:c r="M14" s="52"/>
      <x:c r="N14" s="52"/>
      <x:c r="O14" s="53"/>
    </x:row>
    <x:row r="15">
      <x:c r="A15" s="39"/>
      <x:c r="B15" s="70"/>
      <x:c r="C15" s="70"/>
      <x:c r="D15" s="70"/>
      <x:c r="E15" s="70"/>
      <x:c r="F15" s="70" t="str">
        <x:f>IF(A15="","",C15+D15+E15)</x:f>
      </x:c>
      <x:c r="G15" s="70" t="str">
        <x:f>IF(A15="","",B15+F15)</x:f>
      </x:c>
      <x:c r="H15" s="70"/>
      <x:c r="I15" s="70" t="str">
        <x:f>IF(A15="","",G15-H15)</x:f>
      </x:c>
      <x:c r="J15" s="70"/>
      <x:c r="K15" s="70" t="n">
        <x:f>IFERROR(I15/J15,0)</x:f>
        <x:v>0</x:v>
      </x:c>
      <x:c r="L15" s="40"/>
      <x:c r="M15" s="40"/>
      <x:c r="N15" s="40"/>
      <x:c r="O15" s="41"/>
    </x:row>
    <x:row r="16">
      <x:c r="A16" s="51"/>
      <x:c r="B16" s="71"/>
      <x:c r="C16" s="71"/>
      <x:c r="D16" s="71"/>
      <x:c r="E16" s="71"/>
      <x:c r="F16" s="71" t="str">
        <x:f>IF(A16="","",C16+D16+E16)</x:f>
      </x:c>
      <x:c r="G16" s="71" t="str">
        <x:f>IF(A16="","",B16+F16)</x:f>
      </x:c>
      <x:c r="H16" s="71"/>
      <x:c r="I16" s="71" t="str">
        <x:f>IF(A16="","",G16-H16)</x:f>
      </x:c>
      <x:c r="J16" s="71"/>
      <x:c r="K16" s="71" t="n">
        <x:f>IFERROR(I16/J16,0)</x:f>
        <x:v>0</x:v>
      </x:c>
      <x:c r="L16" s="52"/>
      <x:c r="M16" s="52"/>
      <x:c r="N16" s="52"/>
      <x:c r="O16" s="53"/>
    </x:row>
    <x:row r="17">
      <x:c r="A17" s="39"/>
      <x:c r="B17" s="70"/>
      <x:c r="C17" s="70"/>
      <x:c r="D17" s="70"/>
      <x:c r="E17" s="70"/>
      <x:c r="F17" s="70" t="str">
        <x:f>IF(A17="","",C17+D17+E17)</x:f>
      </x:c>
      <x:c r="G17" s="70" t="str">
        <x:f>IF(A17="","",B17+F17)</x:f>
      </x:c>
      <x:c r="H17" s="70"/>
      <x:c r="I17" s="70" t="str">
        <x:f>IF(A17="","",G17-H17)</x:f>
      </x:c>
      <x:c r="J17" s="70"/>
      <x:c r="K17" s="70" t="n">
        <x:f>IFERROR(I17/J17,0)</x:f>
        <x:v>0</x:v>
      </x:c>
      <x:c r="L17" s="40"/>
      <x:c r="M17" s="40"/>
      <x:c r="N17" s="40"/>
      <x:c r="O17" s="41"/>
    </x:row>
    <x:row r="18">
      <x:c r="A18" s="51"/>
      <x:c r="B18" s="71"/>
      <x:c r="C18" s="71"/>
      <x:c r="D18" s="71"/>
      <x:c r="E18" s="71"/>
      <x:c r="F18" s="71" t="str">
        <x:f>IF(A18="","",C18+D18+E18)</x:f>
      </x:c>
      <x:c r="G18" s="71" t="str">
        <x:f>IF(A18="","",B18+F18)</x:f>
      </x:c>
      <x:c r="H18" s="71"/>
      <x:c r="I18" s="71" t="str">
        <x:f>IF(A18="","",G18-H18)</x:f>
      </x:c>
      <x:c r="J18" s="71"/>
      <x:c r="K18" s="71" t="n">
        <x:f>IFERROR(I18/J18,0)</x:f>
        <x:v>0</x:v>
      </x:c>
      <x:c r="L18" s="52"/>
      <x:c r="M18" s="52"/>
      <x:c r="N18" s="52"/>
      <x:c r="O18" s="53"/>
    </x:row>
    <x:row r="19">
      <x:c r="A19" s="39"/>
      <x:c r="B19" s="70"/>
      <x:c r="C19" s="70"/>
      <x:c r="D19" s="70"/>
      <x:c r="E19" s="70"/>
      <x:c r="F19" s="70" t="str">
        <x:f>IF(A19="","",C19+D19+E19)</x:f>
      </x:c>
      <x:c r="G19" s="70" t="str">
        <x:f>IF(A19="","",B19+F19)</x:f>
      </x:c>
      <x:c r="H19" s="70"/>
      <x:c r="I19" s="70" t="str">
        <x:f>IF(A19="","",G19-H19)</x:f>
      </x:c>
      <x:c r="J19" s="70"/>
      <x:c r="K19" s="70" t="n">
        <x:f>IFERROR(I19/J19,0)</x:f>
        <x:v>0</x:v>
      </x:c>
      <x:c r="L19" s="40"/>
      <x:c r="M19" s="40"/>
      <x:c r="N19" s="40"/>
      <x:c r="O19" s="41"/>
    </x:row>
    <x:row r="20">
      <x:c r="A20" s="51"/>
      <x:c r="B20" s="71"/>
      <x:c r="C20" s="71"/>
      <x:c r="D20" s="71"/>
      <x:c r="E20" s="71"/>
      <x:c r="F20" s="71" t="str">
        <x:f>IF(A20="","",C20+D20+E20)</x:f>
      </x:c>
      <x:c r="G20" s="71" t="str">
        <x:f>IF(A20="","",B20+F20)</x:f>
      </x:c>
      <x:c r="H20" s="71"/>
      <x:c r="I20" s="71" t="str">
        <x:f>IF(A20="","",G20-H20)</x:f>
      </x:c>
      <x:c r="J20" s="71"/>
      <x:c r="K20" s="71" t="n">
        <x:f>IFERROR(I20/J20,0)</x:f>
        <x:v>0</x:v>
      </x:c>
      <x:c r="L20" s="52"/>
      <x:c r="M20" s="52"/>
      <x:c r="N20" s="52"/>
      <x:c r="O20" s="53"/>
    </x:row>
    <x:row r="21">
      <x:c r="A21" s="39"/>
      <x:c r="B21" s="70"/>
      <x:c r="C21" s="70"/>
      <x:c r="D21" s="70"/>
      <x:c r="E21" s="70"/>
      <x:c r="F21" s="70" t="str">
        <x:f>IF(A21="","",C21+D21+E21)</x:f>
      </x:c>
      <x:c r="G21" s="70" t="str">
        <x:f>IF(A21="","",B21+F21)</x:f>
      </x:c>
      <x:c r="H21" s="70"/>
      <x:c r="I21" s="70" t="str">
        <x:f>IF(A21="","",G21-H21)</x:f>
      </x:c>
      <x:c r="J21" s="70"/>
      <x:c r="K21" s="70" t="n">
        <x:f>IFERROR(I21/J21,0)</x:f>
        <x:v>0</x:v>
      </x:c>
      <x:c r="L21" s="40"/>
      <x:c r="M21" s="40"/>
      <x:c r="N21" s="40"/>
      <x:c r="O21" s="41"/>
    </x:row>
    <x:row r="22">
      <x:c r="A22" s="51"/>
      <x:c r="B22" s="71"/>
      <x:c r="C22" s="71"/>
      <x:c r="D22" s="71"/>
      <x:c r="E22" s="71"/>
      <x:c r="F22" s="71" t="str">
        <x:f>IF(A22="","",C22+D22+E22)</x:f>
      </x:c>
      <x:c r="G22" s="71" t="str">
        <x:f>IF(A22="","",B22+F22)</x:f>
      </x:c>
      <x:c r="H22" s="71"/>
      <x:c r="I22" s="71" t="str">
        <x:f>IF(A22="","",G22-H22)</x:f>
      </x:c>
      <x:c r="J22" s="71"/>
      <x:c r="K22" s="71" t="n">
        <x:f>IFERROR(I22/J22,0)</x:f>
        <x:v>0</x:v>
      </x:c>
      <x:c r="L22" s="52"/>
      <x:c r="M22" s="52"/>
      <x:c r="N22" s="52"/>
      <x:c r="O22" s="53"/>
    </x:row>
    <x:row r="23">
      <x:c r="A23" s="39"/>
      <x:c r="B23" s="70"/>
      <x:c r="C23" s="70"/>
      <x:c r="D23" s="70"/>
      <x:c r="E23" s="70"/>
      <x:c r="F23" s="70" t="str">
        <x:f>IF(A23="","",C23+D23+E23)</x:f>
      </x:c>
      <x:c r="G23" s="70" t="str">
        <x:f>IF(A23="","",B23+F23)</x:f>
      </x:c>
      <x:c r="H23" s="70"/>
      <x:c r="I23" s="70" t="str">
        <x:f>IF(A23="","",G23-H23)</x:f>
      </x:c>
      <x:c r="J23" s="70"/>
      <x:c r="K23" s="70" t="n">
        <x:f>IFERROR(I23/J23,0)</x:f>
        <x:v>0</x:v>
      </x:c>
      <x:c r="L23" s="40"/>
      <x:c r="M23" s="40"/>
      <x:c r="N23" s="40"/>
      <x:c r="O23" s="41"/>
    </x:row>
    <x:row r="24">
      <x:c r="A24" s="51"/>
      <x:c r="B24" s="71"/>
      <x:c r="C24" s="71"/>
      <x:c r="D24" s="71"/>
      <x:c r="E24" s="71"/>
      <x:c r="F24" s="71" t="str">
        <x:f>IF(A24="","",C24+D24+E24)</x:f>
      </x:c>
      <x:c r="G24" s="71" t="str">
        <x:f>IF(A24="","",B24+F24)</x:f>
      </x:c>
      <x:c r="H24" s="71"/>
      <x:c r="I24" s="71" t="str">
        <x:f>IF(A24="","",G24-H24)</x:f>
      </x:c>
      <x:c r="J24" s="71"/>
      <x:c r="K24" s="71" t="n">
        <x:f>IFERROR(I24/J24,0)</x:f>
        <x:v>0</x:v>
      </x:c>
      <x:c r="L24" s="52"/>
      <x:c r="M24" s="52"/>
      <x:c r="N24" s="52"/>
      <x:c r="O24" s="53"/>
    </x:row>
    <x:row r="25">
      <x:c r="A25" s="39"/>
      <x:c r="B25" s="70"/>
      <x:c r="C25" s="70"/>
      <x:c r="D25" s="70"/>
      <x:c r="E25" s="70"/>
      <x:c r="F25" s="70" t="str">
        <x:f>IF(A25="","",C25+D25+E25)</x:f>
      </x:c>
      <x:c r="G25" s="70" t="str">
        <x:f>IF(A25="","",B25+F25)</x:f>
      </x:c>
      <x:c r="H25" s="70"/>
      <x:c r="I25" s="70" t="str">
        <x:f>IF(A25="","",G25-H25)</x:f>
      </x:c>
      <x:c r="J25" s="70"/>
      <x:c r="K25" s="70" t="n">
        <x:f>IFERROR(I25/J25,0)</x:f>
        <x:v>0</x:v>
      </x:c>
      <x:c r="L25" s="40"/>
      <x:c r="M25" s="40"/>
      <x:c r="N25" s="40"/>
      <x:c r="O25" s="41"/>
    </x:row>
    <x:row r="26">
      <x:c r="A26" s="51"/>
      <x:c r="B26" s="71"/>
      <x:c r="C26" s="71"/>
      <x:c r="D26" s="71"/>
      <x:c r="E26" s="71"/>
      <x:c r="F26" s="71" t="str">
        <x:f>IF(A26="","",C26+D26+E26)</x:f>
      </x:c>
      <x:c r="G26" s="71" t="str">
        <x:f>IF(A26="","",B26+F26)</x:f>
      </x:c>
      <x:c r="H26" s="71"/>
      <x:c r="I26" s="71" t="str">
        <x:f>IF(A26="","",G26-H26)</x:f>
      </x:c>
      <x:c r="J26" s="71"/>
      <x:c r="K26" s="71" t="n">
        <x:f>IFERROR(I26/J26,0)</x:f>
        <x:v>0</x:v>
      </x:c>
      <x:c r="L26" s="52"/>
      <x:c r="M26" s="52"/>
      <x:c r="N26" s="52"/>
      <x:c r="O26" s="53"/>
    </x:row>
    <x:row r="27">
      <x:c r="A27" s="39"/>
      <x:c r="B27" s="70"/>
      <x:c r="C27" s="70"/>
      <x:c r="D27" s="70"/>
      <x:c r="E27" s="70"/>
      <x:c r="F27" s="70" t="str">
        <x:f>IF(A27="","",C27+D27+E27)</x:f>
      </x:c>
      <x:c r="G27" s="70" t="str">
        <x:f>IF(A27="","",B27+F27)</x:f>
      </x:c>
      <x:c r="H27" s="70"/>
      <x:c r="I27" s="70" t="str">
        <x:f>IF(A27="","",G27-H27)</x:f>
      </x:c>
      <x:c r="J27" s="70"/>
      <x:c r="K27" s="70" t="n">
        <x:f>IFERROR(I27/J27,0)</x:f>
        <x:v>0</x:v>
      </x:c>
      <x:c r="L27" s="40"/>
      <x:c r="M27" s="40"/>
      <x:c r="N27" s="40"/>
      <x:c r="O27" s="41"/>
    </x:row>
    <x:row r="28">
      <x:c r="A28" s="51"/>
      <x:c r="B28" s="71"/>
      <x:c r="C28" s="71"/>
      <x:c r="D28" s="71"/>
      <x:c r="E28" s="71"/>
      <x:c r="F28" s="71" t="str">
        <x:f>IF(A28="","",C28+D28+E28)</x:f>
      </x:c>
      <x:c r="G28" s="71" t="str">
        <x:f>IF(A28="","",B28+F28)</x:f>
      </x:c>
      <x:c r="H28" s="71"/>
      <x:c r="I28" s="71" t="str">
        <x:f>IF(A28="","",G28-H28)</x:f>
      </x:c>
      <x:c r="J28" s="71"/>
      <x:c r="K28" s="71" t="n">
        <x:f>IFERROR(I28/J28,0)</x:f>
        <x:v>0</x:v>
      </x:c>
      <x:c r="L28" s="52"/>
      <x:c r="M28" s="52"/>
      <x:c r="N28" s="52"/>
      <x:c r="O28" s="53"/>
    </x:row>
    <x:row r="29">
      <x:c r="A29" s="39"/>
      <x:c r="B29" s="70"/>
      <x:c r="C29" s="70"/>
      <x:c r="D29" s="70"/>
      <x:c r="E29" s="70"/>
      <x:c r="F29" s="70" t="str">
        <x:f>IF(A29="","",C29+D29+E29)</x:f>
      </x:c>
      <x:c r="G29" s="70" t="str">
        <x:f>IF(A29="","",B29+F29)</x:f>
      </x:c>
      <x:c r="H29" s="70"/>
      <x:c r="I29" s="70" t="str">
        <x:f>IF(A29="","",G29-H29)</x:f>
      </x:c>
      <x:c r="J29" s="70"/>
      <x:c r="K29" s="70" t="n">
        <x:f>IFERROR(I29/J29,0)</x:f>
        <x:v>0</x:v>
      </x:c>
      <x:c r="L29" s="40"/>
      <x:c r="M29" s="40"/>
      <x:c r="N29" s="40"/>
      <x:c r="O29" s="41"/>
    </x:row>
    <x:row r="30">
      <x:c r="A30" s="54"/>
      <x:c r="B30" s="72"/>
      <x:c r="C30" s="72"/>
      <x:c r="D30" s="72"/>
      <x:c r="E30" s="72"/>
      <x:c r="F30" s="72" t="str">
        <x:f>IF(A30="","",C30+D30+E30)</x:f>
      </x:c>
      <x:c r="G30" s="72" t="str">
        <x:f>IF(A30="","",B30+F30)</x:f>
      </x:c>
      <x:c r="H30" s="72"/>
      <x:c r="I30" s="72" t="str">
        <x:f>IF(A30="","",G30-H30)</x:f>
      </x:c>
      <x:c r="J30" s="72"/>
      <x:c r="K30" s="72" t="n">
        <x:f>IFERROR(I30/J30,0)</x:f>
        <x:v>0</x:v>
      </x:c>
      <x:c r="L30" s="55"/>
      <x:c r="M30" s="55"/>
      <x:c r="N30" s="55"/>
      <x:c r="O30" s="56"/>
    </x:row>
  </x:sheetData>
  <x:mergeCells>
    <x:mergeCell ref="A1:O1"/>
    <x:mergeCell ref="A2:O2"/>
  </x:mergeCells>
  <x:pageMargins left="0.7" right="0.7" top="0.75" bottom="0.75" header="0.3" footer="0.3"/>
  <x:tableParts count="1">
    <x:tablePart xmlns:r="http://schemas.openxmlformats.org/officeDocument/2006/relationships" r:id="R930655f61ed44904"/>
  </x:tableParts>
</x:worksheet>
</file>

<file path=xl/worksheets/sheet11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12" hidden="0" customWidth="1"/>
    <x:col min="2" max="2" width="12" hidden="0" customWidth="1"/>
    <x:col min="3" max="3" width="15" hidden="0" customWidth="1"/>
    <x:col min="4" max="4" width="15" hidden="0" customWidth="1"/>
    <x:col min="5" max="5" width="15" hidden="0" customWidth="1"/>
    <x:col min="6" max="6" width="13" hidden="0" customWidth="1"/>
    <x:col min="7" max="7" width="15" hidden="0" customWidth="1"/>
    <x:col min="8" max="8" width="15" hidden="0" customWidth="1"/>
    <x:col min="9" max="9" width="13" hidden="0" customWidth="1"/>
    <x:col min="10" max="10" width="12" hidden="0" customWidth="1"/>
    <x:col min="11" max="11" width="14" hidden="0" customWidth="1"/>
    <x:col min="12" max="12" width="14" hidden="0" customWidth="1"/>
    <x:col min="13" max="13" width="28" hidden="0" customWidth="1"/>
    <x:col min="14" max="14" width="18" hidden="0" customWidth="1"/>
    <x:col min="15" max="15" width="26" hidden="0" customWidth="1"/>
    <x:col min="16" max="16" width="12" hidden="0" customWidth="1"/>
  </x:cols>
  <x:sheetData>
    <x:row r="1" ht="30" customHeight="1">
      <x:c r="A1" s="87" t="str">
        <x:v>产品单位成本分析</x:v>
      </x:c>
      <x:c r="B1" s="88"/>
      <x:c r="C1" s="88"/>
      <x:c r="D1" s="88"/>
      <x:c r="E1" s="88"/>
      <x:c r="F1" s="88"/>
      <x:c r="G1" s="88"/>
      <x:c r="H1" s="88"/>
      <x:c r="I1" s="88"/>
      <x:c r="J1" s="88"/>
      <x:c r="K1" s="88"/>
      <x:c r="L1" s="88"/>
      <x:c r="M1" s="88"/>
      <x:c r="N1" s="88"/>
      <x:c r="O1" s="88"/>
      <x:c r="P1" s="88"/>
    </x:row>
    <x:row r="2" ht="24" customHeight="1">
      <x:c r="A2" s="89" t="str">
        <x:v>按材料、人工、制造费用和WIP影响拆解本期与上期差异</x:v>
      </x:c>
      <x:c r="B2" s="88"/>
      <x:c r="C2" s="88"/>
      <x:c r="D2" s="88"/>
      <x:c r="E2" s="88"/>
      <x:c r="F2" s="88"/>
      <x:c r="G2" s="88"/>
      <x:c r="H2" s="88"/>
      <x:c r="I2" s="88"/>
      <x:c r="J2" s="88"/>
      <x:c r="K2" s="88"/>
      <x:c r="L2" s="88"/>
      <x:c r="M2" s="88"/>
      <x:c r="N2" s="88"/>
      <x:c r="O2" s="88"/>
      <x:c r="P2" s="88"/>
    </x:row>
    <x:row r="3">
      <x:c r="A3" s="88"/>
      <x:c r="B3" s="88"/>
      <x:c r="C3" s="88"/>
      <x:c r="D3" s="88"/>
      <x:c r="E3" s="88"/>
      <x:c r="F3" s="88"/>
      <x:c r="G3" s="88"/>
      <x:c r="H3" s="88"/>
      <x:c r="I3" s="88"/>
      <x:c r="J3" s="88"/>
      <x:c r="K3" s="88"/>
      <x:c r="L3" s="88"/>
      <x:c r="M3" s="88"/>
      <x:c r="N3" s="88"/>
      <x:c r="O3" s="88"/>
      <x:c r="P3" s="88"/>
    </x:row>
    <x:row r="4">
      <x:c r="A4" s="88"/>
      <x:c r="B4" s="88"/>
      <x:c r="C4" s="88"/>
      <x:c r="D4" s="88"/>
      <x:c r="E4" s="88"/>
      <x:c r="F4" s="88"/>
      <x:c r="G4" s="88"/>
      <x:c r="H4" s="88"/>
      <x:c r="I4" s="88"/>
      <x:c r="J4" s="88"/>
      <x:c r="K4" s="88"/>
      <x:c r="L4" s="88"/>
      <x:c r="M4" s="88"/>
      <x:c r="N4" s="88"/>
      <x:c r="O4" s="88"/>
      <x:c r="P4" s="88"/>
    </x:row>
    <x:row r="5" ht="32" customHeight="1">
      <x:c r="A5" s="15" t="str">
        <x:v>产品</x:v>
      </x:c>
      <x:c r="B5" s="16" t="str">
        <x:v>期间</x:v>
      </x:c>
      <x:c r="C5" s="16" t="str">
        <x:v>材料单位成本</x:v>
      </x:c>
      <x:c r="D5" s="16" t="str">
        <x:v>人工单位成本</x:v>
      </x:c>
      <x:c r="E5" s="16" t="str">
        <x:v>制费单位成本</x:v>
      </x:c>
      <x:c r="F5" s="16" t="str">
        <x:v>WIP影响</x:v>
      </x:c>
      <x:c r="G5" s="16" t="str">
        <x:v>本期单位成本</x:v>
      </x:c>
      <x:c r="H5" s="16" t="str">
        <x:v>上期单位成本</x:v>
      </x:c>
      <x:c r="I5" s="16" t="str">
        <x:v>变动额</x:v>
      </x:c>
      <x:c r="J5" s="16" t="str">
        <x:v>变动率</x:v>
      </x:c>
      <x:c r="K5" s="16" t="str">
        <x:v>标准成本</x:v>
      </x:c>
      <x:c r="L5" s="16" t="str">
        <x:v>标准差异</x:v>
      </x:c>
      <x:c r="M5" s="16" t="str">
        <x:v>主要原因</x:v>
      </x:c>
      <x:c r="N5" s="16" t="str">
        <x:v>责任部门</x:v>
      </x:c>
      <x:c r="O5" s="16" t="str">
        <x:v>处理方案</x:v>
      </x:c>
      <x:c r="P5" s="17" t="str">
        <x:v>状态</x:v>
      </x:c>
    </x:row>
    <x:row r="6">
      <x:c r="A6" s="48" t="str">
        <x:v>P100</x:v>
      </x:c>
      <x:c r="B6" s="49" t="str">
        <x:v>2026-08</x:v>
      </x:c>
      <x:c r="C6" s="69" t="n">
        <x:v>1.3333</x:v>
      </x:c>
      <x:c r="D6" s="69" t="n">
        <x:v>0.4</x:v>
      </x:c>
      <x:c r="E6" s="69" t="n">
        <x:v>0.9</x:v>
      </x:c>
      <x:c r="F6" s="69" t="n">
        <x:v>-0.3333</x:v>
      </x:c>
      <x:c r="G6" s="69" t="n">
        <x:f>IF(A6="","",C6+D6+E6+F6)</x:f>
        <x:v>2.3</x:v>
      </x:c>
      <x:c r="H6" s="69" t="n">
        <x:v>1.95</x:v>
      </x:c>
      <x:c r="I6" s="69" t="n">
        <x:f>IF(A6="","",G6-H6)</x:f>
        <x:v>0.34999999999999987</x:v>
      </x:c>
      <x:c r="J6" s="65" t="n">
        <x:f>IFERROR(I6/H6,0)</x:f>
        <x:v>0.17948717948717943</x:v>
      </x:c>
      <x:c r="K6" s="69" t="n">
        <x:v>2.1</x:v>
      </x:c>
      <x:c r="L6" s="69" t="n">
        <x:f>IF(A6="","",G6-K6)</x:f>
        <x:v>0.19999999999999973</x:v>
      </x:c>
      <x:c r="M6" s="49" t="str">
        <x:v>材料/制费/在产品</x:v>
      </x:c>
      <x:c r="N6" s="49" t="str">
        <x:v>生产/采购</x:v>
      </x:c>
      <x:c r="O6" s="49" t="str">
        <x:v>拆价量效率</x:v>
      </x:c>
      <x:c r="P6" s="50" t="str">
        <x:v>待复核</x:v>
      </x:c>
    </x:row>
    <x:row r="7">
      <x:c r="A7" s="39" t="str">
        <x:v>C200</x:v>
      </x:c>
      <x:c r="B7" s="40" t="str">
        <x:v>2026-08</x:v>
      </x:c>
      <x:c r="C7" s="70" t="n">
        <x:v>0.1111</x:v>
      </x:c>
      <x:c r="D7" s="70" t="n">
        <x:v>0.0444</x:v>
      </x:c>
      <x:c r="E7" s="70" t="n">
        <x:v>0.05</x:v>
      </x:c>
      <x:c r="F7" s="70" t="n">
        <x:v>-0.0055</x:v>
      </x:c>
      <x:c r="G7" s="70" t="n">
        <x:f>IF(A7="","",C7+D7+E7+F7)</x:f>
        <x:v>0.2</x:v>
      </x:c>
      <x:c r="H7" s="70" t="n">
        <x:v>0.19</x:v>
      </x:c>
      <x:c r="I7" s="70" t="n">
        <x:f>IF(A7="","",G7-H7)</x:f>
        <x:v>0.010000000000000009</x:v>
      </x:c>
      <x:c r="J7" s="66" t="n">
        <x:f>IFERROR(I7/H7,0)</x:f>
        <x:v>0.05263157894736847</x:v>
      </x:c>
      <x:c r="K7" s="70" t="n">
        <x:v>0.195</x:v>
      </x:c>
      <x:c r="L7" s="70" t="n">
        <x:f>IF(A7="","",G7-K7)</x:f>
        <x:v>0.0050000000000000044</x:v>
      </x:c>
      <x:c r="M7" s="40" t="str">
        <x:v>材料价格</x:v>
      </x:c>
      <x:c r="N7" s="40" t="str">
        <x:v>采购</x:v>
      </x:c>
      <x:c r="O7" s="40" t="str">
        <x:v>跟踪树脂价</x:v>
      </x:c>
      <x:c r="P7" s="41" t="str">
        <x:v>待复核</x:v>
      </x:c>
    </x:row>
    <x:row r="8">
      <x:c r="A8" s="51"/>
      <x:c r="B8" s="52"/>
      <x:c r="C8" s="71"/>
      <x:c r="D8" s="71"/>
      <x:c r="E8" s="71"/>
      <x:c r="F8" s="71"/>
      <x:c r="G8" s="71" t="str">
        <x:f>IF(A8="","",C8+D8+E8+F8)</x:f>
      </x:c>
      <x:c r="H8" s="71"/>
      <x:c r="I8" s="71" t="str">
        <x:f>IF(A8="","",G8-H8)</x:f>
      </x:c>
      <x:c r="J8" s="67" t="n">
        <x:f>IFERROR(I8/H8,0)</x:f>
        <x:v>0</x:v>
      </x:c>
      <x:c r="K8" s="71"/>
      <x:c r="L8" s="71" t="str">
        <x:f>IF(A8="","",G8-K8)</x:f>
      </x:c>
      <x:c r="M8" s="52"/>
      <x:c r="N8" s="52"/>
      <x:c r="O8" s="52"/>
      <x:c r="P8" s="53"/>
    </x:row>
    <x:row r="9">
      <x:c r="A9" s="39"/>
      <x:c r="B9" s="40"/>
      <x:c r="C9" s="70"/>
      <x:c r="D9" s="70"/>
      <x:c r="E9" s="70"/>
      <x:c r="F9" s="70"/>
      <x:c r="G9" s="70" t="str">
        <x:f>IF(A9="","",C9+D9+E9+F9)</x:f>
      </x:c>
      <x:c r="H9" s="70"/>
      <x:c r="I9" s="70" t="str">
        <x:f>IF(A9="","",G9-H9)</x:f>
      </x:c>
      <x:c r="J9" s="66" t="n">
        <x:f>IFERROR(I9/H9,0)</x:f>
        <x:v>0</x:v>
      </x:c>
      <x:c r="K9" s="70"/>
      <x:c r="L9" s="70" t="str">
        <x:f>IF(A9="","",G9-K9)</x:f>
      </x:c>
      <x:c r="M9" s="40"/>
      <x:c r="N9" s="40"/>
      <x:c r="O9" s="40"/>
      <x:c r="P9" s="41"/>
    </x:row>
    <x:row r="10">
      <x:c r="A10" s="51"/>
      <x:c r="B10" s="52"/>
      <x:c r="C10" s="71"/>
      <x:c r="D10" s="71"/>
      <x:c r="E10" s="71"/>
      <x:c r="F10" s="71"/>
      <x:c r="G10" s="71" t="str">
        <x:f>IF(A10="","",C10+D10+E10+F10)</x:f>
      </x:c>
      <x:c r="H10" s="71"/>
      <x:c r="I10" s="71" t="str">
        <x:f>IF(A10="","",G10-H10)</x:f>
      </x:c>
      <x:c r="J10" s="67" t="n">
        <x:f>IFERROR(I10/H10,0)</x:f>
        <x:v>0</x:v>
      </x:c>
      <x:c r="K10" s="71"/>
      <x:c r="L10" s="71" t="str">
        <x:f>IF(A10="","",G10-K10)</x:f>
      </x:c>
      <x:c r="M10" s="52"/>
      <x:c r="N10" s="52"/>
      <x:c r="O10" s="52"/>
      <x:c r="P10" s="53"/>
    </x:row>
    <x:row r="11">
      <x:c r="A11" s="39"/>
      <x:c r="B11" s="40"/>
      <x:c r="C11" s="70"/>
      <x:c r="D11" s="70"/>
      <x:c r="E11" s="70"/>
      <x:c r="F11" s="70"/>
      <x:c r="G11" s="70" t="str">
        <x:f>IF(A11="","",C11+D11+E11+F11)</x:f>
      </x:c>
      <x:c r="H11" s="70"/>
      <x:c r="I11" s="70" t="str">
        <x:f>IF(A11="","",G11-H11)</x:f>
      </x:c>
      <x:c r="J11" s="66" t="n">
        <x:f>IFERROR(I11/H11,0)</x:f>
        <x:v>0</x:v>
      </x:c>
      <x:c r="K11" s="70"/>
      <x:c r="L11" s="70" t="str">
        <x:f>IF(A11="","",G11-K11)</x:f>
      </x:c>
      <x:c r="M11" s="40"/>
      <x:c r="N11" s="40"/>
      <x:c r="O11" s="40"/>
      <x:c r="P11" s="41"/>
    </x:row>
    <x:row r="12">
      <x:c r="A12" s="51"/>
      <x:c r="B12" s="52"/>
      <x:c r="C12" s="71"/>
      <x:c r="D12" s="71"/>
      <x:c r="E12" s="71"/>
      <x:c r="F12" s="71"/>
      <x:c r="G12" s="71" t="str">
        <x:f>IF(A12="","",C12+D12+E12+F12)</x:f>
      </x:c>
      <x:c r="H12" s="71"/>
      <x:c r="I12" s="71" t="str">
        <x:f>IF(A12="","",G12-H12)</x:f>
      </x:c>
      <x:c r="J12" s="67" t="n">
        <x:f>IFERROR(I12/H12,0)</x:f>
        <x:v>0</x:v>
      </x:c>
      <x:c r="K12" s="71"/>
      <x:c r="L12" s="71" t="str">
        <x:f>IF(A12="","",G12-K12)</x:f>
      </x:c>
      <x:c r="M12" s="52"/>
      <x:c r="N12" s="52"/>
      <x:c r="O12" s="52"/>
      <x:c r="P12" s="53"/>
    </x:row>
    <x:row r="13">
      <x:c r="A13" s="39"/>
      <x:c r="B13" s="40"/>
      <x:c r="C13" s="70"/>
      <x:c r="D13" s="70"/>
      <x:c r="E13" s="70"/>
      <x:c r="F13" s="70"/>
      <x:c r="G13" s="70" t="str">
        <x:f>IF(A13="","",C13+D13+E13+F13)</x:f>
      </x:c>
      <x:c r="H13" s="70"/>
      <x:c r="I13" s="70" t="str">
        <x:f>IF(A13="","",G13-H13)</x:f>
      </x:c>
      <x:c r="J13" s="66" t="n">
        <x:f>IFERROR(I13/H13,0)</x:f>
        <x:v>0</x:v>
      </x:c>
      <x:c r="K13" s="70"/>
      <x:c r="L13" s="70" t="str">
        <x:f>IF(A13="","",G13-K13)</x:f>
      </x:c>
      <x:c r="M13" s="40"/>
      <x:c r="N13" s="40"/>
      <x:c r="O13" s="40"/>
      <x:c r="P13" s="41"/>
    </x:row>
    <x:row r="14">
      <x:c r="A14" s="51"/>
      <x:c r="B14" s="52"/>
      <x:c r="C14" s="71"/>
      <x:c r="D14" s="71"/>
      <x:c r="E14" s="71"/>
      <x:c r="F14" s="71"/>
      <x:c r="G14" s="71" t="str">
        <x:f>IF(A14="","",C14+D14+E14+F14)</x:f>
      </x:c>
      <x:c r="H14" s="71"/>
      <x:c r="I14" s="71" t="str">
        <x:f>IF(A14="","",G14-H14)</x:f>
      </x:c>
      <x:c r="J14" s="67" t="n">
        <x:f>IFERROR(I14/H14,0)</x:f>
        <x:v>0</x:v>
      </x:c>
      <x:c r="K14" s="71"/>
      <x:c r="L14" s="71" t="str">
        <x:f>IF(A14="","",G14-K14)</x:f>
      </x:c>
      <x:c r="M14" s="52"/>
      <x:c r="N14" s="52"/>
      <x:c r="O14" s="52"/>
      <x:c r="P14" s="53"/>
    </x:row>
    <x:row r="15">
      <x:c r="A15" s="39"/>
      <x:c r="B15" s="40"/>
      <x:c r="C15" s="70"/>
      <x:c r="D15" s="70"/>
      <x:c r="E15" s="70"/>
      <x:c r="F15" s="70"/>
      <x:c r="G15" s="70" t="str">
        <x:f>IF(A15="","",C15+D15+E15+F15)</x:f>
      </x:c>
      <x:c r="H15" s="70"/>
      <x:c r="I15" s="70" t="str">
        <x:f>IF(A15="","",G15-H15)</x:f>
      </x:c>
      <x:c r="J15" s="66" t="n">
        <x:f>IFERROR(I15/H15,0)</x:f>
        <x:v>0</x:v>
      </x:c>
      <x:c r="K15" s="70"/>
      <x:c r="L15" s="70" t="str">
        <x:f>IF(A15="","",G15-K15)</x:f>
      </x:c>
      <x:c r="M15" s="40"/>
      <x:c r="N15" s="40"/>
      <x:c r="O15" s="40"/>
      <x:c r="P15" s="41"/>
    </x:row>
    <x:row r="16">
      <x:c r="A16" s="51"/>
      <x:c r="B16" s="52"/>
      <x:c r="C16" s="71"/>
      <x:c r="D16" s="71"/>
      <x:c r="E16" s="71"/>
      <x:c r="F16" s="71"/>
      <x:c r="G16" s="71" t="str">
        <x:f>IF(A16="","",C16+D16+E16+F16)</x:f>
      </x:c>
      <x:c r="H16" s="71"/>
      <x:c r="I16" s="71" t="str">
        <x:f>IF(A16="","",G16-H16)</x:f>
      </x:c>
      <x:c r="J16" s="67" t="n">
        <x:f>IFERROR(I16/H16,0)</x:f>
        <x:v>0</x:v>
      </x:c>
      <x:c r="K16" s="71"/>
      <x:c r="L16" s="71" t="str">
        <x:f>IF(A16="","",G16-K16)</x:f>
      </x:c>
      <x:c r="M16" s="52"/>
      <x:c r="N16" s="52"/>
      <x:c r="O16" s="52"/>
      <x:c r="P16" s="53"/>
    </x:row>
    <x:row r="17">
      <x:c r="A17" s="39"/>
      <x:c r="B17" s="40"/>
      <x:c r="C17" s="70"/>
      <x:c r="D17" s="70"/>
      <x:c r="E17" s="70"/>
      <x:c r="F17" s="70"/>
      <x:c r="G17" s="70" t="str">
        <x:f>IF(A17="","",C17+D17+E17+F17)</x:f>
      </x:c>
      <x:c r="H17" s="70"/>
      <x:c r="I17" s="70" t="str">
        <x:f>IF(A17="","",G17-H17)</x:f>
      </x:c>
      <x:c r="J17" s="66" t="n">
        <x:f>IFERROR(I17/H17,0)</x:f>
        <x:v>0</x:v>
      </x:c>
      <x:c r="K17" s="70"/>
      <x:c r="L17" s="70" t="str">
        <x:f>IF(A17="","",G17-K17)</x:f>
      </x:c>
      <x:c r="M17" s="40"/>
      <x:c r="N17" s="40"/>
      <x:c r="O17" s="40"/>
      <x:c r="P17" s="41"/>
    </x:row>
    <x:row r="18">
      <x:c r="A18" s="51"/>
      <x:c r="B18" s="52"/>
      <x:c r="C18" s="71"/>
      <x:c r="D18" s="71"/>
      <x:c r="E18" s="71"/>
      <x:c r="F18" s="71"/>
      <x:c r="G18" s="71" t="str">
        <x:f>IF(A18="","",C18+D18+E18+F18)</x:f>
      </x:c>
      <x:c r="H18" s="71"/>
      <x:c r="I18" s="71" t="str">
        <x:f>IF(A18="","",G18-H18)</x:f>
      </x:c>
      <x:c r="J18" s="67" t="n">
        <x:f>IFERROR(I18/H18,0)</x:f>
        <x:v>0</x:v>
      </x:c>
      <x:c r="K18" s="71"/>
      <x:c r="L18" s="71" t="str">
        <x:f>IF(A18="","",G18-K18)</x:f>
      </x:c>
      <x:c r="M18" s="52"/>
      <x:c r="N18" s="52"/>
      <x:c r="O18" s="52"/>
      <x:c r="P18" s="53"/>
    </x:row>
    <x:row r="19">
      <x:c r="A19" s="39"/>
      <x:c r="B19" s="40"/>
      <x:c r="C19" s="70"/>
      <x:c r="D19" s="70"/>
      <x:c r="E19" s="70"/>
      <x:c r="F19" s="70"/>
      <x:c r="G19" s="70" t="str">
        <x:f>IF(A19="","",C19+D19+E19+F19)</x:f>
      </x:c>
      <x:c r="H19" s="70"/>
      <x:c r="I19" s="70" t="str">
        <x:f>IF(A19="","",G19-H19)</x:f>
      </x:c>
      <x:c r="J19" s="66" t="n">
        <x:f>IFERROR(I19/H19,0)</x:f>
        <x:v>0</x:v>
      </x:c>
      <x:c r="K19" s="70"/>
      <x:c r="L19" s="70" t="str">
        <x:f>IF(A19="","",G19-K19)</x:f>
      </x:c>
      <x:c r="M19" s="40"/>
      <x:c r="N19" s="40"/>
      <x:c r="O19" s="40"/>
      <x:c r="P19" s="41"/>
    </x:row>
    <x:row r="20">
      <x:c r="A20" s="51"/>
      <x:c r="B20" s="52"/>
      <x:c r="C20" s="71"/>
      <x:c r="D20" s="71"/>
      <x:c r="E20" s="71"/>
      <x:c r="F20" s="71"/>
      <x:c r="G20" s="71" t="str">
        <x:f>IF(A20="","",C20+D20+E20+F20)</x:f>
      </x:c>
      <x:c r="H20" s="71"/>
      <x:c r="I20" s="71" t="str">
        <x:f>IF(A20="","",G20-H20)</x:f>
      </x:c>
      <x:c r="J20" s="67" t="n">
        <x:f>IFERROR(I20/H20,0)</x:f>
        <x:v>0</x:v>
      </x:c>
      <x:c r="K20" s="71"/>
      <x:c r="L20" s="71" t="str">
        <x:f>IF(A20="","",G20-K20)</x:f>
      </x:c>
      <x:c r="M20" s="52"/>
      <x:c r="N20" s="52"/>
      <x:c r="O20" s="52"/>
      <x:c r="P20" s="53"/>
    </x:row>
    <x:row r="21">
      <x:c r="A21" s="39"/>
      <x:c r="B21" s="40"/>
      <x:c r="C21" s="70"/>
      <x:c r="D21" s="70"/>
      <x:c r="E21" s="70"/>
      <x:c r="F21" s="70"/>
      <x:c r="G21" s="70" t="str">
        <x:f>IF(A21="","",C21+D21+E21+F21)</x:f>
      </x:c>
      <x:c r="H21" s="70"/>
      <x:c r="I21" s="70" t="str">
        <x:f>IF(A21="","",G21-H21)</x:f>
      </x:c>
      <x:c r="J21" s="66" t="n">
        <x:f>IFERROR(I21/H21,0)</x:f>
        <x:v>0</x:v>
      </x:c>
      <x:c r="K21" s="70"/>
      <x:c r="L21" s="70" t="str">
        <x:f>IF(A21="","",G21-K21)</x:f>
      </x:c>
      <x:c r="M21" s="40"/>
      <x:c r="N21" s="40"/>
      <x:c r="O21" s="40"/>
      <x:c r="P21" s="41"/>
    </x:row>
    <x:row r="22">
      <x:c r="A22" s="51"/>
      <x:c r="B22" s="52"/>
      <x:c r="C22" s="71"/>
      <x:c r="D22" s="71"/>
      <x:c r="E22" s="71"/>
      <x:c r="F22" s="71"/>
      <x:c r="G22" s="71" t="str">
        <x:f>IF(A22="","",C22+D22+E22+F22)</x:f>
      </x:c>
      <x:c r="H22" s="71"/>
      <x:c r="I22" s="71" t="str">
        <x:f>IF(A22="","",G22-H22)</x:f>
      </x:c>
      <x:c r="J22" s="67" t="n">
        <x:f>IFERROR(I22/H22,0)</x:f>
        <x:v>0</x:v>
      </x:c>
      <x:c r="K22" s="71"/>
      <x:c r="L22" s="71" t="str">
        <x:f>IF(A22="","",G22-K22)</x:f>
      </x:c>
      <x:c r="M22" s="52"/>
      <x:c r="N22" s="52"/>
      <x:c r="O22" s="52"/>
      <x:c r="P22" s="53"/>
    </x:row>
    <x:row r="23">
      <x:c r="A23" s="39"/>
      <x:c r="B23" s="40"/>
      <x:c r="C23" s="70"/>
      <x:c r="D23" s="70"/>
      <x:c r="E23" s="70"/>
      <x:c r="F23" s="70"/>
      <x:c r="G23" s="70" t="str">
        <x:f>IF(A23="","",C23+D23+E23+F23)</x:f>
      </x:c>
      <x:c r="H23" s="70"/>
      <x:c r="I23" s="70" t="str">
        <x:f>IF(A23="","",G23-H23)</x:f>
      </x:c>
      <x:c r="J23" s="66" t="n">
        <x:f>IFERROR(I23/H23,0)</x:f>
        <x:v>0</x:v>
      </x:c>
      <x:c r="K23" s="70"/>
      <x:c r="L23" s="70" t="str">
        <x:f>IF(A23="","",G23-K23)</x:f>
      </x:c>
      <x:c r="M23" s="40"/>
      <x:c r="N23" s="40"/>
      <x:c r="O23" s="40"/>
      <x:c r="P23" s="41"/>
    </x:row>
    <x:row r="24">
      <x:c r="A24" s="51"/>
      <x:c r="B24" s="52"/>
      <x:c r="C24" s="71"/>
      <x:c r="D24" s="71"/>
      <x:c r="E24" s="71"/>
      <x:c r="F24" s="71"/>
      <x:c r="G24" s="71" t="str">
        <x:f>IF(A24="","",C24+D24+E24+F24)</x:f>
      </x:c>
      <x:c r="H24" s="71"/>
      <x:c r="I24" s="71" t="str">
        <x:f>IF(A24="","",G24-H24)</x:f>
      </x:c>
      <x:c r="J24" s="67" t="n">
        <x:f>IFERROR(I24/H24,0)</x:f>
        <x:v>0</x:v>
      </x:c>
      <x:c r="K24" s="71"/>
      <x:c r="L24" s="71" t="str">
        <x:f>IF(A24="","",G24-K24)</x:f>
      </x:c>
      <x:c r="M24" s="52"/>
      <x:c r="N24" s="52"/>
      <x:c r="O24" s="52"/>
      <x:c r="P24" s="53"/>
    </x:row>
    <x:row r="25">
      <x:c r="A25" s="39"/>
      <x:c r="B25" s="40"/>
      <x:c r="C25" s="70"/>
      <x:c r="D25" s="70"/>
      <x:c r="E25" s="70"/>
      <x:c r="F25" s="70"/>
      <x:c r="G25" s="70" t="str">
        <x:f>IF(A25="","",C25+D25+E25+F25)</x:f>
      </x:c>
      <x:c r="H25" s="70"/>
      <x:c r="I25" s="70" t="str">
        <x:f>IF(A25="","",G25-H25)</x:f>
      </x:c>
      <x:c r="J25" s="66" t="n">
        <x:f>IFERROR(I25/H25,0)</x:f>
        <x:v>0</x:v>
      </x:c>
      <x:c r="K25" s="70"/>
      <x:c r="L25" s="70" t="str">
        <x:f>IF(A25="","",G25-K25)</x:f>
      </x:c>
      <x:c r="M25" s="40"/>
      <x:c r="N25" s="40"/>
      <x:c r="O25" s="40"/>
      <x:c r="P25" s="41"/>
    </x:row>
    <x:row r="26">
      <x:c r="A26" s="51"/>
      <x:c r="B26" s="52"/>
      <x:c r="C26" s="71"/>
      <x:c r="D26" s="71"/>
      <x:c r="E26" s="71"/>
      <x:c r="F26" s="71"/>
      <x:c r="G26" s="71" t="str">
        <x:f>IF(A26="","",C26+D26+E26+F26)</x:f>
      </x:c>
      <x:c r="H26" s="71"/>
      <x:c r="I26" s="71" t="str">
        <x:f>IF(A26="","",G26-H26)</x:f>
      </x:c>
      <x:c r="J26" s="67" t="n">
        <x:f>IFERROR(I26/H26,0)</x:f>
        <x:v>0</x:v>
      </x:c>
      <x:c r="K26" s="71"/>
      <x:c r="L26" s="71" t="str">
        <x:f>IF(A26="","",G26-K26)</x:f>
      </x:c>
      <x:c r="M26" s="52"/>
      <x:c r="N26" s="52"/>
      <x:c r="O26" s="52"/>
      <x:c r="P26" s="53"/>
    </x:row>
    <x:row r="27">
      <x:c r="A27" s="39"/>
      <x:c r="B27" s="40"/>
      <x:c r="C27" s="70"/>
      <x:c r="D27" s="70"/>
      <x:c r="E27" s="70"/>
      <x:c r="F27" s="70"/>
      <x:c r="G27" s="70" t="str">
        <x:f>IF(A27="","",C27+D27+E27+F27)</x:f>
      </x:c>
      <x:c r="H27" s="70"/>
      <x:c r="I27" s="70" t="str">
        <x:f>IF(A27="","",G27-H27)</x:f>
      </x:c>
      <x:c r="J27" s="66" t="n">
        <x:f>IFERROR(I27/H27,0)</x:f>
        <x:v>0</x:v>
      </x:c>
      <x:c r="K27" s="70"/>
      <x:c r="L27" s="70" t="str">
        <x:f>IF(A27="","",G27-K27)</x:f>
      </x:c>
      <x:c r="M27" s="40"/>
      <x:c r="N27" s="40"/>
      <x:c r="O27" s="40"/>
      <x:c r="P27" s="41"/>
    </x:row>
    <x:row r="28">
      <x:c r="A28" s="51"/>
      <x:c r="B28" s="52"/>
      <x:c r="C28" s="71"/>
      <x:c r="D28" s="71"/>
      <x:c r="E28" s="71"/>
      <x:c r="F28" s="71"/>
      <x:c r="G28" s="71" t="str">
        <x:f>IF(A28="","",C28+D28+E28+F28)</x:f>
      </x:c>
      <x:c r="H28" s="71"/>
      <x:c r="I28" s="71" t="str">
        <x:f>IF(A28="","",G28-H28)</x:f>
      </x:c>
      <x:c r="J28" s="67" t="n">
        <x:f>IFERROR(I28/H28,0)</x:f>
        <x:v>0</x:v>
      </x:c>
      <x:c r="K28" s="71"/>
      <x:c r="L28" s="71" t="str">
        <x:f>IF(A28="","",G28-K28)</x:f>
      </x:c>
      <x:c r="M28" s="52"/>
      <x:c r="N28" s="52"/>
      <x:c r="O28" s="52"/>
      <x:c r="P28" s="53"/>
    </x:row>
    <x:row r="29">
      <x:c r="A29" s="39"/>
      <x:c r="B29" s="40"/>
      <x:c r="C29" s="70"/>
      <x:c r="D29" s="70"/>
      <x:c r="E29" s="70"/>
      <x:c r="F29" s="70"/>
      <x:c r="G29" s="70" t="str">
        <x:f>IF(A29="","",C29+D29+E29+F29)</x:f>
      </x:c>
      <x:c r="H29" s="70"/>
      <x:c r="I29" s="70" t="str">
        <x:f>IF(A29="","",G29-H29)</x:f>
      </x:c>
      <x:c r="J29" s="66" t="n">
        <x:f>IFERROR(I29/H29,0)</x:f>
        <x:v>0</x:v>
      </x:c>
      <x:c r="K29" s="70"/>
      <x:c r="L29" s="70" t="str">
        <x:f>IF(A29="","",G29-K29)</x:f>
      </x:c>
      <x:c r="M29" s="40"/>
      <x:c r="N29" s="40"/>
      <x:c r="O29" s="40"/>
      <x:c r="P29" s="41"/>
    </x:row>
    <x:row r="30">
      <x:c r="A30" s="54"/>
      <x:c r="B30" s="55"/>
      <x:c r="C30" s="72"/>
      <x:c r="D30" s="72"/>
      <x:c r="E30" s="72"/>
      <x:c r="F30" s="72"/>
      <x:c r="G30" s="72" t="str">
        <x:f>IF(A30="","",C30+D30+E30+F30)</x:f>
      </x:c>
      <x:c r="H30" s="72"/>
      <x:c r="I30" s="72" t="str">
        <x:f>IF(A30="","",G30-H30)</x:f>
      </x:c>
      <x:c r="J30" s="68" t="n">
        <x:f>IFERROR(I30/H30,0)</x:f>
        <x:v>0</x:v>
      </x:c>
      <x:c r="K30" s="72"/>
      <x:c r="L30" s="72" t="str">
        <x:f>IF(A30="","",G30-K30)</x:f>
      </x:c>
      <x:c r="M30" s="55"/>
      <x:c r="N30" s="55"/>
      <x:c r="O30" s="55"/>
      <x:c r="P30" s="56"/>
    </x:row>
  </x:sheetData>
  <x:mergeCells>
    <x:mergeCell ref="A1:P1"/>
    <x:mergeCell ref="A2:P2"/>
  </x:mergeCells>
  <x:conditionalFormatting sqref="P6:P30">
    <x:cfRule type="expression" dxfId="18" priority="1">
      <x:formula>INDIRECT("RC",FALSE)="已关闭"</x:formula>
    </x:cfRule>
    <x:cfRule type="expression" dxfId="19" priority="2">
      <x:formula>INDIRECT("RC",FALSE)="进行中"</x:formula>
    </x:cfRule>
    <x:cfRule type="expression" dxfId="20" priority="3">
      <x:formula>INDIRECT("RC",FALSE)="待复核"</x:formula>
    </x:cfRule>
  </x:conditionalFormatting>
  <x:dataValidations count="1">
    <x:dataValidation type="list" sqref="P6:P30">
      <x:formula1>"未开始,进行中,待复核,已关闭,不适用"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399385cdb464d50"/>
  </x:tableParts>
</x:worksheet>
</file>

<file path=xl/worksheets/sheet12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12" hidden="0" customWidth="1"/>
    <x:col min="2" max="2" width="12" hidden="0" customWidth="1"/>
    <x:col min="3" max="3" width="14" hidden="0" customWidth="1"/>
    <x:col min="4" max="4" width="12" hidden="0" customWidth="1"/>
    <x:col min="5" max="5" width="13" hidden="0" customWidth="1"/>
    <x:col min="6" max="6" width="14" hidden="0" customWidth="1"/>
    <x:col min="7" max="7" width="15" hidden="0" customWidth="1"/>
    <x:col min="8" max="8" width="12" hidden="0" customWidth="1"/>
    <x:col min="9" max="9" width="14" hidden="0" customWidth="1"/>
    <x:col min="10" max="10" width="15" hidden="0" customWidth="1"/>
    <x:col min="11" max="11" width="14" hidden="0" customWidth="1"/>
    <x:col min="12" max="12" width="14" hidden="0" customWidth="1"/>
    <x:col min="13" max="13" width="12" hidden="0" customWidth="1"/>
    <x:col min="14" max="14" width="13" hidden="0" customWidth="1"/>
    <x:col min="15" max="15" width="12" hidden="0" customWidth="1"/>
  </x:cols>
  <x:sheetData>
    <x:row r="1" ht="30" customHeight="1">
      <x:c r="A1" s="87" t="str">
        <x:v>毛利率分析</x:v>
      </x:c>
      <x:c r="B1" s="88"/>
      <x:c r="C1" s="88"/>
      <x:c r="D1" s="88"/>
      <x:c r="E1" s="88"/>
      <x:c r="F1" s="88"/>
      <x:c r="G1" s="88"/>
      <x:c r="H1" s="88"/>
      <x:c r="I1" s="88"/>
      <x:c r="J1" s="88"/>
      <x:c r="K1" s="88"/>
      <x:c r="L1" s="88"/>
      <x:c r="M1" s="88"/>
      <x:c r="N1" s="88"/>
      <x:c r="O1" s="88"/>
    </x:row>
    <x:row r="2" ht="24" customHeight="1">
      <x:c r="A2" s="89" t="str">
        <x:v>收入－销售成本＝毛利；拆售价、数量、组合和成本，不以毛利合理替代成本核对</x:v>
      </x:c>
      <x:c r="B2" s="88"/>
      <x:c r="C2" s="88"/>
      <x:c r="D2" s="88"/>
      <x:c r="E2" s="88"/>
      <x:c r="F2" s="88"/>
      <x:c r="G2" s="88"/>
      <x:c r="H2" s="88"/>
      <x:c r="I2" s="88"/>
      <x:c r="J2" s="88"/>
      <x:c r="K2" s="88"/>
      <x:c r="L2" s="88"/>
      <x:c r="M2" s="88"/>
      <x:c r="N2" s="88"/>
      <x:c r="O2" s="88"/>
    </x:row>
    <x:row r="3">
      <x:c r="A3" s="88"/>
      <x:c r="B3" s="88"/>
      <x:c r="C3" s="88"/>
      <x:c r="D3" s="88"/>
      <x:c r="E3" s="88"/>
      <x:c r="F3" s="88"/>
      <x:c r="G3" s="88"/>
      <x:c r="H3" s="88"/>
      <x:c r="I3" s="88"/>
      <x:c r="J3" s="88"/>
      <x:c r="K3" s="88"/>
      <x:c r="L3" s="88"/>
      <x:c r="M3" s="88"/>
      <x:c r="N3" s="88"/>
      <x:c r="O3" s="88"/>
    </x:row>
    <x:row r="4">
      <x:c r="A4" s="88"/>
      <x:c r="B4" s="88"/>
      <x:c r="C4" s="88"/>
      <x:c r="D4" s="88"/>
      <x:c r="E4" s="88"/>
      <x:c r="F4" s="88"/>
      <x:c r="G4" s="88"/>
      <x:c r="H4" s="88"/>
      <x:c r="I4" s="88"/>
      <x:c r="J4" s="88"/>
      <x:c r="K4" s="88"/>
      <x:c r="L4" s="88"/>
      <x:c r="M4" s="88"/>
      <x:c r="N4" s="88"/>
      <x:c r="O4" s="88"/>
    </x:row>
    <x:row r="5" ht="32" customHeight="1">
      <x:c r="A5" s="15" t="str">
        <x:v>产品</x:v>
      </x:c>
      <x:c r="B5" s="16" t="str">
        <x:v>销售数量</x:v>
      </x:c>
      <x:c r="C5" s="16" t="str">
        <x:v>销售收入</x:v>
      </x:c>
      <x:c r="D5" s="16" t="str">
        <x:v>月初数量</x:v>
      </x:c>
      <x:c r="E5" s="16" t="str">
        <x:v>月初成本</x:v>
      </x:c>
      <x:c r="F5" s="16" t="str">
        <x:v>本月完工数量</x:v>
      </x:c>
      <x:c r="G5" s="16" t="str">
        <x:v>本月完工成本</x:v>
      </x:c>
      <x:c r="H5" s="16" t="str">
        <x:v>可售数量</x:v>
      </x:c>
      <x:c r="I5" s="16" t="str">
        <x:v>可售成本</x:v>
      </x:c>
      <x:c r="J5" s="16" t="str">
        <x:v>加权单位成本</x:v>
      </x:c>
      <x:c r="K5" s="16" t="str">
        <x:v>销售成本</x:v>
      </x:c>
      <x:c r="L5" s="16" t="str">
        <x:v>毛利</x:v>
      </x:c>
      <x:c r="M5" s="16" t="str">
        <x:v>毛利率</x:v>
      </x:c>
      <x:c r="N5" s="16" t="str">
        <x:v>上期毛利率</x:v>
      </x:c>
      <x:c r="O5" s="17" t="str">
        <x:v>变化</x:v>
      </x:c>
    </x:row>
    <x:row r="6">
      <x:c r="A6" s="48" t="str">
        <x:v>P100</x:v>
      </x:c>
      <x:c r="B6" s="61" t="n">
        <x:v>100</x:v>
      </x:c>
      <x:c r="C6" s="61" t="n">
        <x:v>500</x:v>
      </x:c>
      <x:c r="D6" s="61" t="n">
        <x:v>20</x:v>
      </x:c>
      <x:c r="E6" s="61" t="n">
        <x:v>44</x:v>
      </x:c>
      <x:c r="F6" s="61" t="n">
        <x:v>150</x:v>
      </x:c>
      <x:c r="G6" s="61" t="n">
        <x:v>345</x:v>
      </x:c>
      <x:c r="H6" s="61" t="n">
        <x:f>IF(A6="","",D6+F6)</x:f>
        <x:v>170</x:v>
      </x:c>
      <x:c r="I6" s="61" t="n">
        <x:f>IF(A6="","",E6+G6)</x:f>
        <x:v>389</x:v>
      </x:c>
      <x:c r="J6" s="61" t="n">
        <x:f>IFERROR(I6/H6,0)</x:f>
        <x:v>2.288235294117647</x:v>
      </x:c>
      <x:c r="K6" s="61" t="n">
        <x:f>IF(A6="","",B6*J6)</x:f>
        <x:v>228.8235294117647</x:v>
      </x:c>
      <x:c r="L6" s="61" t="n">
        <x:f>IF(A6="","",C6-K6)</x:f>
        <x:v>271.1764705882353</x:v>
      </x:c>
      <x:c r="M6" s="65" t="n">
        <x:f>IFERROR(L6/C6,0)</x:f>
        <x:v>0.5423529411764706</x:v>
      </x:c>
      <x:c r="N6" s="65" t="n">
        <x:v>0.55</x:v>
      </x:c>
      <x:c r="O6" s="76" t="n">
        <x:f>IF(A6="","",M6-N6)</x:f>
        <x:v>-0.007647058823529451</x:v>
      </x:c>
    </x:row>
    <x:row r="7">
      <x:c r="A7" s="39" t="str">
        <x:v>C200</x:v>
      </x:c>
      <x:c r="B7" s="62" t="n">
        <x:v>600</x:v>
      </x:c>
      <x:c r="C7" s="62" t="n">
        <x:v>210</x:v>
      </x:c>
      <x:c r="D7" s="62" t="n">
        <x:v>100</x:v>
      </x:c>
      <x:c r="E7" s="62" t="n">
        <x:v>18</x:v>
      </x:c>
      <x:c r="F7" s="62" t="n">
        <x:v>900</x:v>
      </x:c>
      <x:c r="G7" s="62" t="n">
        <x:v>180</x:v>
      </x:c>
      <x:c r="H7" s="62" t="n">
        <x:f>IF(A7="","",D7+F7)</x:f>
        <x:v>1000</x:v>
      </x:c>
      <x:c r="I7" s="62" t="n">
        <x:f>IF(A7="","",E7+G7)</x:f>
        <x:v>198</x:v>
      </x:c>
      <x:c r="J7" s="62" t="n">
        <x:f>IFERROR(I7/H7,0)</x:f>
        <x:v>0.198</x:v>
      </x:c>
      <x:c r="K7" s="62" t="n">
        <x:f>IF(A7="","",B7*J7)</x:f>
        <x:v>118.80000000000001</x:v>
      </x:c>
      <x:c r="L7" s="62" t="n">
        <x:f>IF(A7="","",C7-K7)</x:f>
        <x:v>91.19999999999999</x:v>
      </x:c>
      <x:c r="M7" s="66" t="n">
        <x:f>IFERROR(L7/C7,0)</x:f>
        <x:v>0.4342857142857142</x:v>
      </x:c>
      <x:c r="N7" s="66" t="n">
        <x:v>0.48</x:v>
      </x:c>
      <x:c r="O7" s="77" t="n">
        <x:f>IF(A7="","",M7-N7)</x:f>
        <x:v>-0.04571428571428576</x:v>
      </x:c>
    </x:row>
    <x:row r="8">
      <x:c r="A8" s="51"/>
      <x:c r="B8" s="63"/>
      <x:c r="C8" s="63"/>
      <x:c r="D8" s="63"/>
      <x:c r="E8" s="63"/>
      <x:c r="F8" s="63"/>
      <x:c r="G8" s="63"/>
      <x:c r="H8" s="63" t="str">
        <x:f>IF(A8="","",D8+F8)</x:f>
      </x:c>
      <x:c r="I8" s="63" t="str">
        <x:f>IF(A8="","",E8+G8)</x:f>
      </x:c>
      <x:c r="J8" s="63" t="n">
        <x:f>IFERROR(I8/H8,0)</x:f>
        <x:v>0</x:v>
      </x:c>
      <x:c r="K8" s="63" t="str">
        <x:f>IF(A8="","",B8*J8)</x:f>
      </x:c>
      <x:c r="L8" s="63" t="str">
        <x:f>IF(A8="","",C8-K8)</x:f>
      </x:c>
      <x:c r="M8" s="67" t="n">
        <x:f>IFERROR(L8/C8,0)</x:f>
        <x:v>0</x:v>
      </x:c>
      <x:c r="N8" s="67"/>
      <x:c r="O8" s="78" t="str">
        <x:f>IF(A8="","",M8-N8)</x:f>
      </x:c>
    </x:row>
    <x:row r="9">
      <x:c r="A9" s="39"/>
      <x:c r="B9" s="62"/>
      <x:c r="C9" s="62"/>
      <x:c r="D9" s="62"/>
      <x:c r="E9" s="62"/>
      <x:c r="F9" s="62"/>
      <x:c r="G9" s="62"/>
      <x:c r="H9" s="62" t="str">
        <x:f>IF(A9="","",D9+F9)</x:f>
      </x:c>
      <x:c r="I9" s="62" t="str">
        <x:f>IF(A9="","",E9+G9)</x:f>
      </x:c>
      <x:c r="J9" s="62" t="n">
        <x:f>IFERROR(I9/H9,0)</x:f>
        <x:v>0</x:v>
      </x:c>
      <x:c r="K9" s="62" t="str">
        <x:f>IF(A9="","",B9*J9)</x:f>
      </x:c>
      <x:c r="L9" s="62" t="str">
        <x:f>IF(A9="","",C9-K9)</x:f>
      </x:c>
      <x:c r="M9" s="66" t="n">
        <x:f>IFERROR(L9/C9,0)</x:f>
        <x:v>0</x:v>
      </x:c>
      <x:c r="N9" s="66"/>
      <x:c r="O9" s="77" t="str">
        <x:f>IF(A9="","",M9-N9)</x:f>
      </x:c>
    </x:row>
    <x:row r="10">
      <x:c r="A10" s="51"/>
      <x:c r="B10" s="63"/>
      <x:c r="C10" s="63"/>
      <x:c r="D10" s="63"/>
      <x:c r="E10" s="63"/>
      <x:c r="F10" s="63"/>
      <x:c r="G10" s="63"/>
      <x:c r="H10" s="63" t="str">
        <x:f>IF(A10="","",D10+F10)</x:f>
      </x:c>
      <x:c r="I10" s="63" t="str">
        <x:f>IF(A10="","",E10+G10)</x:f>
      </x:c>
      <x:c r="J10" s="63" t="n">
        <x:f>IFERROR(I10/H10,0)</x:f>
        <x:v>0</x:v>
      </x:c>
      <x:c r="K10" s="63" t="str">
        <x:f>IF(A10="","",B10*J10)</x:f>
      </x:c>
      <x:c r="L10" s="63" t="str">
        <x:f>IF(A10="","",C10-K10)</x:f>
      </x:c>
      <x:c r="M10" s="67" t="n">
        <x:f>IFERROR(L10/C10,0)</x:f>
        <x:v>0</x:v>
      </x:c>
      <x:c r="N10" s="67"/>
      <x:c r="O10" s="78" t="str">
        <x:f>IF(A10="","",M10-N10)</x:f>
      </x:c>
    </x:row>
    <x:row r="11">
      <x:c r="A11" s="39"/>
      <x:c r="B11" s="62"/>
      <x:c r="C11" s="62"/>
      <x:c r="D11" s="62"/>
      <x:c r="E11" s="62"/>
      <x:c r="F11" s="62"/>
      <x:c r="G11" s="62"/>
      <x:c r="H11" s="62" t="str">
        <x:f>IF(A11="","",D11+F11)</x:f>
      </x:c>
      <x:c r="I11" s="62" t="str">
        <x:f>IF(A11="","",E11+G11)</x:f>
      </x:c>
      <x:c r="J11" s="62" t="n">
        <x:f>IFERROR(I11/H11,0)</x:f>
        <x:v>0</x:v>
      </x:c>
      <x:c r="K11" s="62" t="str">
        <x:f>IF(A11="","",B11*J11)</x:f>
      </x:c>
      <x:c r="L11" s="62" t="str">
        <x:f>IF(A11="","",C11-K11)</x:f>
      </x:c>
      <x:c r="M11" s="66" t="n">
        <x:f>IFERROR(L11/C11,0)</x:f>
        <x:v>0</x:v>
      </x:c>
      <x:c r="N11" s="66"/>
      <x:c r="O11" s="77" t="str">
        <x:f>IF(A11="","",M11-N11)</x:f>
      </x:c>
    </x:row>
    <x:row r="12">
      <x:c r="A12" s="51"/>
      <x:c r="B12" s="63"/>
      <x:c r="C12" s="63"/>
      <x:c r="D12" s="63"/>
      <x:c r="E12" s="63"/>
      <x:c r="F12" s="63"/>
      <x:c r="G12" s="63"/>
      <x:c r="H12" s="63" t="str">
        <x:f>IF(A12="","",D12+F12)</x:f>
      </x:c>
      <x:c r="I12" s="63" t="str">
        <x:f>IF(A12="","",E12+G12)</x:f>
      </x:c>
      <x:c r="J12" s="63" t="n">
        <x:f>IFERROR(I12/H12,0)</x:f>
        <x:v>0</x:v>
      </x:c>
      <x:c r="K12" s="63" t="str">
        <x:f>IF(A12="","",B12*J12)</x:f>
      </x:c>
      <x:c r="L12" s="63" t="str">
        <x:f>IF(A12="","",C12-K12)</x:f>
      </x:c>
      <x:c r="M12" s="67" t="n">
        <x:f>IFERROR(L12/C12,0)</x:f>
        <x:v>0</x:v>
      </x:c>
      <x:c r="N12" s="67"/>
      <x:c r="O12" s="78" t="str">
        <x:f>IF(A12="","",M12-N12)</x:f>
      </x:c>
    </x:row>
    <x:row r="13">
      <x:c r="A13" s="39"/>
      <x:c r="B13" s="62"/>
      <x:c r="C13" s="62"/>
      <x:c r="D13" s="62"/>
      <x:c r="E13" s="62"/>
      <x:c r="F13" s="62"/>
      <x:c r="G13" s="62"/>
      <x:c r="H13" s="62" t="str">
        <x:f>IF(A13="","",D13+F13)</x:f>
      </x:c>
      <x:c r="I13" s="62" t="str">
        <x:f>IF(A13="","",E13+G13)</x:f>
      </x:c>
      <x:c r="J13" s="62" t="n">
        <x:f>IFERROR(I13/H13,0)</x:f>
        <x:v>0</x:v>
      </x:c>
      <x:c r="K13" s="62" t="str">
        <x:f>IF(A13="","",B13*J13)</x:f>
      </x:c>
      <x:c r="L13" s="62" t="str">
        <x:f>IF(A13="","",C13-K13)</x:f>
      </x:c>
      <x:c r="M13" s="66" t="n">
        <x:f>IFERROR(L13/C13,0)</x:f>
        <x:v>0</x:v>
      </x:c>
      <x:c r="N13" s="66"/>
      <x:c r="O13" s="77" t="str">
        <x:f>IF(A13="","",M13-N13)</x:f>
      </x:c>
    </x:row>
    <x:row r="14">
      <x:c r="A14" s="51"/>
      <x:c r="B14" s="63"/>
      <x:c r="C14" s="63"/>
      <x:c r="D14" s="63"/>
      <x:c r="E14" s="63"/>
      <x:c r="F14" s="63"/>
      <x:c r="G14" s="63"/>
      <x:c r="H14" s="63" t="str">
        <x:f>IF(A14="","",D14+F14)</x:f>
      </x:c>
      <x:c r="I14" s="63" t="str">
        <x:f>IF(A14="","",E14+G14)</x:f>
      </x:c>
      <x:c r="J14" s="63" t="n">
        <x:f>IFERROR(I14/H14,0)</x:f>
        <x:v>0</x:v>
      </x:c>
      <x:c r="K14" s="63" t="str">
        <x:f>IF(A14="","",B14*J14)</x:f>
      </x:c>
      <x:c r="L14" s="63" t="str">
        <x:f>IF(A14="","",C14-K14)</x:f>
      </x:c>
      <x:c r="M14" s="67" t="n">
        <x:f>IFERROR(L14/C14,0)</x:f>
        <x:v>0</x:v>
      </x:c>
      <x:c r="N14" s="67"/>
      <x:c r="O14" s="78" t="str">
        <x:f>IF(A14="","",M14-N14)</x:f>
      </x:c>
    </x:row>
    <x:row r="15">
      <x:c r="A15" s="39"/>
      <x:c r="B15" s="62"/>
      <x:c r="C15" s="62"/>
      <x:c r="D15" s="62"/>
      <x:c r="E15" s="62"/>
      <x:c r="F15" s="62"/>
      <x:c r="G15" s="62"/>
      <x:c r="H15" s="62" t="str">
        <x:f>IF(A15="","",D15+F15)</x:f>
      </x:c>
      <x:c r="I15" s="62" t="str">
        <x:f>IF(A15="","",E15+G15)</x:f>
      </x:c>
      <x:c r="J15" s="62" t="n">
        <x:f>IFERROR(I15/H15,0)</x:f>
        <x:v>0</x:v>
      </x:c>
      <x:c r="K15" s="62" t="str">
        <x:f>IF(A15="","",B15*J15)</x:f>
      </x:c>
      <x:c r="L15" s="62" t="str">
        <x:f>IF(A15="","",C15-K15)</x:f>
      </x:c>
      <x:c r="M15" s="66" t="n">
        <x:f>IFERROR(L15/C15,0)</x:f>
        <x:v>0</x:v>
      </x:c>
      <x:c r="N15" s="66"/>
      <x:c r="O15" s="77" t="str">
        <x:f>IF(A15="","",M15-N15)</x:f>
      </x:c>
    </x:row>
    <x:row r="16">
      <x:c r="A16" s="51"/>
      <x:c r="B16" s="63"/>
      <x:c r="C16" s="63"/>
      <x:c r="D16" s="63"/>
      <x:c r="E16" s="63"/>
      <x:c r="F16" s="63"/>
      <x:c r="G16" s="63"/>
      <x:c r="H16" s="63" t="str">
        <x:f>IF(A16="","",D16+F16)</x:f>
      </x:c>
      <x:c r="I16" s="63" t="str">
        <x:f>IF(A16="","",E16+G16)</x:f>
      </x:c>
      <x:c r="J16" s="63" t="n">
        <x:f>IFERROR(I16/H16,0)</x:f>
        <x:v>0</x:v>
      </x:c>
      <x:c r="K16" s="63" t="str">
        <x:f>IF(A16="","",B16*J16)</x:f>
      </x:c>
      <x:c r="L16" s="63" t="str">
        <x:f>IF(A16="","",C16-K16)</x:f>
      </x:c>
      <x:c r="M16" s="67" t="n">
        <x:f>IFERROR(L16/C16,0)</x:f>
        <x:v>0</x:v>
      </x:c>
      <x:c r="N16" s="67"/>
      <x:c r="O16" s="78" t="str">
        <x:f>IF(A16="","",M16-N16)</x:f>
      </x:c>
    </x:row>
    <x:row r="17">
      <x:c r="A17" s="39"/>
      <x:c r="B17" s="62"/>
      <x:c r="C17" s="62"/>
      <x:c r="D17" s="62"/>
      <x:c r="E17" s="62"/>
      <x:c r="F17" s="62"/>
      <x:c r="G17" s="62"/>
      <x:c r="H17" s="62" t="str">
        <x:f>IF(A17="","",D17+F17)</x:f>
      </x:c>
      <x:c r="I17" s="62" t="str">
        <x:f>IF(A17="","",E17+G17)</x:f>
      </x:c>
      <x:c r="J17" s="62" t="n">
        <x:f>IFERROR(I17/H17,0)</x:f>
        <x:v>0</x:v>
      </x:c>
      <x:c r="K17" s="62" t="str">
        <x:f>IF(A17="","",B17*J17)</x:f>
      </x:c>
      <x:c r="L17" s="62" t="str">
        <x:f>IF(A17="","",C17-K17)</x:f>
      </x:c>
      <x:c r="M17" s="66" t="n">
        <x:f>IFERROR(L17/C17,0)</x:f>
        <x:v>0</x:v>
      </x:c>
      <x:c r="N17" s="66"/>
      <x:c r="O17" s="77" t="str">
        <x:f>IF(A17="","",M17-N17)</x:f>
      </x:c>
    </x:row>
    <x:row r="18">
      <x:c r="A18" s="51"/>
      <x:c r="B18" s="63"/>
      <x:c r="C18" s="63"/>
      <x:c r="D18" s="63"/>
      <x:c r="E18" s="63"/>
      <x:c r="F18" s="63"/>
      <x:c r="G18" s="63"/>
      <x:c r="H18" s="63" t="str">
        <x:f>IF(A18="","",D18+F18)</x:f>
      </x:c>
      <x:c r="I18" s="63" t="str">
        <x:f>IF(A18="","",E18+G18)</x:f>
      </x:c>
      <x:c r="J18" s="63" t="n">
        <x:f>IFERROR(I18/H18,0)</x:f>
        <x:v>0</x:v>
      </x:c>
      <x:c r="K18" s="63" t="str">
        <x:f>IF(A18="","",B18*J18)</x:f>
      </x:c>
      <x:c r="L18" s="63" t="str">
        <x:f>IF(A18="","",C18-K18)</x:f>
      </x:c>
      <x:c r="M18" s="67" t="n">
        <x:f>IFERROR(L18/C18,0)</x:f>
        <x:v>0</x:v>
      </x:c>
      <x:c r="N18" s="67"/>
      <x:c r="O18" s="78" t="str">
        <x:f>IF(A18="","",M18-N18)</x:f>
      </x:c>
    </x:row>
    <x:row r="19">
      <x:c r="A19" s="39"/>
      <x:c r="B19" s="62"/>
      <x:c r="C19" s="62"/>
      <x:c r="D19" s="62"/>
      <x:c r="E19" s="62"/>
      <x:c r="F19" s="62"/>
      <x:c r="G19" s="62"/>
      <x:c r="H19" s="62" t="str">
        <x:f>IF(A19="","",D19+F19)</x:f>
      </x:c>
      <x:c r="I19" s="62" t="str">
        <x:f>IF(A19="","",E19+G19)</x:f>
      </x:c>
      <x:c r="J19" s="62" t="n">
        <x:f>IFERROR(I19/H19,0)</x:f>
        <x:v>0</x:v>
      </x:c>
      <x:c r="K19" s="62" t="str">
        <x:f>IF(A19="","",B19*J19)</x:f>
      </x:c>
      <x:c r="L19" s="62" t="str">
        <x:f>IF(A19="","",C19-K19)</x:f>
      </x:c>
      <x:c r="M19" s="66" t="n">
        <x:f>IFERROR(L19/C19,0)</x:f>
        <x:v>0</x:v>
      </x:c>
      <x:c r="N19" s="66"/>
      <x:c r="O19" s="77" t="str">
        <x:f>IF(A19="","",M19-N19)</x:f>
      </x:c>
    </x:row>
    <x:row r="20">
      <x:c r="A20" s="51"/>
      <x:c r="B20" s="63"/>
      <x:c r="C20" s="63"/>
      <x:c r="D20" s="63"/>
      <x:c r="E20" s="63"/>
      <x:c r="F20" s="63"/>
      <x:c r="G20" s="63"/>
      <x:c r="H20" s="63" t="str">
        <x:f>IF(A20="","",D20+F20)</x:f>
      </x:c>
      <x:c r="I20" s="63" t="str">
        <x:f>IF(A20="","",E20+G20)</x:f>
      </x:c>
      <x:c r="J20" s="63" t="n">
        <x:f>IFERROR(I20/H20,0)</x:f>
        <x:v>0</x:v>
      </x:c>
      <x:c r="K20" s="63" t="str">
        <x:f>IF(A20="","",B20*J20)</x:f>
      </x:c>
      <x:c r="L20" s="63" t="str">
        <x:f>IF(A20="","",C20-K20)</x:f>
      </x:c>
      <x:c r="M20" s="67" t="n">
        <x:f>IFERROR(L20/C20,0)</x:f>
        <x:v>0</x:v>
      </x:c>
      <x:c r="N20" s="67"/>
      <x:c r="O20" s="78" t="str">
        <x:f>IF(A20="","",M20-N20)</x:f>
      </x:c>
    </x:row>
    <x:row r="21">
      <x:c r="A21" s="39"/>
      <x:c r="B21" s="62"/>
      <x:c r="C21" s="62"/>
      <x:c r="D21" s="62"/>
      <x:c r="E21" s="62"/>
      <x:c r="F21" s="62"/>
      <x:c r="G21" s="62"/>
      <x:c r="H21" s="62" t="str">
        <x:f>IF(A21="","",D21+F21)</x:f>
      </x:c>
      <x:c r="I21" s="62" t="str">
        <x:f>IF(A21="","",E21+G21)</x:f>
      </x:c>
      <x:c r="J21" s="62" t="n">
        <x:f>IFERROR(I21/H21,0)</x:f>
        <x:v>0</x:v>
      </x:c>
      <x:c r="K21" s="62" t="str">
        <x:f>IF(A21="","",B21*J21)</x:f>
      </x:c>
      <x:c r="L21" s="62" t="str">
        <x:f>IF(A21="","",C21-K21)</x:f>
      </x:c>
      <x:c r="M21" s="66" t="n">
        <x:f>IFERROR(L21/C21,0)</x:f>
        <x:v>0</x:v>
      </x:c>
      <x:c r="N21" s="66"/>
      <x:c r="O21" s="77" t="str">
        <x:f>IF(A21="","",M21-N21)</x:f>
      </x:c>
    </x:row>
    <x:row r="22">
      <x:c r="A22" s="51"/>
      <x:c r="B22" s="63"/>
      <x:c r="C22" s="63"/>
      <x:c r="D22" s="63"/>
      <x:c r="E22" s="63"/>
      <x:c r="F22" s="63"/>
      <x:c r="G22" s="63"/>
      <x:c r="H22" s="63" t="str">
        <x:f>IF(A22="","",D22+F22)</x:f>
      </x:c>
      <x:c r="I22" s="63" t="str">
        <x:f>IF(A22="","",E22+G22)</x:f>
      </x:c>
      <x:c r="J22" s="63" t="n">
        <x:f>IFERROR(I22/H22,0)</x:f>
        <x:v>0</x:v>
      </x:c>
      <x:c r="K22" s="63" t="str">
        <x:f>IF(A22="","",B22*J22)</x:f>
      </x:c>
      <x:c r="L22" s="63" t="str">
        <x:f>IF(A22="","",C22-K22)</x:f>
      </x:c>
      <x:c r="M22" s="67" t="n">
        <x:f>IFERROR(L22/C22,0)</x:f>
        <x:v>0</x:v>
      </x:c>
      <x:c r="N22" s="67"/>
      <x:c r="O22" s="78" t="str">
        <x:f>IF(A22="","",M22-N22)</x:f>
      </x:c>
    </x:row>
    <x:row r="23">
      <x:c r="A23" s="39"/>
      <x:c r="B23" s="62"/>
      <x:c r="C23" s="62"/>
      <x:c r="D23" s="62"/>
      <x:c r="E23" s="62"/>
      <x:c r="F23" s="62"/>
      <x:c r="G23" s="62"/>
      <x:c r="H23" s="62" t="str">
        <x:f>IF(A23="","",D23+F23)</x:f>
      </x:c>
      <x:c r="I23" s="62" t="str">
        <x:f>IF(A23="","",E23+G23)</x:f>
      </x:c>
      <x:c r="J23" s="62" t="n">
        <x:f>IFERROR(I23/H23,0)</x:f>
        <x:v>0</x:v>
      </x:c>
      <x:c r="K23" s="62" t="str">
        <x:f>IF(A23="","",B23*J23)</x:f>
      </x:c>
      <x:c r="L23" s="62" t="str">
        <x:f>IF(A23="","",C23-K23)</x:f>
      </x:c>
      <x:c r="M23" s="66" t="n">
        <x:f>IFERROR(L23/C23,0)</x:f>
        <x:v>0</x:v>
      </x:c>
      <x:c r="N23" s="66"/>
      <x:c r="O23" s="77" t="str">
        <x:f>IF(A23="","",M23-N23)</x:f>
      </x:c>
    </x:row>
    <x:row r="24">
      <x:c r="A24" s="51"/>
      <x:c r="B24" s="63"/>
      <x:c r="C24" s="63"/>
      <x:c r="D24" s="63"/>
      <x:c r="E24" s="63"/>
      <x:c r="F24" s="63"/>
      <x:c r="G24" s="63"/>
      <x:c r="H24" s="63" t="str">
        <x:f>IF(A24="","",D24+F24)</x:f>
      </x:c>
      <x:c r="I24" s="63" t="str">
        <x:f>IF(A24="","",E24+G24)</x:f>
      </x:c>
      <x:c r="J24" s="63" t="n">
        <x:f>IFERROR(I24/H24,0)</x:f>
        <x:v>0</x:v>
      </x:c>
      <x:c r="K24" s="63" t="str">
        <x:f>IF(A24="","",B24*J24)</x:f>
      </x:c>
      <x:c r="L24" s="63" t="str">
        <x:f>IF(A24="","",C24-K24)</x:f>
      </x:c>
      <x:c r="M24" s="67" t="n">
        <x:f>IFERROR(L24/C24,0)</x:f>
        <x:v>0</x:v>
      </x:c>
      <x:c r="N24" s="67"/>
      <x:c r="O24" s="78" t="str">
        <x:f>IF(A24="","",M24-N24)</x:f>
      </x:c>
    </x:row>
    <x:row r="25">
      <x:c r="A25" s="39"/>
      <x:c r="B25" s="62"/>
      <x:c r="C25" s="62"/>
      <x:c r="D25" s="62"/>
      <x:c r="E25" s="62"/>
      <x:c r="F25" s="62"/>
      <x:c r="G25" s="62"/>
      <x:c r="H25" s="62" t="str">
        <x:f>IF(A25="","",D25+F25)</x:f>
      </x:c>
      <x:c r="I25" s="62" t="str">
        <x:f>IF(A25="","",E25+G25)</x:f>
      </x:c>
      <x:c r="J25" s="62" t="n">
        <x:f>IFERROR(I25/H25,0)</x:f>
        <x:v>0</x:v>
      </x:c>
      <x:c r="K25" s="62" t="str">
        <x:f>IF(A25="","",B25*J25)</x:f>
      </x:c>
      <x:c r="L25" s="62" t="str">
        <x:f>IF(A25="","",C25-K25)</x:f>
      </x:c>
      <x:c r="M25" s="66" t="n">
        <x:f>IFERROR(L25/C25,0)</x:f>
        <x:v>0</x:v>
      </x:c>
      <x:c r="N25" s="66"/>
      <x:c r="O25" s="77" t="str">
        <x:f>IF(A25="","",M25-N25)</x:f>
      </x:c>
    </x:row>
    <x:row r="26">
      <x:c r="A26" s="51"/>
      <x:c r="B26" s="63"/>
      <x:c r="C26" s="63"/>
      <x:c r="D26" s="63"/>
      <x:c r="E26" s="63"/>
      <x:c r="F26" s="63"/>
      <x:c r="G26" s="63"/>
      <x:c r="H26" s="63" t="str">
        <x:f>IF(A26="","",D26+F26)</x:f>
      </x:c>
      <x:c r="I26" s="63" t="str">
        <x:f>IF(A26="","",E26+G26)</x:f>
      </x:c>
      <x:c r="J26" s="63" t="n">
        <x:f>IFERROR(I26/H26,0)</x:f>
        <x:v>0</x:v>
      </x:c>
      <x:c r="K26" s="63" t="str">
        <x:f>IF(A26="","",B26*J26)</x:f>
      </x:c>
      <x:c r="L26" s="63" t="str">
        <x:f>IF(A26="","",C26-K26)</x:f>
      </x:c>
      <x:c r="M26" s="67" t="n">
        <x:f>IFERROR(L26/C26,0)</x:f>
        <x:v>0</x:v>
      </x:c>
      <x:c r="N26" s="67"/>
      <x:c r="O26" s="78" t="str">
        <x:f>IF(A26="","",M26-N26)</x:f>
      </x:c>
    </x:row>
    <x:row r="27">
      <x:c r="A27" s="39"/>
      <x:c r="B27" s="62"/>
      <x:c r="C27" s="62"/>
      <x:c r="D27" s="62"/>
      <x:c r="E27" s="62"/>
      <x:c r="F27" s="62"/>
      <x:c r="G27" s="62"/>
      <x:c r="H27" s="62" t="str">
        <x:f>IF(A27="","",D27+F27)</x:f>
      </x:c>
      <x:c r="I27" s="62" t="str">
        <x:f>IF(A27="","",E27+G27)</x:f>
      </x:c>
      <x:c r="J27" s="62" t="n">
        <x:f>IFERROR(I27/H27,0)</x:f>
        <x:v>0</x:v>
      </x:c>
      <x:c r="K27" s="62" t="str">
        <x:f>IF(A27="","",B27*J27)</x:f>
      </x:c>
      <x:c r="L27" s="62" t="str">
        <x:f>IF(A27="","",C27-K27)</x:f>
      </x:c>
      <x:c r="M27" s="66" t="n">
        <x:f>IFERROR(L27/C27,0)</x:f>
        <x:v>0</x:v>
      </x:c>
      <x:c r="N27" s="66"/>
      <x:c r="O27" s="77" t="str">
        <x:f>IF(A27="","",M27-N27)</x:f>
      </x:c>
    </x:row>
    <x:row r="28">
      <x:c r="A28" s="51"/>
      <x:c r="B28" s="63"/>
      <x:c r="C28" s="63"/>
      <x:c r="D28" s="63"/>
      <x:c r="E28" s="63"/>
      <x:c r="F28" s="63"/>
      <x:c r="G28" s="63"/>
      <x:c r="H28" s="63" t="str">
        <x:f>IF(A28="","",D28+F28)</x:f>
      </x:c>
      <x:c r="I28" s="63" t="str">
        <x:f>IF(A28="","",E28+G28)</x:f>
      </x:c>
      <x:c r="J28" s="63" t="n">
        <x:f>IFERROR(I28/H28,0)</x:f>
        <x:v>0</x:v>
      </x:c>
      <x:c r="K28" s="63" t="str">
        <x:f>IF(A28="","",B28*J28)</x:f>
      </x:c>
      <x:c r="L28" s="63" t="str">
        <x:f>IF(A28="","",C28-K28)</x:f>
      </x:c>
      <x:c r="M28" s="67" t="n">
        <x:f>IFERROR(L28/C28,0)</x:f>
        <x:v>0</x:v>
      </x:c>
      <x:c r="N28" s="67"/>
      <x:c r="O28" s="78" t="str">
        <x:f>IF(A28="","",M28-N28)</x:f>
      </x:c>
    </x:row>
    <x:row r="29">
      <x:c r="A29" s="39"/>
      <x:c r="B29" s="62"/>
      <x:c r="C29" s="62"/>
      <x:c r="D29" s="62"/>
      <x:c r="E29" s="62"/>
      <x:c r="F29" s="62"/>
      <x:c r="G29" s="62"/>
      <x:c r="H29" s="62" t="str">
        <x:f>IF(A29="","",D29+F29)</x:f>
      </x:c>
      <x:c r="I29" s="62" t="str">
        <x:f>IF(A29="","",E29+G29)</x:f>
      </x:c>
      <x:c r="J29" s="62" t="n">
        <x:f>IFERROR(I29/H29,0)</x:f>
        <x:v>0</x:v>
      </x:c>
      <x:c r="K29" s="62" t="str">
        <x:f>IF(A29="","",B29*J29)</x:f>
      </x:c>
      <x:c r="L29" s="62" t="str">
        <x:f>IF(A29="","",C29-K29)</x:f>
      </x:c>
      <x:c r="M29" s="66" t="n">
        <x:f>IFERROR(L29/C29,0)</x:f>
        <x:v>0</x:v>
      </x:c>
      <x:c r="N29" s="66"/>
      <x:c r="O29" s="77" t="str">
        <x:f>IF(A29="","",M29-N29)</x:f>
      </x:c>
    </x:row>
    <x:row r="30">
      <x:c r="A30" s="54"/>
      <x:c r="B30" s="64"/>
      <x:c r="C30" s="64"/>
      <x:c r="D30" s="64"/>
      <x:c r="E30" s="64"/>
      <x:c r="F30" s="64"/>
      <x:c r="G30" s="64"/>
      <x:c r="H30" s="64" t="str">
        <x:f>IF(A30="","",D30+F30)</x:f>
      </x:c>
      <x:c r="I30" s="64" t="str">
        <x:f>IF(A30="","",E30+G30)</x:f>
      </x:c>
      <x:c r="J30" s="64" t="n">
        <x:f>IFERROR(I30/H30,0)</x:f>
        <x:v>0</x:v>
      </x:c>
      <x:c r="K30" s="64" t="str">
        <x:f>IF(A30="","",B30*J30)</x:f>
      </x:c>
      <x:c r="L30" s="64" t="str">
        <x:f>IF(A30="","",C30-K30)</x:f>
      </x:c>
      <x:c r="M30" s="68" t="n">
        <x:f>IFERROR(L30/C30,0)</x:f>
        <x:v>0</x:v>
      </x:c>
      <x:c r="N30" s="68"/>
      <x:c r="O30" s="79" t="str">
        <x:f>IF(A30="","",M30-N30)</x:f>
      </x:c>
    </x:row>
  </x:sheetData>
  <x:mergeCells>
    <x:mergeCell ref="A1:O1"/>
    <x:mergeCell ref="A2:O2"/>
  </x:mergeCells>
  <x:pageMargins left="0.7" right="0.7" top="0.75" bottom="0.75" header="0.3" footer="0.3"/>
  <x:tableParts count="1">
    <x:tablePart xmlns:r="http://schemas.openxmlformats.org/officeDocument/2006/relationships" r:id="R98dbb7692bfe4831"/>
  </x:tableParts>
</x:worksheet>
</file>

<file path=xl/worksheets/sheet13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14" hidden="0" customWidth="1"/>
    <x:col min="2" max="2" width="22" hidden="0" customWidth="1"/>
    <x:col min="3" max="3" width="14" hidden="0" customWidth="1"/>
    <x:col min="4" max="4" width="12" hidden="0" customWidth="1"/>
    <x:col min="5" max="5" width="14" hidden="0" customWidth="1"/>
    <x:col min="6" max="6" width="13" hidden="0" customWidth="1"/>
    <x:col min="7" max="7" width="13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22" hidden="0" customWidth="1"/>
    <x:col min="16" max="16" width="12" hidden="0" customWidth="1"/>
  </x:cols>
  <x:sheetData>
    <x:row r="1" ht="30" customHeight="1">
      <x:c r="A1" s="87" t="str">
        <x:v>存货库龄分析</x:v>
      </x:c>
      <x:c r="B1" s="88"/>
      <x:c r="C1" s="88"/>
      <x:c r="D1" s="88"/>
      <x:c r="E1" s="88"/>
      <x:c r="F1" s="88"/>
      <x:c r="G1" s="88"/>
      <x:c r="H1" s="88"/>
      <x:c r="I1" s="88"/>
      <x:c r="J1" s="88"/>
      <x:c r="K1" s="88"/>
      <x:c r="L1" s="88"/>
      <x:c r="M1" s="88"/>
      <x:c r="N1" s="88"/>
      <x:c r="O1" s="88"/>
      <x:c r="P1" s="88"/>
    </x:row>
    <x:row r="2" ht="24" customHeight="1">
      <x:c r="A2" s="89" t="str">
        <x:v>库龄是风险筛查，不直接等于跌价；按批次/最后移动日和用途分析</x:v>
      </x:c>
      <x:c r="B2" s="88"/>
      <x:c r="C2" s="88"/>
      <x:c r="D2" s="88"/>
      <x:c r="E2" s="88"/>
      <x:c r="F2" s="88"/>
      <x:c r="G2" s="88"/>
      <x:c r="H2" s="88"/>
      <x:c r="I2" s="88"/>
      <x:c r="J2" s="88"/>
      <x:c r="K2" s="88"/>
      <x:c r="L2" s="88"/>
      <x:c r="M2" s="88"/>
      <x:c r="N2" s="88"/>
      <x:c r="O2" s="88"/>
      <x:c r="P2" s="88"/>
    </x:row>
    <x:row r="3">
      <x:c r="A3" s="88"/>
      <x:c r="B3" s="88"/>
      <x:c r="C3" s="88"/>
      <x:c r="D3" s="88"/>
      <x:c r="E3" s="88"/>
      <x:c r="F3" s="88"/>
      <x:c r="G3" s="88"/>
      <x:c r="H3" s="88"/>
      <x:c r="I3" s="88"/>
      <x:c r="J3" s="88"/>
      <x:c r="K3" s="88"/>
      <x:c r="L3" s="88"/>
      <x:c r="M3" s="88"/>
      <x:c r="N3" s="88"/>
      <x:c r="O3" s="88"/>
      <x:c r="P3" s="88"/>
    </x:row>
    <x:row r="4">
      <x:c r="A4" s="88"/>
      <x:c r="B4" s="88"/>
      <x:c r="C4" s="88"/>
      <x:c r="D4" s="88"/>
      <x:c r="E4" s="88"/>
      <x:c r="F4" s="88"/>
      <x:c r="G4" s="88"/>
      <x:c r="H4" s="88"/>
      <x:c r="I4" s="88"/>
      <x:c r="J4" s="88"/>
      <x:c r="K4" s="88"/>
      <x:c r="L4" s="88"/>
      <x:c r="M4" s="88"/>
      <x:c r="N4" s="88"/>
      <x:c r="O4" s="88"/>
      <x:c r="P4" s="88"/>
    </x:row>
    <x:row r="5" ht="32" customHeight="1">
      <x:c r="A5" s="15" t="str">
        <x:v>物料</x:v>
      </x:c>
      <x:c r="B5" s="16" t="str">
        <x:v>名称</x:v>
      </x:c>
      <x:c r="C5" s="16" t="str">
        <x:v>类别</x:v>
      </x:c>
      <x:c r="D5" s="16" t="str">
        <x:v>数量</x:v>
      </x:c>
      <x:c r="E5" s="16" t="str">
        <x:v>金额</x:v>
      </x:c>
      <x:c r="F5" s="16" t="str">
        <x:v>最后入库日</x:v>
      </x:c>
      <x:c r="G5" s="16" t="str">
        <x:v>最后出库日</x:v>
      </x:c>
      <x:c r="H5" s="16" t="str">
        <x:v>库龄天数</x:v>
      </x:c>
      <x:c r="I5" s="16" t="str">
        <x:v>0-30</x:v>
      </x:c>
      <x:c r="J5" s="16" t="str">
        <x:v>31-90</x:v>
      </x:c>
      <x:c r="K5" s="16" t="str">
        <x:v>91-180</x:v>
      </x:c>
      <x:c r="L5" s="16" t="str">
        <x:v>181-365</x:v>
      </x:c>
      <x:c r="M5" s="16" t="str">
        <x:v>1-2年</x:v>
      </x:c>
      <x:c r="N5" s="16" t="str">
        <x:v>2年以上</x:v>
      </x:c>
      <x:c r="O5" s="16" t="str">
        <x:v>用途/需求</x:v>
      </x:c>
      <x:c r="P5" s="17" t="str">
        <x:v>风险等级</x:v>
      </x:c>
    </x:row>
    <x:row r="6">
      <x:c r="A6" s="48" t="str">
        <x:v>OLD-P80</x:v>
      </x:c>
      <x:c r="B6" s="49" t="str">
        <x:v>旧型号主板</x:v>
      </x:c>
      <x:c r="C6" s="49" t="str">
        <x:v>原材料</x:v>
      </x:c>
      <x:c r="D6" s="61" t="n">
        <x:v>100</x:v>
      </x:c>
      <x:c r="E6" s="61" t="n">
        <x:v>30</x:v>
      </x:c>
      <x:c r="F6" s="61" t="n">
        <x:v>45962</x:v>
      </x:c>
      <x:c r="G6" s="61" t="n">
        <x:v>46053</x:v>
      </x:c>
      <x:c r="H6" s="61" t="n">
        <x:f>IF(A6="","",'00-说明与参数'!$B$6-G6)</x:f>
        <x:v>212</x:v>
      </x:c>
      <x:c r="I6" s="61" t="n">
        <x:f>IF(A6="","",IF(AND(H6&gt;=0,H6&lt;=30),E6,0))</x:f>
        <x:v>0</x:v>
      </x:c>
      <x:c r="J6" s="61" t="n">
        <x:f>IF(A6="","",IF(AND(H6&gt;=31,H6&lt;=90),E6,0))</x:f>
        <x:v>0</x:v>
      </x:c>
      <x:c r="K6" s="61" t="n">
        <x:f>IF(A6="","",IF(AND(H6&gt;=91,H6&lt;=180),E6,0))</x:f>
        <x:v>0</x:v>
      </x:c>
      <x:c r="L6" s="61" t="n">
        <x:f>IF(A6="","",IF(AND(H6&gt;=181,H6&lt;=365),E6,0))</x:f>
        <x:v>30</x:v>
      </x:c>
      <x:c r="M6" s="61" t="n">
        <x:f>IF(A6="","",IF(AND(H6&gt;=366,H6&lt;=730),E6,0))</x:f>
        <x:v>0</x:v>
      </x:c>
      <x:c r="N6" s="61" t="n">
        <x:f>IF(A6="","",IF(H6&gt;730,E6,0))</x:f>
        <x:v>0</x:v>
      </x:c>
      <x:c r="O6" s="49" t="str">
        <x:v>售后/改制</x:v>
      </x:c>
      <x:c r="P6" s="50" t="str">
        <x:v>高</x:v>
      </x:c>
    </x:row>
    <x:row r="7">
      <x:c r="A7" s="39" t="str">
        <x:v>FG-P80</x:v>
      </x:c>
      <x:c r="B7" s="40" t="str">
        <x:v>旧型号设备</x:v>
      </x:c>
      <x:c r="C7" s="40" t="str">
        <x:v>产成品</x:v>
      </x:c>
      <x:c r="D7" s="62" t="n">
        <x:v>20</x:v>
      </x:c>
      <x:c r="E7" s="62" t="n">
        <x:v>60</x:v>
      </x:c>
      <x:c r="F7" s="62" t="n">
        <x:v>45992</x:v>
      </x:c>
      <x:c r="G7" s="62" t="n">
        <x:v>46081</x:v>
      </x:c>
      <x:c r="H7" s="62" t="n">
        <x:f>IF(A7="","",'00-说明与参数'!$B$6-G7)</x:f>
        <x:v>184</x:v>
      </x:c>
      <x:c r="I7" s="62" t="n">
        <x:f>IF(A7="","",IF(AND(H7&gt;=0,H7&lt;=30),E7,0))</x:f>
        <x:v>0</x:v>
      </x:c>
      <x:c r="J7" s="62" t="n">
        <x:f>IF(A7="","",IF(AND(H7&gt;=31,H7&lt;=90),E7,0))</x:f>
        <x:v>0</x:v>
      </x:c>
      <x:c r="K7" s="62" t="n">
        <x:f>IF(A7="","",IF(AND(H7&gt;=91,H7&lt;=180),E7,0))</x:f>
        <x:v>0</x:v>
      </x:c>
      <x:c r="L7" s="62" t="n">
        <x:f>IF(A7="","",IF(AND(H7&gt;=181,H7&lt;=365),E7,0))</x:f>
        <x:v>60</x:v>
      </x:c>
      <x:c r="M7" s="62" t="n">
        <x:f>IF(A7="","",IF(AND(H7&gt;=366,H7&lt;=730),E7,0))</x:f>
        <x:v>0</x:v>
      </x:c>
      <x:c r="N7" s="62" t="n">
        <x:f>IF(A7="","",IF(H7&gt;730,E7,0))</x:f>
        <x:v>0</x:v>
      </x:c>
      <x:c r="O7" s="40" t="str">
        <x:v>促销处置</x:v>
      </x:c>
      <x:c r="P7" s="41" t="str">
        <x:v>高</x:v>
      </x:c>
    </x:row>
    <x:row r="8">
      <x:c r="A8" s="51" t="str">
        <x:v>M03</x:v>
      </x:c>
      <x:c r="B8" s="52" t="str">
        <x:v>光敏树脂</x:v>
      </x:c>
      <x:c r="C8" s="52" t="str">
        <x:v>原材料</x:v>
      </x:c>
      <x:c r="D8" s="63" t="n">
        <x:v>50</x:v>
      </x:c>
      <x:c r="E8" s="63" t="n">
        <x:v>100</x:v>
      </x:c>
      <x:c r="F8" s="63" t="n">
        <x:v>46244</x:v>
      </x:c>
      <x:c r="G8" s="63" t="n">
        <x:v>46262</x:v>
      </x:c>
      <x:c r="H8" s="63" t="n">
        <x:f>IF(A8="","",'00-说明与参数'!$B$6-G8)</x:f>
        <x:v>3</x:v>
      </x:c>
      <x:c r="I8" s="63" t="n">
        <x:f>IF(A8="","",IF(AND(H8&gt;=0,H8&lt;=30),E8,0))</x:f>
        <x:v>100</x:v>
      </x:c>
      <x:c r="J8" s="63" t="n">
        <x:f>IF(A8="","",IF(AND(H8&gt;=31,H8&lt;=90),E8,0))</x:f>
        <x:v>0</x:v>
      </x:c>
      <x:c r="K8" s="63" t="n">
        <x:f>IF(A8="","",IF(AND(H8&gt;=91,H8&lt;=180),E8,0))</x:f>
        <x:v>0</x:v>
      </x:c>
      <x:c r="L8" s="63" t="n">
        <x:f>IF(A8="","",IF(AND(H8&gt;=181,H8&lt;=365),E8,0))</x:f>
        <x:v>0</x:v>
      </x:c>
      <x:c r="M8" s="63" t="n">
        <x:f>IF(A8="","",IF(AND(H8&gt;=366,H8&lt;=730),E8,0))</x:f>
        <x:v>0</x:v>
      </x:c>
      <x:c r="N8" s="63" t="n">
        <x:f>IF(A8="","",IF(H8&gt;730,E8,0))</x:f>
        <x:v>0</x:v>
      </x:c>
      <x:c r="O8" s="52" t="str">
        <x:v>正常生产</x:v>
      </x:c>
      <x:c r="P8" s="53" t="str">
        <x:v>低</x:v>
      </x:c>
    </x:row>
    <x:row r="9">
      <x:c r="A9" s="39"/>
      <x:c r="B9" s="40"/>
      <x:c r="C9" s="40"/>
      <x:c r="D9" s="62"/>
      <x:c r="E9" s="62"/>
      <x:c r="F9" s="62"/>
      <x:c r="G9" s="62"/>
      <x:c r="H9" s="62" t="str">
        <x:f>IF(A9="","",'00-说明与参数'!$B$6-G9)</x:f>
      </x:c>
      <x:c r="I9" s="62" t="str">
        <x:f>IF(A9="","",IF(AND(H9&gt;=0,H9&lt;=30),E9,0))</x:f>
      </x:c>
      <x:c r="J9" s="62" t="str">
        <x:f>IF(A9="","",IF(AND(H9&gt;=31,H9&lt;=90),E9,0))</x:f>
      </x:c>
      <x:c r="K9" s="62" t="str">
        <x:f>IF(A9="","",IF(AND(H9&gt;=91,H9&lt;=180),E9,0))</x:f>
      </x:c>
      <x:c r="L9" s="62" t="str">
        <x:f>IF(A9="","",IF(AND(H9&gt;=181,H9&lt;=365),E9,0))</x:f>
      </x:c>
      <x:c r="M9" s="62" t="str">
        <x:f>IF(A9="","",IF(AND(H9&gt;=366,H9&lt;=730),E9,0))</x:f>
      </x:c>
      <x:c r="N9" s="62" t="str">
        <x:f>IF(A9="","",IF(H9&gt;730,E9,0))</x:f>
      </x:c>
      <x:c r="O9" s="40"/>
      <x:c r="P9" s="41"/>
    </x:row>
    <x:row r="10">
      <x:c r="A10" s="51"/>
      <x:c r="B10" s="52"/>
      <x:c r="C10" s="52"/>
      <x:c r="D10" s="63"/>
      <x:c r="E10" s="63"/>
      <x:c r="F10" s="63"/>
      <x:c r="G10" s="63"/>
      <x:c r="H10" s="63" t="str">
        <x:f>IF(A10="","",'00-说明与参数'!$B$6-G10)</x:f>
      </x:c>
      <x:c r="I10" s="63" t="str">
        <x:f>IF(A10="","",IF(AND(H10&gt;=0,H10&lt;=30),E10,0))</x:f>
      </x:c>
      <x:c r="J10" s="63" t="str">
        <x:f>IF(A10="","",IF(AND(H10&gt;=31,H10&lt;=90),E10,0))</x:f>
      </x:c>
      <x:c r="K10" s="63" t="str">
        <x:f>IF(A10="","",IF(AND(H10&gt;=91,H10&lt;=180),E10,0))</x:f>
      </x:c>
      <x:c r="L10" s="63" t="str">
        <x:f>IF(A10="","",IF(AND(H10&gt;=181,H10&lt;=365),E10,0))</x:f>
      </x:c>
      <x:c r="M10" s="63" t="str">
        <x:f>IF(A10="","",IF(AND(H10&gt;=366,H10&lt;=730),E10,0))</x:f>
      </x:c>
      <x:c r="N10" s="63" t="str">
        <x:f>IF(A10="","",IF(H10&gt;730,E10,0))</x:f>
      </x:c>
      <x:c r="O10" s="52"/>
      <x:c r="P10" s="53"/>
    </x:row>
    <x:row r="11">
      <x:c r="A11" s="39"/>
      <x:c r="B11" s="40"/>
      <x:c r="C11" s="40"/>
      <x:c r="D11" s="62"/>
      <x:c r="E11" s="62"/>
      <x:c r="F11" s="62"/>
      <x:c r="G11" s="62"/>
      <x:c r="H11" s="62" t="str">
        <x:f>IF(A11="","",'00-说明与参数'!$B$6-G11)</x:f>
      </x:c>
      <x:c r="I11" s="62" t="str">
        <x:f>IF(A11="","",IF(AND(H11&gt;=0,H11&lt;=30),E11,0))</x:f>
      </x:c>
      <x:c r="J11" s="62" t="str">
        <x:f>IF(A11="","",IF(AND(H11&gt;=31,H11&lt;=90),E11,0))</x:f>
      </x:c>
      <x:c r="K11" s="62" t="str">
        <x:f>IF(A11="","",IF(AND(H11&gt;=91,H11&lt;=180),E11,0))</x:f>
      </x:c>
      <x:c r="L11" s="62" t="str">
        <x:f>IF(A11="","",IF(AND(H11&gt;=181,H11&lt;=365),E11,0))</x:f>
      </x:c>
      <x:c r="M11" s="62" t="str">
        <x:f>IF(A11="","",IF(AND(H11&gt;=366,H11&lt;=730),E11,0))</x:f>
      </x:c>
      <x:c r="N11" s="62" t="str">
        <x:f>IF(A11="","",IF(H11&gt;730,E11,0))</x:f>
      </x:c>
      <x:c r="O11" s="40"/>
      <x:c r="P11" s="41"/>
    </x:row>
    <x:row r="12">
      <x:c r="A12" s="51"/>
      <x:c r="B12" s="52"/>
      <x:c r="C12" s="52"/>
      <x:c r="D12" s="63"/>
      <x:c r="E12" s="63"/>
      <x:c r="F12" s="63"/>
      <x:c r="G12" s="63"/>
      <x:c r="H12" s="63" t="str">
        <x:f>IF(A12="","",'00-说明与参数'!$B$6-G12)</x:f>
      </x:c>
      <x:c r="I12" s="63" t="str">
        <x:f>IF(A12="","",IF(AND(H12&gt;=0,H12&lt;=30),E12,0))</x:f>
      </x:c>
      <x:c r="J12" s="63" t="str">
        <x:f>IF(A12="","",IF(AND(H12&gt;=31,H12&lt;=90),E12,0))</x:f>
      </x:c>
      <x:c r="K12" s="63" t="str">
        <x:f>IF(A12="","",IF(AND(H12&gt;=91,H12&lt;=180),E12,0))</x:f>
      </x:c>
      <x:c r="L12" s="63" t="str">
        <x:f>IF(A12="","",IF(AND(H12&gt;=181,H12&lt;=365),E12,0))</x:f>
      </x:c>
      <x:c r="M12" s="63" t="str">
        <x:f>IF(A12="","",IF(AND(H12&gt;=366,H12&lt;=730),E12,0))</x:f>
      </x:c>
      <x:c r="N12" s="63" t="str">
        <x:f>IF(A12="","",IF(H12&gt;730,E12,0))</x:f>
      </x:c>
      <x:c r="O12" s="52"/>
      <x:c r="P12" s="53"/>
    </x:row>
    <x:row r="13">
      <x:c r="A13" s="39"/>
      <x:c r="B13" s="40"/>
      <x:c r="C13" s="40"/>
      <x:c r="D13" s="62"/>
      <x:c r="E13" s="62"/>
      <x:c r="F13" s="62"/>
      <x:c r="G13" s="62"/>
      <x:c r="H13" s="62" t="str">
        <x:f>IF(A13="","",'00-说明与参数'!$B$6-G13)</x:f>
      </x:c>
      <x:c r="I13" s="62" t="str">
        <x:f>IF(A13="","",IF(AND(H13&gt;=0,H13&lt;=30),E13,0))</x:f>
      </x:c>
      <x:c r="J13" s="62" t="str">
        <x:f>IF(A13="","",IF(AND(H13&gt;=31,H13&lt;=90),E13,0))</x:f>
      </x:c>
      <x:c r="K13" s="62" t="str">
        <x:f>IF(A13="","",IF(AND(H13&gt;=91,H13&lt;=180),E13,0))</x:f>
      </x:c>
      <x:c r="L13" s="62" t="str">
        <x:f>IF(A13="","",IF(AND(H13&gt;=181,H13&lt;=365),E13,0))</x:f>
      </x:c>
      <x:c r="M13" s="62" t="str">
        <x:f>IF(A13="","",IF(AND(H13&gt;=366,H13&lt;=730),E13,0))</x:f>
      </x:c>
      <x:c r="N13" s="62" t="str">
        <x:f>IF(A13="","",IF(H13&gt;730,E13,0))</x:f>
      </x:c>
      <x:c r="O13" s="40"/>
      <x:c r="P13" s="41"/>
    </x:row>
    <x:row r="14">
      <x:c r="A14" s="51"/>
      <x:c r="B14" s="52"/>
      <x:c r="C14" s="52"/>
      <x:c r="D14" s="63"/>
      <x:c r="E14" s="63"/>
      <x:c r="F14" s="63"/>
      <x:c r="G14" s="63"/>
      <x:c r="H14" s="63" t="str">
        <x:f>IF(A14="","",'00-说明与参数'!$B$6-G14)</x:f>
      </x:c>
      <x:c r="I14" s="63" t="str">
        <x:f>IF(A14="","",IF(AND(H14&gt;=0,H14&lt;=30),E14,0))</x:f>
      </x:c>
      <x:c r="J14" s="63" t="str">
        <x:f>IF(A14="","",IF(AND(H14&gt;=31,H14&lt;=90),E14,0))</x:f>
      </x:c>
      <x:c r="K14" s="63" t="str">
        <x:f>IF(A14="","",IF(AND(H14&gt;=91,H14&lt;=180),E14,0))</x:f>
      </x:c>
      <x:c r="L14" s="63" t="str">
        <x:f>IF(A14="","",IF(AND(H14&gt;=181,H14&lt;=365),E14,0))</x:f>
      </x:c>
      <x:c r="M14" s="63" t="str">
        <x:f>IF(A14="","",IF(AND(H14&gt;=366,H14&lt;=730),E14,0))</x:f>
      </x:c>
      <x:c r="N14" s="63" t="str">
        <x:f>IF(A14="","",IF(H14&gt;730,E14,0))</x:f>
      </x:c>
      <x:c r="O14" s="52"/>
      <x:c r="P14" s="53"/>
    </x:row>
    <x:row r="15">
      <x:c r="A15" s="39"/>
      <x:c r="B15" s="40"/>
      <x:c r="C15" s="40"/>
      <x:c r="D15" s="62"/>
      <x:c r="E15" s="62"/>
      <x:c r="F15" s="62"/>
      <x:c r="G15" s="62"/>
      <x:c r="H15" s="62" t="str">
        <x:f>IF(A15="","",'00-说明与参数'!$B$6-G15)</x:f>
      </x:c>
      <x:c r="I15" s="62" t="str">
        <x:f>IF(A15="","",IF(AND(H15&gt;=0,H15&lt;=30),E15,0))</x:f>
      </x:c>
      <x:c r="J15" s="62" t="str">
        <x:f>IF(A15="","",IF(AND(H15&gt;=31,H15&lt;=90),E15,0))</x:f>
      </x:c>
      <x:c r="K15" s="62" t="str">
        <x:f>IF(A15="","",IF(AND(H15&gt;=91,H15&lt;=180),E15,0))</x:f>
      </x:c>
      <x:c r="L15" s="62" t="str">
        <x:f>IF(A15="","",IF(AND(H15&gt;=181,H15&lt;=365),E15,0))</x:f>
      </x:c>
      <x:c r="M15" s="62" t="str">
        <x:f>IF(A15="","",IF(AND(H15&gt;=366,H15&lt;=730),E15,0))</x:f>
      </x:c>
      <x:c r="N15" s="62" t="str">
        <x:f>IF(A15="","",IF(H15&gt;730,E15,0))</x:f>
      </x:c>
      <x:c r="O15" s="40"/>
      <x:c r="P15" s="41"/>
    </x:row>
    <x:row r="16">
      <x:c r="A16" s="51"/>
      <x:c r="B16" s="52"/>
      <x:c r="C16" s="52"/>
      <x:c r="D16" s="63"/>
      <x:c r="E16" s="63"/>
      <x:c r="F16" s="63"/>
      <x:c r="G16" s="63"/>
      <x:c r="H16" s="63" t="str">
        <x:f>IF(A16="","",'00-说明与参数'!$B$6-G16)</x:f>
      </x:c>
      <x:c r="I16" s="63" t="str">
        <x:f>IF(A16="","",IF(AND(H16&gt;=0,H16&lt;=30),E16,0))</x:f>
      </x:c>
      <x:c r="J16" s="63" t="str">
        <x:f>IF(A16="","",IF(AND(H16&gt;=31,H16&lt;=90),E16,0))</x:f>
      </x:c>
      <x:c r="K16" s="63" t="str">
        <x:f>IF(A16="","",IF(AND(H16&gt;=91,H16&lt;=180),E16,0))</x:f>
      </x:c>
      <x:c r="L16" s="63" t="str">
        <x:f>IF(A16="","",IF(AND(H16&gt;=181,H16&lt;=365),E16,0))</x:f>
      </x:c>
      <x:c r="M16" s="63" t="str">
        <x:f>IF(A16="","",IF(AND(H16&gt;=366,H16&lt;=730),E16,0))</x:f>
      </x:c>
      <x:c r="N16" s="63" t="str">
        <x:f>IF(A16="","",IF(H16&gt;730,E16,0))</x:f>
      </x:c>
      <x:c r="O16" s="52"/>
      <x:c r="P16" s="53"/>
    </x:row>
    <x:row r="17">
      <x:c r="A17" s="39"/>
      <x:c r="B17" s="40"/>
      <x:c r="C17" s="40"/>
      <x:c r="D17" s="62"/>
      <x:c r="E17" s="62"/>
      <x:c r="F17" s="62"/>
      <x:c r="G17" s="62"/>
      <x:c r="H17" s="62" t="str">
        <x:f>IF(A17="","",'00-说明与参数'!$B$6-G17)</x:f>
      </x:c>
      <x:c r="I17" s="62" t="str">
        <x:f>IF(A17="","",IF(AND(H17&gt;=0,H17&lt;=30),E17,0))</x:f>
      </x:c>
      <x:c r="J17" s="62" t="str">
        <x:f>IF(A17="","",IF(AND(H17&gt;=31,H17&lt;=90),E17,0))</x:f>
      </x:c>
      <x:c r="K17" s="62" t="str">
        <x:f>IF(A17="","",IF(AND(H17&gt;=91,H17&lt;=180),E17,0))</x:f>
      </x:c>
      <x:c r="L17" s="62" t="str">
        <x:f>IF(A17="","",IF(AND(H17&gt;=181,H17&lt;=365),E17,0))</x:f>
      </x:c>
      <x:c r="M17" s="62" t="str">
        <x:f>IF(A17="","",IF(AND(H17&gt;=366,H17&lt;=730),E17,0))</x:f>
      </x:c>
      <x:c r="N17" s="62" t="str">
        <x:f>IF(A17="","",IF(H17&gt;730,E17,0))</x:f>
      </x:c>
      <x:c r="O17" s="40"/>
      <x:c r="P17" s="41"/>
    </x:row>
    <x:row r="18">
      <x:c r="A18" s="51"/>
      <x:c r="B18" s="52"/>
      <x:c r="C18" s="52"/>
      <x:c r="D18" s="63"/>
      <x:c r="E18" s="63"/>
      <x:c r="F18" s="63"/>
      <x:c r="G18" s="63"/>
      <x:c r="H18" s="63" t="str">
        <x:f>IF(A18="","",'00-说明与参数'!$B$6-G18)</x:f>
      </x:c>
      <x:c r="I18" s="63" t="str">
        <x:f>IF(A18="","",IF(AND(H18&gt;=0,H18&lt;=30),E18,0))</x:f>
      </x:c>
      <x:c r="J18" s="63" t="str">
        <x:f>IF(A18="","",IF(AND(H18&gt;=31,H18&lt;=90),E18,0))</x:f>
      </x:c>
      <x:c r="K18" s="63" t="str">
        <x:f>IF(A18="","",IF(AND(H18&gt;=91,H18&lt;=180),E18,0))</x:f>
      </x:c>
      <x:c r="L18" s="63" t="str">
        <x:f>IF(A18="","",IF(AND(H18&gt;=181,H18&lt;=365),E18,0))</x:f>
      </x:c>
      <x:c r="M18" s="63" t="str">
        <x:f>IF(A18="","",IF(AND(H18&gt;=366,H18&lt;=730),E18,0))</x:f>
      </x:c>
      <x:c r="N18" s="63" t="str">
        <x:f>IF(A18="","",IF(H18&gt;730,E18,0))</x:f>
      </x:c>
      <x:c r="O18" s="52"/>
      <x:c r="P18" s="53"/>
    </x:row>
    <x:row r="19">
      <x:c r="A19" s="39"/>
      <x:c r="B19" s="40"/>
      <x:c r="C19" s="40"/>
      <x:c r="D19" s="62"/>
      <x:c r="E19" s="62"/>
      <x:c r="F19" s="62"/>
      <x:c r="G19" s="62"/>
      <x:c r="H19" s="62" t="str">
        <x:f>IF(A19="","",'00-说明与参数'!$B$6-G19)</x:f>
      </x:c>
      <x:c r="I19" s="62" t="str">
        <x:f>IF(A19="","",IF(AND(H19&gt;=0,H19&lt;=30),E19,0))</x:f>
      </x:c>
      <x:c r="J19" s="62" t="str">
        <x:f>IF(A19="","",IF(AND(H19&gt;=31,H19&lt;=90),E19,0))</x:f>
      </x:c>
      <x:c r="K19" s="62" t="str">
        <x:f>IF(A19="","",IF(AND(H19&gt;=91,H19&lt;=180),E19,0))</x:f>
      </x:c>
      <x:c r="L19" s="62" t="str">
        <x:f>IF(A19="","",IF(AND(H19&gt;=181,H19&lt;=365),E19,0))</x:f>
      </x:c>
      <x:c r="M19" s="62" t="str">
        <x:f>IF(A19="","",IF(AND(H19&gt;=366,H19&lt;=730),E19,0))</x:f>
      </x:c>
      <x:c r="N19" s="62" t="str">
        <x:f>IF(A19="","",IF(H19&gt;730,E19,0))</x:f>
      </x:c>
      <x:c r="O19" s="40"/>
      <x:c r="P19" s="41"/>
    </x:row>
    <x:row r="20">
      <x:c r="A20" s="51"/>
      <x:c r="B20" s="52"/>
      <x:c r="C20" s="52"/>
      <x:c r="D20" s="63"/>
      <x:c r="E20" s="63"/>
      <x:c r="F20" s="63"/>
      <x:c r="G20" s="63"/>
      <x:c r="H20" s="63" t="str">
        <x:f>IF(A20="","",'00-说明与参数'!$B$6-G20)</x:f>
      </x:c>
      <x:c r="I20" s="63" t="str">
        <x:f>IF(A20="","",IF(AND(H20&gt;=0,H20&lt;=30),E20,0))</x:f>
      </x:c>
      <x:c r="J20" s="63" t="str">
        <x:f>IF(A20="","",IF(AND(H20&gt;=31,H20&lt;=90),E20,0))</x:f>
      </x:c>
      <x:c r="K20" s="63" t="str">
        <x:f>IF(A20="","",IF(AND(H20&gt;=91,H20&lt;=180),E20,0))</x:f>
      </x:c>
      <x:c r="L20" s="63" t="str">
        <x:f>IF(A20="","",IF(AND(H20&gt;=181,H20&lt;=365),E20,0))</x:f>
      </x:c>
      <x:c r="M20" s="63" t="str">
        <x:f>IF(A20="","",IF(AND(H20&gt;=366,H20&lt;=730),E20,0))</x:f>
      </x:c>
      <x:c r="N20" s="63" t="str">
        <x:f>IF(A20="","",IF(H20&gt;730,E20,0))</x:f>
      </x:c>
      <x:c r="O20" s="52"/>
      <x:c r="P20" s="53"/>
    </x:row>
    <x:row r="21">
      <x:c r="A21" s="39"/>
      <x:c r="B21" s="40"/>
      <x:c r="C21" s="40"/>
      <x:c r="D21" s="62"/>
      <x:c r="E21" s="62"/>
      <x:c r="F21" s="62"/>
      <x:c r="G21" s="62"/>
      <x:c r="H21" s="62" t="str">
        <x:f>IF(A21="","",'00-说明与参数'!$B$6-G21)</x:f>
      </x:c>
      <x:c r="I21" s="62" t="str">
        <x:f>IF(A21="","",IF(AND(H21&gt;=0,H21&lt;=30),E21,0))</x:f>
      </x:c>
      <x:c r="J21" s="62" t="str">
        <x:f>IF(A21="","",IF(AND(H21&gt;=31,H21&lt;=90),E21,0))</x:f>
      </x:c>
      <x:c r="K21" s="62" t="str">
        <x:f>IF(A21="","",IF(AND(H21&gt;=91,H21&lt;=180),E21,0))</x:f>
      </x:c>
      <x:c r="L21" s="62" t="str">
        <x:f>IF(A21="","",IF(AND(H21&gt;=181,H21&lt;=365),E21,0))</x:f>
      </x:c>
      <x:c r="M21" s="62" t="str">
        <x:f>IF(A21="","",IF(AND(H21&gt;=366,H21&lt;=730),E21,0))</x:f>
      </x:c>
      <x:c r="N21" s="62" t="str">
        <x:f>IF(A21="","",IF(H21&gt;730,E21,0))</x:f>
      </x:c>
      <x:c r="O21" s="40"/>
      <x:c r="P21" s="41"/>
    </x:row>
    <x:row r="22">
      <x:c r="A22" s="51"/>
      <x:c r="B22" s="52"/>
      <x:c r="C22" s="52"/>
      <x:c r="D22" s="63"/>
      <x:c r="E22" s="63"/>
      <x:c r="F22" s="63"/>
      <x:c r="G22" s="63"/>
      <x:c r="H22" s="63" t="str">
        <x:f>IF(A22="","",'00-说明与参数'!$B$6-G22)</x:f>
      </x:c>
      <x:c r="I22" s="63" t="str">
        <x:f>IF(A22="","",IF(AND(H22&gt;=0,H22&lt;=30),E22,0))</x:f>
      </x:c>
      <x:c r="J22" s="63" t="str">
        <x:f>IF(A22="","",IF(AND(H22&gt;=31,H22&lt;=90),E22,0))</x:f>
      </x:c>
      <x:c r="K22" s="63" t="str">
        <x:f>IF(A22="","",IF(AND(H22&gt;=91,H22&lt;=180),E22,0))</x:f>
      </x:c>
      <x:c r="L22" s="63" t="str">
        <x:f>IF(A22="","",IF(AND(H22&gt;=181,H22&lt;=365),E22,0))</x:f>
      </x:c>
      <x:c r="M22" s="63" t="str">
        <x:f>IF(A22="","",IF(AND(H22&gt;=366,H22&lt;=730),E22,0))</x:f>
      </x:c>
      <x:c r="N22" s="63" t="str">
        <x:f>IF(A22="","",IF(H22&gt;730,E22,0))</x:f>
      </x:c>
      <x:c r="O22" s="52"/>
      <x:c r="P22" s="53"/>
    </x:row>
    <x:row r="23">
      <x:c r="A23" s="39"/>
      <x:c r="B23" s="40"/>
      <x:c r="C23" s="40"/>
      <x:c r="D23" s="62"/>
      <x:c r="E23" s="62"/>
      <x:c r="F23" s="62"/>
      <x:c r="G23" s="62"/>
      <x:c r="H23" s="62" t="str">
        <x:f>IF(A23="","",'00-说明与参数'!$B$6-G23)</x:f>
      </x:c>
      <x:c r="I23" s="62" t="str">
        <x:f>IF(A23="","",IF(AND(H23&gt;=0,H23&lt;=30),E23,0))</x:f>
      </x:c>
      <x:c r="J23" s="62" t="str">
        <x:f>IF(A23="","",IF(AND(H23&gt;=31,H23&lt;=90),E23,0))</x:f>
      </x:c>
      <x:c r="K23" s="62" t="str">
        <x:f>IF(A23="","",IF(AND(H23&gt;=91,H23&lt;=180),E23,0))</x:f>
      </x:c>
      <x:c r="L23" s="62" t="str">
        <x:f>IF(A23="","",IF(AND(H23&gt;=181,H23&lt;=365),E23,0))</x:f>
      </x:c>
      <x:c r="M23" s="62" t="str">
        <x:f>IF(A23="","",IF(AND(H23&gt;=366,H23&lt;=730),E23,0))</x:f>
      </x:c>
      <x:c r="N23" s="62" t="str">
        <x:f>IF(A23="","",IF(H23&gt;730,E23,0))</x:f>
      </x:c>
      <x:c r="O23" s="40"/>
      <x:c r="P23" s="41"/>
    </x:row>
    <x:row r="24">
      <x:c r="A24" s="51"/>
      <x:c r="B24" s="52"/>
      <x:c r="C24" s="52"/>
      <x:c r="D24" s="63"/>
      <x:c r="E24" s="63"/>
      <x:c r="F24" s="63"/>
      <x:c r="G24" s="63"/>
      <x:c r="H24" s="63" t="str">
        <x:f>IF(A24="","",'00-说明与参数'!$B$6-G24)</x:f>
      </x:c>
      <x:c r="I24" s="63" t="str">
        <x:f>IF(A24="","",IF(AND(H24&gt;=0,H24&lt;=30),E24,0))</x:f>
      </x:c>
      <x:c r="J24" s="63" t="str">
        <x:f>IF(A24="","",IF(AND(H24&gt;=31,H24&lt;=90),E24,0))</x:f>
      </x:c>
      <x:c r="K24" s="63" t="str">
        <x:f>IF(A24="","",IF(AND(H24&gt;=91,H24&lt;=180),E24,0))</x:f>
      </x:c>
      <x:c r="L24" s="63" t="str">
        <x:f>IF(A24="","",IF(AND(H24&gt;=181,H24&lt;=365),E24,0))</x:f>
      </x:c>
      <x:c r="M24" s="63" t="str">
        <x:f>IF(A24="","",IF(AND(H24&gt;=366,H24&lt;=730),E24,0))</x:f>
      </x:c>
      <x:c r="N24" s="63" t="str">
        <x:f>IF(A24="","",IF(H24&gt;730,E24,0))</x:f>
      </x:c>
      <x:c r="O24" s="52"/>
      <x:c r="P24" s="53"/>
    </x:row>
    <x:row r="25">
      <x:c r="A25" s="39"/>
      <x:c r="B25" s="40"/>
      <x:c r="C25" s="40"/>
      <x:c r="D25" s="62"/>
      <x:c r="E25" s="62"/>
      <x:c r="F25" s="62"/>
      <x:c r="G25" s="62"/>
      <x:c r="H25" s="62" t="str">
        <x:f>IF(A25="","",'00-说明与参数'!$B$6-G25)</x:f>
      </x:c>
      <x:c r="I25" s="62" t="str">
        <x:f>IF(A25="","",IF(AND(H25&gt;=0,H25&lt;=30),E25,0))</x:f>
      </x:c>
      <x:c r="J25" s="62" t="str">
        <x:f>IF(A25="","",IF(AND(H25&gt;=31,H25&lt;=90),E25,0))</x:f>
      </x:c>
      <x:c r="K25" s="62" t="str">
        <x:f>IF(A25="","",IF(AND(H25&gt;=91,H25&lt;=180),E25,0))</x:f>
      </x:c>
      <x:c r="L25" s="62" t="str">
        <x:f>IF(A25="","",IF(AND(H25&gt;=181,H25&lt;=365),E25,0))</x:f>
      </x:c>
      <x:c r="M25" s="62" t="str">
        <x:f>IF(A25="","",IF(AND(H25&gt;=366,H25&lt;=730),E25,0))</x:f>
      </x:c>
      <x:c r="N25" s="62" t="str">
        <x:f>IF(A25="","",IF(H25&gt;730,E25,0))</x:f>
      </x:c>
      <x:c r="O25" s="40"/>
      <x:c r="P25" s="41"/>
    </x:row>
    <x:row r="26">
      <x:c r="A26" s="51"/>
      <x:c r="B26" s="52"/>
      <x:c r="C26" s="52"/>
      <x:c r="D26" s="63"/>
      <x:c r="E26" s="63"/>
      <x:c r="F26" s="63"/>
      <x:c r="G26" s="63"/>
      <x:c r="H26" s="63" t="str">
        <x:f>IF(A26="","",'00-说明与参数'!$B$6-G26)</x:f>
      </x:c>
      <x:c r="I26" s="63" t="str">
        <x:f>IF(A26="","",IF(AND(H26&gt;=0,H26&lt;=30),E26,0))</x:f>
      </x:c>
      <x:c r="J26" s="63" t="str">
        <x:f>IF(A26="","",IF(AND(H26&gt;=31,H26&lt;=90),E26,0))</x:f>
      </x:c>
      <x:c r="K26" s="63" t="str">
        <x:f>IF(A26="","",IF(AND(H26&gt;=91,H26&lt;=180),E26,0))</x:f>
      </x:c>
      <x:c r="L26" s="63" t="str">
        <x:f>IF(A26="","",IF(AND(H26&gt;=181,H26&lt;=365),E26,0))</x:f>
      </x:c>
      <x:c r="M26" s="63" t="str">
        <x:f>IF(A26="","",IF(AND(H26&gt;=366,H26&lt;=730),E26,0))</x:f>
      </x:c>
      <x:c r="N26" s="63" t="str">
        <x:f>IF(A26="","",IF(H26&gt;730,E26,0))</x:f>
      </x:c>
      <x:c r="O26" s="52"/>
      <x:c r="P26" s="53"/>
    </x:row>
    <x:row r="27">
      <x:c r="A27" s="39"/>
      <x:c r="B27" s="40"/>
      <x:c r="C27" s="40"/>
      <x:c r="D27" s="62"/>
      <x:c r="E27" s="62"/>
      <x:c r="F27" s="62"/>
      <x:c r="G27" s="62"/>
      <x:c r="H27" s="62" t="str">
        <x:f>IF(A27="","",'00-说明与参数'!$B$6-G27)</x:f>
      </x:c>
      <x:c r="I27" s="62" t="str">
        <x:f>IF(A27="","",IF(AND(H27&gt;=0,H27&lt;=30),E27,0))</x:f>
      </x:c>
      <x:c r="J27" s="62" t="str">
        <x:f>IF(A27="","",IF(AND(H27&gt;=31,H27&lt;=90),E27,0))</x:f>
      </x:c>
      <x:c r="K27" s="62" t="str">
        <x:f>IF(A27="","",IF(AND(H27&gt;=91,H27&lt;=180),E27,0))</x:f>
      </x:c>
      <x:c r="L27" s="62" t="str">
        <x:f>IF(A27="","",IF(AND(H27&gt;=181,H27&lt;=365),E27,0))</x:f>
      </x:c>
      <x:c r="M27" s="62" t="str">
        <x:f>IF(A27="","",IF(AND(H27&gt;=366,H27&lt;=730),E27,0))</x:f>
      </x:c>
      <x:c r="N27" s="62" t="str">
        <x:f>IF(A27="","",IF(H27&gt;730,E27,0))</x:f>
      </x:c>
      <x:c r="O27" s="40"/>
      <x:c r="P27" s="41"/>
    </x:row>
    <x:row r="28">
      <x:c r="A28" s="51"/>
      <x:c r="B28" s="52"/>
      <x:c r="C28" s="52"/>
      <x:c r="D28" s="63"/>
      <x:c r="E28" s="63"/>
      <x:c r="F28" s="63"/>
      <x:c r="G28" s="63"/>
      <x:c r="H28" s="63" t="str">
        <x:f>IF(A28="","",'00-说明与参数'!$B$6-G28)</x:f>
      </x:c>
      <x:c r="I28" s="63" t="str">
        <x:f>IF(A28="","",IF(AND(H28&gt;=0,H28&lt;=30),E28,0))</x:f>
      </x:c>
      <x:c r="J28" s="63" t="str">
        <x:f>IF(A28="","",IF(AND(H28&gt;=31,H28&lt;=90),E28,0))</x:f>
      </x:c>
      <x:c r="K28" s="63" t="str">
        <x:f>IF(A28="","",IF(AND(H28&gt;=91,H28&lt;=180),E28,0))</x:f>
      </x:c>
      <x:c r="L28" s="63" t="str">
        <x:f>IF(A28="","",IF(AND(H28&gt;=181,H28&lt;=365),E28,0))</x:f>
      </x:c>
      <x:c r="M28" s="63" t="str">
        <x:f>IF(A28="","",IF(AND(H28&gt;=366,H28&lt;=730),E28,0))</x:f>
      </x:c>
      <x:c r="N28" s="63" t="str">
        <x:f>IF(A28="","",IF(H28&gt;730,E28,0))</x:f>
      </x:c>
      <x:c r="O28" s="52"/>
      <x:c r="P28" s="53"/>
    </x:row>
    <x:row r="29">
      <x:c r="A29" s="39"/>
      <x:c r="B29" s="40"/>
      <x:c r="C29" s="40"/>
      <x:c r="D29" s="62"/>
      <x:c r="E29" s="62"/>
      <x:c r="F29" s="62"/>
      <x:c r="G29" s="62"/>
      <x:c r="H29" s="62" t="str">
        <x:f>IF(A29="","",'00-说明与参数'!$B$6-G29)</x:f>
      </x:c>
      <x:c r="I29" s="62" t="str">
        <x:f>IF(A29="","",IF(AND(H29&gt;=0,H29&lt;=30),E29,0))</x:f>
      </x:c>
      <x:c r="J29" s="62" t="str">
        <x:f>IF(A29="","",IF(AND(H29&gt;=31,H29&lt;=90),E29,0))</x:f>
      </x:c>
      <x:c r="K29" s="62" t="str">
        <x:f>IF(A29="","",IF(AND(H29&gt;=91,H29&lt;=180),E29,0))</x:f>
      </x:c>
      <x:c r="L29" s="62" t="str">
        <x:f>IF(A29="","",IF(AND(H29&gt;=181,H29&lt;=365),E29,0))</x:f>
      </x:c>
      <x:c r="M29" s="62" t="str">
        <x:f>IF(A29="","",IF(AND(H29&gt;=366,H29&lt;=730),E29,0))</x:f>
      </x:c>
      <x:c r="N29" s="62" t="str">
        <x:f>IF(A29="","",IF(H29&gt;730,E29,0))</x:f>
      </x:c>
      <x:c r="O29" s="40"/>
      <x:c r="P29" s="41"/>
    </x:row>
    <x:row r="30">
      <x:c r="A30" s="54"/>
      <x:c r="B30" s="55"/>
      <x:c r="C30" s="55"/>
      <x:c r="D30" s="64"/>
      <x:c r="E30" s="64"/>
      <x:c r="F30" s="64"/>
      <x:c r="G30" s="64"/>
      <x:c r="H30" s="64" t="str">
        <x:f>IF(A30="","",'00-说明与参数'!$B$6-G30)</x:f>
      </x:c>
      <x:c r="I30" s="64" t="str">
        <x:f>IF(A30="","",IF(AND(H30&gt;=0,H30&lt;=30),E30,0))</x:f>
      </x:c>
      <x:c r="J30" s="64" t="str">
        <x:f>IF(A30="","",IF(AND(H30&gt;=31,H30&lt;=90),E30,0))</x:f>
      </x:c>
      <x:c r="K30" s="64" t="str">
        <x:f>IF(A30="","",IF(AND(H30&gt;=91,H30&lt;=180),E30,0))</x:f>
      </x:c>
      <x:c r="L30" s="64" t="str">
        <x:f>IF(A30="","",IF(AND(H30&gt;=181,H30&lt;=365),E30,0))</x:f>
      </x:c>
      <x:c r="M30" s="64" t="str">
        <x:f>IF(A30="","",IF(AND(H30&gt;=366,H30&lt;=730),E30,0))</x:f>
      </x:c>
      <x:c r="N30" s="64" t="str">
        <x:f>IF(A30="","",IF(H30&gt;730,E30,0))</x:f>
      </x:c>
      <x:c r="O30" s="55"/>
      <x:c r="P30" s="56"/>
    </x:row>
  </x:sheetData>
  <x:mergeCells>
    <x:mergeCell ref="A1:P1"/>
    <x:mergeCell ref="A2:P2"/>
  </x:mergeCells>
  <x:pageMargins left="0.7" right="0.7" top="0.75" bottom="0.75" header="0.3" footer="0.3"/>
  <x:tableParts count="1">
    <x:tablePart xmlns:r="http://schemas.openxmlformats.org/officeDocument/2006/relationships" r:id="R5c708f4fc4904ce9"/>
  </x:tableParts>
</x:worksheet>
</file>

<file path=xl/worksheets/sheet14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14" hidden="0" customWidth="1"/>
    <x:col min="2" max="2" width="22" hidden="0" customWidth="1"/>
    <x:col min="3" max="3" width="14" hidden="0" customWidth="1"/>
    <x:col min="4" max="4" width="14" hidden="0" customWidth="1"/>
    <x:col min="5" max="5" width="12" hidden="0" customWidth="1"/>
    <x:col min="6" max="6" width="13" hidden="0" customWidth="1"/>
    <x:col min="7" max="7" width="13" hidden="0" customWidth="1"/>
    <x:col min="8" max="8" width="12" hidden="0" customWidth="1"/>
    <x:col min="9" max="9" width="12" hidden="0" customWidth="1"/>
    <x:col min="10" max="10" width="16" hidden="0" customWidth="1"/>
    <x:col min="11" max="11" width="14" hidden="0" customWidth="1"/>
    <x:col min="12" max="12" width="14" hidden="0" customWidth="1"/>
    <x:col min="13" max="13" width="14" hidden="0" customWidth="1"/>
    <x:col min="14" max="14" width="34" hidden="0" customWidth="1"/>
    <x:col min="15" max="15" width="18" hidden="0" customWidth="1"/>
    <x:col min="16" max="16" width="13" hidden="0" customWidth="1"/>
    <x:col min="17" max="17" width="12" hidden="0" customWidth="1"/>
  </x:cols>
  <x:sheetData>
    <x:row r="1" ht="30" customHeight="1">
      <x:c r="A1" s="87" t="str">
        <x:v>呆滞料分析</x:v>
      </x:c>
      <x:c r="B1" s="88"/>
      <x:c r="C1" s="88"/>
      <x:c r="D1" s="88"/>
      <x:c r="E1" s="88"/>
      <x:c r="F1" s="88"/>
      <x:c r="G1" s="88"/>
      <x:c r="H1" s="88"/>
      <x:c r="I1" s="88"/>
      <x:c r="J1" s="88"/>
      <x:c r="K1" s="88"/>
      <x:c r="L1" s="88"/>
      <x:c r="M1" s="88"/>
      <x:c r="N1" s="88"/>
      <x:c r="O1" s="88"/>
      <x:c r="P1" s="88"/>
      <x:c r="Q1" s="88"/>
    </x:row>
    <x:row r="2" ht="24" customHeight="1">
      <x:c r="A2" s="89" t="str">
        <x:v>呆滞≠减值；先确认需求、替代、售后、改制和处置，再进入NRV测算</x:v>
      </x:c>
      <x:c r="B2" s="88"/>
      <x:c r="C2" s="88"/>
      <x:c r="D2" s="88"/>
      <x:c r="E2" s="88"/>
      <x:c r="F2" s="88"/>
      <x:c r="G2" s="88"/>
      <x:c r="H2" s="88"/>
      <x:c r="I2" s="88"/>
      <x:c r="J2" s="88"/>
      <x:c r="K2" s="88"/>
      <x:c r="L2" s="88"/>
      <x:c r="M2" s="88"/>
      <x:c r="N2" s="88"/>
      <x:c r="O2" s="88"/>
      <x:c r="P2" s="88"/>
      <x:c r="Q2" s="88"/>
    </x:row>
    <x:row r="3">
      <x:c r="A3" s="88"/>
      <x:c r="B3" s="88"/>
      <x:c r="C3" s="88"/>
      <x:c r="D3" s="88"/>
      <x:c r="E3" s="88"/>
      <x:c r="F3" s="88"/>
      <x:c r="G3" s="88"/>
      <x:c r="H3" s="88"/>
      <x:c r="I3" s="88"/>
      <x:c r="J3" s="88"/>
      <x:c r="K3" s="88"/>
      <x:c r="L3" s="88"/>
      <x:c r="M3" s="88"/>
      <x:c r="N3" s="88"/>
      <x:c r="O3" s="88"/>
      <x:c r="P3" s="88"/>
      <x:c r="Q3" s="88"/>
    </x:row>
    <x:row r="4">
      <x:c r="A4" s="88"/>
      <x:c r="B4" s="88"/>
      <x:c r="C4" s="88"/>
      <x:c r="D4" s="88"/>
      <x:c r="E4" s="88"/>
      <x:c r="F4" s="88"/>
      <x:c r="G4" s="88"/>
      <x:c r="H4" s="88"/>
      <x:c r="I4" s="88"/>
      <x:c r="J4" s="88"/>
      <x:c r="K4" s="88"/>
      <x:c r="L4" s="88"/>
      <x:c r="M4" s="88"/>
      <x:c r="N4" s="88"/>
      <x:c r="O4" s="88"/>
      <x:c r="P4" s="88"/>
      <x:c r="Q4" s="88"/>
    </x:row>
    <x:row r="5" ht="32" customHeight="1">
      <x:c r="A5" s="15" t="str">
        <x:v>物料</x:v>
      </x:c>
      <x:c r="B5" s="16" t="str">
        <x:v>名称</x:v>
      </x:c>
      <x:c r="C5" s="16" t="str">
        <x:v>类别</x:v>
      </x:c>
      <x:c r="D5" s="16" t="str">
        <x:v>金额</x:v>
      </x:c>
      <x:c r="E5" s="16" t="str">
        <x:v>库龄</x:v>
      </x:c>
      <x:c r="F5" s="16" t="str">
        <x:v>近6月耗用</x:v>
      </x:c>
      <x:c r="G5" s="16" t="str">
        <x:v>未来需求</x:v>
      </x:c>
      <x:c r="H5" s="16" t="str">
        <x:v>旧型号</x:v>
      </x:c>
      <x:c r="I5" s="16" t="str">
        <x:v>可替代</x:v>
      </x:c>
      <x:c r="J5" s="16" t="str">
        <x:v>售后用途</x:v>
      </x:c>
      <x:c r="K5" s="16" t="str">
        <x:v>改制可能</x:v>
      </x:c>
      <x:c r="L5" s="16" t="str">
        <x:v>处置报价</x:v>
      </x:c>
      <x:c r="M5" s="16" t="str">
        <x:v>呆滞结论</x:v>
      </x:c>
      <x:c r="N5" s="16" t="str">
        <x:v>建议动作</x:v>
      </x:c>
      <x:c r="O5" s="16" t="str">
        <x:v>责任部门</x:v>
      </x:c>
      <x:c r="P5" s="16" t="str">
        <x:v>计划日</x:v>
      </x:c>
      <x:c r="Q5" s="17" t="str">
        <x:v>状态</x:v>
      </x:c>
    </x:row>
    <x:row r="6">
      <x:c r="A6" s="48" t="str">
        <x:v>OLD-P80</x:v>
      </x:c>
      <x:c r="B6" s="49" t="str">
        <x:v>旧型号主板</x:v>
      </x:c>
      <x:c r="C6" s="49" t="str">
        <x:v>原材料</x:v>
      </x:c>
      <x:c r="D6" s="61" t="n">
        <x:v>30</x:v>
      </x:c>
      <x:c r="E6" s="61" t="n">
        <x:v>212</x:v>
      </x:c>
      <x:c r="F6" s="61" t="n">
        <x:v>0</x:v>
      </x:c>
      <x:c r="G6" s="61" t="n">
        <x:v>10</x:v>
      </x:c>
      <x:c r="H6" s="61" t="str">
        <x:v>是</x:v>
      </x:c>
      <x:c r="I6" s="61" t="str">
        <x:v>否</x:v>
      </x:c>
      <x:c r="J6" s="61" t="str">
        <x:v>20件</x:v>
      </x:c>
      <x:c r="K6" s="61" t="str">
        <x:v>部分</x:v>
      </x:c>
      <x:c r="L6" s="61" t="n">
        <x:v>18</x:v>
      </x:c>
      <x:c r="M6" s="49" t="str">
        <x:v>是</x:v>
      </x:c>
      <x:c r="N6" s="49" t="str">
        <x:v>保留售后20件；其余处置/跌价</x:v>
      </x:c>
      <x:c r="O6" s="49" t="str">
        <x:v>工程/售后</x:v>
      </x:c>
      <x:c r="P6" s="57" t="n">
        <x:v>46295</x:v>
      </x:c>
      <x:c r="Q6" s="50" t="str">
        <x:v>进行中</x:v>
      </x:c>
    </x:row>
    <x:row r="7">
      <x:c r="A7" s="39" t="str">
        <x:v>FG-P80</x:v>
      </x:c>
      <x:c r="B7" s="40" t="str">
        <x:v>旧型号设备</x:v>
      </x:c>
      <x:c r="C7" s="40" t="str">
        <x:v>产成品</x:v>
      </x:c>
      <x:c r="D7" s="62" t="n">
        <x:v>60</x:v>
      </x:c>
      <x:c r="E7" s="62" t="n">
        <x:v>184</x:v>
      </x:c>
      <x:c r="F7" s="62" t="n">
        <x:v>2</x:v>
      </x:c>
      <x:c r="G7" s="62" t="n">
        <x:v>5</x:v>
      </x:c>
      <x:c r="H7" s="62" t="str">
        <x:v>是</x:v>
      </x:c>
      <x:c r="I7" s="62" t="str">
        <x:v>不适用</x:v>
      </x:c>
      <x:c r="J7" s="62" t="str">
        <x:v>样机2台</x:v>
      </x:c>
      <x:c r="K7" s="62" t="str">
        <x:v>可翻新</x:v>
      </x:c>
      <x:c r="L7" s="62" t="n">
        <x:v>55</x:v>
      </x:c>
      <x:c r="M7" s="40" t="str">
        <x:v>是</x:v>
      </x:c>
      <x:c r="N7" s="40" t="str">
        <x:v>促销并测算NRV</x:v>
      </x:c>
      <x:c r="O7" s="40" t="str">
        <x:v>销售</x:v>
      </x:c>
      <x:c r="P7" s="58" t="n">
        <x:v>46280</x:v>
      </x:c>
      <x:c r="Q7" s="41" t="str">
        <x:v>进行中</x:v>
      </x:c>
    </x:row>
    <x:row r="8">
      <x:c r="A8" s="51"/>
      <x:c r="B8" s="52"/>
      <x:c r="C8" s="52"/>
      <x:c r="D8" s="63"/>
      <x:c r="E8" s="63"/>
      <x:c r="F8" s="63"/>
      <x:c r="G8" s="63"/>
      <x:c r="H8" s="63"/>
      <x:c r="I8" s="63"/>
      <x:c r="J8" s="63"/>
      <x:c r="K8" s="63"/>
      <x:c r="L8" s="63"/>
      <x:c r="M8" s="52"/>
      <x:c r="N8" s="52"/>
      <x:c r="O8" s="52"/>
      <x:c r="P8" s="59"/>
      <x:c r="Q8" s="53"/>
    </x:row>
    <x:row r="9">
      <x:c r="A9" s="39"/>
      <x:c r="B9" s="40"/>
      <x:c r="C9" s="40"/>
      <x:c r="D9" s="62"/>
      <x:c r="E9" s="62"/>
      <x:c r="F9" s="62"/>
      <x:c r="G9" s="62"/>
      <x:c r="H9" s="62"/>
      <x:c r="I9" s="62"/>
      <x:c r="J9" s="62"/>
      <x:c r="K9" s="62"/>
      <x:c r="L9" s="62"/>
      <x:c r="M9" s="40"/>
      <x:c r="N9" s="40"/>
      <x:c r="O9" s="40"/>
      <x:c r="P9" s="58"/>
      <x:c r="Q9" s="41"/>
    </x:row>
    <x:row r="10">
      <x:c r="A10" s="51"/>
      <x:c r="B10" s="52"/>
      <x:c r="C10" s="52"/>
      <x:c r="D10" s="63"/>
      <x:c r="E10" s="63"/>
      <x:c r="F10" s="63"/>
      <x:c r="G10" s="63"/>
      <x:c r="H10" s="63"/>
      <x:c r="I10" s="63"/>
      <x:c r="J10" s="63"/>
      <x:c r="K10" s="63"/>
      <x:c r="L10" s="63"/>
      <x:c r="M10" s="52"/>
      <x:c r="N10" s="52"/>
      <x:c r="O10" s="52"/>
      <x:c r="P10" s="59"/>
      <x:c r="Q10" s="53"/>
    </x:row>
    <x:row r="11">
      <x:c r="A11" s="39"/>
      <x:c r="B11" s="40"/>
      <x:c r="C11" s="40"/>
      <x:c r="D11" s="62"/>
      <x:c r="E11" s="62"/>
      <x:c r="F11" s="62"/>
      <x:c r="G11" s="62"/>
      <x:c r="H11" s="62"/>
      <x:c r="I11" s="62"/>
      <x:c r="J11" s="62"/>
      <x:c r="K11" s="62"/>
      <x:c r="L11" s="62"/>
      <x:c r="M11" s="40"/>
      <x:c r="N11" s="40"/>
      <x:c r="O11" s="40"/>
      <x:c r="P11" s="58"/>
      <x:c r="Q11" s="41"/>
    </x:row>
    <x:row r="12">
      <x:c r="A12" s="51"/>
      <x:c r="B12" s="52"/>
      <x:c r="C12" s="52"/>
      <x:c r="D12" s="63"/>
      <x:c r="E12" s="63"/>
      <x:c r="F12" s="63"/>
      <x:c r="G12" s="63"/>
      <x:c r="H12" s="63"/>
      <x:c r="I12" s="63"/>
      <x:c r="J12" s="63"/>
      <x:c r="K12" s="63"/>
      <x:c r="L12" s="63"/>
      <x:c r="M12" s="52"/>
      <x:c r="N12" s="52"/>
      <x:c r="O12" s="52"/>
      <x:c r="P12" s="59"/>
      <x:c r="Q12" s="53"/>
    </x:row>
    <x:row r="13">
      <x:c r="A13" s="39"/>
      <x:c r="B13" s="40"/>
      <x:c r="C13" s="40"/>
      <x:c r="D13" s="62"/>
      <x:c r="E13" s="62"/>
      <x:c r="F13" s="62"/>
      <x:c r="G13" s="62"/>
      <x:c r="H13" s="62"/>
      <x:c r="I13" s="62"/>
      <x:c r="J13" s="62"/>
      <x:c r="K13" s="62"/>
      <x:c r="L13" s="62"/>
      <x:c r="M13" s="40"/>
      <x:c r="N13" s="40"/>
      <x:c r="O13" s="40"/>
      <x:c r="P13" s="58"/>
      <x:c r="Q13" s="41"/>
    </x:row>
    <x:row r="14">
      <x:c r="A14" s="51"/>
      <x:c r="B14" s="52"/>
      <x:c r="C14" s="52"/>
      <x:c r="D14" s="63"/>
      <x:c r="E14" s="63"/>
      <x:c r="F14" s="63"/>
      <x:c r="G14" s="63"/>
      <x:c r="H14" s="63"/>
      <x:c r="I14" s="63"/>
      <x:c r="J14" s="63"/>
      <x:c r="K14" s="63"/>
      <x:c r="L14" s="63"/>
      <x:c r="M14" s="52"/>
      <x:c r="N14" s="52"/>
      <x:c r="O14" s="52"/>
      <x:c r="P14" s="59"/>
      <x:c r="Q14" s="53"/>
    </x:row>
    <x:row r="15">
      <x:c r="A15" s="39"/>
      <x:c r="B15" s="40"/>
      <x:c r="C15" s="40"/>
      <x:c r="D15" s="62"/>
      <x:c r="E15" s="62"/>
      <x:c r="F15" s="62"/>
      <x:c r="G15" s="62"/>
      <x:c r="H15" s="62"/>
      <x:c r="I15" s="62"/>
      <x:c r="J15" s="62"/>
      <x:c r="K15" s="62"/>
      <x:c r="L15" s="62"/>
      <x:c r="M15" s="40"/>
      <x:c r="N15" s="40"/>
      <x:c r="O15" s="40"/>
      <x:c r="P15" s="58"/>
      <x:c r="Q15" s="41"/>
    </x:row>
    <x:row r="16">
      <x:c r="A16" s="51"/>
      <x:c r="B16" s="52"/>
      <x:c r="C16" s="52"/>
      <x:c r="D16" s="63"/>
      <x:c r="E16" s="63"/>
      <x:c r="F16" s="63"/>
      <x:c r="G16" s="63"/>
      <x:c r="H16" s="63"/>
      <x:c r="I16" s="63"/>
      <x:c r="J16" s="63"/>
      <x:c r="K16" s="63"/>
      <x:c r="L16" s="63"/>
      <x:c r="M16" s="52"/>
      <x:c r="N16" s="52"/>
      <x:c r="O16" s="52"/>
      <x:c r="P16" s="59"/>
      <x:c r="Q16" s="53"/>
    </x:row>
    <x:row r="17">
      <x:c r="A17" s="39"/>
      <x:c r="B17" s="40"/>
      <x:c r="C17" s="40"/>
      <x:c r="D17" s="62"/>
      <x:c r="E17" s="62"/>
      <x:c r="F17" s="62"/>
      <x:c r="G17" s="62"/>
      <x:c r="H17" s="62"/>
      <x:c r="I17" s="62"/>
      <x:c r="J17" s="62"/>
      <x:c r="K17" s="62"/>
      <x:c r="L17" s="62"/>
      <x:c r="M17" s="40"/>
      <x:c r="N17" s="40"/>
      <x:c r="O17" s="40"/>
      <x:c r="P17" s="58"/>
      <x:c r="Q17" s="41"/>
    </x:row>
    <x:row r="18">
      <x:c r="A18" s="51"/>
      <x:c r="B18" s="52"/>
      <x:c r="C18" s="52"/>
      <x:c r="D18" s="63"/>
      <x:c r="E18" s="63"/>
      <x:c r="F18" s="63"/>
      <x:c r="G18" s="63"/>
      <x:c r="H18" s="63"/>
      <x:c r="I18" s="63"/>
      <x:c r="J18" s="63"/>
      <x:c r="K18" s="63"/>
      <x:c r="L18" s="63"/>
      <x:c r="M18" s="52"/>
      <x:c r="N18" s="52"/>
      <x:c r="O18" s="52"/>
      <x:c r="P18" s="59"/>
      <x:c r="Q18" s="53"/>
    </x:row>
    <x:row r="19">
      <x:c r="A19" s="39"/>
      <x:c r="B19" s="40"/>
      <x:c r="C19" s="40"/>
      <x:c r="D19" s="62"/>
      <x:c r="E19" s="62"/>
      <x:c r="F19" s="62"/>
      <x:c r="G19" s="62"/>
      <x:c r="H19" s="62"/>
      <x:c r="I19" s="62"/>
      <x:c r="J19" s="62"/>
      <x:c r="K19" s="62"/>
      <x:c r="L19" s="62"/>
      <x:c r="M19" s="40"/>
      <x:c r="N19" s="40"/>
      <x:c r="O19" s="40"/>
      <x:c r="P19" s="58"/>
      <x:c r="Q19" s="41"/>
    </x:row>
    <x:row r="20">
      <x:c r="A20" s="51"/>
      <x:c r="B20" s="52"/>
      <x:c r="C20" s="52"/>
      <x:c r="D20" s="63"/>
      <x:c r="E20" s="63"/>
      <x:c r="F20" s="63"/>
      <x:c r="G20" s="63"/>
      <x:c r="H20" s="63"/>
      <x:c r="I20" s="63"/>
      <x:c r="J20" s="63"/>
      <x:c r="K20" s="63"/>
      <x:c r="L20" s="63"/>
      <x:c r="M20" s="52"/>
      <x:c r="N20" s="52"/>
      <x:c r="O20" s="52"/>
      <x:c r="P20" s="59"/>
      <x:c r="Q20" s="53"/>
    </x:row>
    <x:row r="21">
      <x:c r="A21" s="39"/>
      <x:c r="B21" s="40"/>
      <x:c r="C21" s="40"/>
      <x:c r="D21" s="62"/>
      <x:c r="E21" s="62"/>
      <x:c r="F21" s="62"/>
      <x:c r="G21" s="62"/>
      <x:c r="H21" s="62"/>
      <x:c r="I21" s="62"/>
      <x:c r="J21" s="62"/>
      <x:c r="K21" s="62"/>
      <x:c r="L21" s="62"/>
      <x:c r="M21" s="40"/>
      <x:c r="N21" s="40"/>
      <x:c r="O21" s="40"/>
      <x:c r="P21" s="58"/>
      <x:c r="Q21" s="41"/>
    </x:row>
    <x:row r="22">
      <x:c r="A22" s="51"/>
      <x:c r="B22" s="52"/>
      <x:c r="C22" s="52"/>
      <x:c r="D22" s="63"/>
      <x:c r="E22" s="63"/>
      <x:c r="F22" s="63"/>
      <x:c r="G22" s="63"/>
      <x:c r="H22" s="63"/>
      <x:c r="I22" s="63"/>
      <x:c r="J22" s="63"/>
      <x:c r="K22" s="63"/>
      <x:c r="L22" s="63"/>
      <x:c r="M22" s="52"/>
      <x:c r="N22" s="52"/>
      <x:c r="O22" s="52"/>
      <x:c r="P22" s="59"/>
      <x:c r="Q22" s="53"/>
    </x:row>
    <x:row r="23">
      <x:c r="A23" s="39"/>
      <x:c r="B23" s="40"/>
      <x:c r="C23" s="40"/>
      <x:c r="D23" s="62"/>
      <x:c r="E23" s="62"/>
      <x:c r="F23" s="62"/>
      <x:c r="G23" s="62"/>
      <x:c r="H23" s="62"/>
      <x:c r="I23" s="62"/>
      <x:c r="J23" s="62"/>
      <x:c r="K23" s="62"/>
      <x:c r="L23" s="62"/>
      <x:c r="M23" s="40"/>
      <x:c r="N23" s="40"/>
      <x:c r="O23" s="40"/>
      <x:c r="P23" s="58"/>
      <x:c r="Q23" s="41"/>
    </x:row>
    <x:row r="24">
      <x:c r="A24" s="51"/>
      <x:c r="B24" s="52"/>
      <x:c r="C24" s="52"/>
      <x:c r="D24" s="63"/>
      <x:c r="E24" s="63"/>
      <x:c r="F24" s="63"/>
      <x:c r="G24" s="63"/>
      <x:c r="H24" s="63"/>
      <x:c r="I24" s="63"/>
      <x:c r="J24" s="63"/>
      <x:c r="K24" s="63"/>
      <x:c r="L24" s="63"/>
      <x:c r="M24" s="52"/>
      <x:c r="N24" s="52"/>
      <x:c r="O24" s="52"/>
      <x:c r="P24" s="59"/>
      <x:c r="Q24" s="53"/>
    </x:row>
    <x:row r="25">
      <x:c r="A25" s="39"/>
      <x:c r="B25" s="40"/>
      <x:c r="C25" s="40"/>
      <x:c r="D25" s="62"/>
      <x:c r="E25" s="62"/>
      <x:c r="F25" s="62"/>
      <x:c r="G25" s="62"/>
      <x:c r="H25" s="62"/>
      <x:c r="I25" s="62"/>
      <x:c r="J25" s="62"/>
      <x:c r="K25" s="62"/>
      <x:c r="L25" s="62"/>
      <x:c r="M25" s="40"/>
      <x:c r="N25" s="40"/>
      <x:c r="O25" s="40"/>
      <x:c r="P25" s="58"/>
      <x:c r="Q25" s="41"/>
    </x:row>
    <x:row r="26">
      <x:c r="A26" s="51"/>
      <x:c r="B26" s="52"/>
      <x:c r="C26" s="52"/>
      <x:c r="D26" s="63"/>
      <x:c r="E26" s="63"/>
      <x:c r="F26" s="63"/>
      <x:c r="G26" s="63"/>
      <x:c r="H26" s="63"/>
      <x:c r="I26" s="63"/>
      <x:c r="J26" s="63"/>
      <x:c r="K26" s="63"/>
      <x:c r="L26" s="63"/>
      <x:c r="M26" s="52"/>
      <x:c r="N26" s="52"/>
      <x:c r="O26" s="52"/>
      <x:c r="P26" s="59"/>
      <x:c r="Q26" s="53"/>
    </x:row>
    <x:row r="27">
      <x:c r="A27" s="39"/>
      <x:c r="B27" s="40"/>
      <x:c r="C27" s="40"/>
      <x:c r="D27" s="62"/>
      <x:c r="E27" s="62"/>
      <x:c r="F27" s="62"/>
      <x:c r="G27" s="62"/>
      <x:c r="H27" s="62"/>
      <x:c r="I27" s="62"/>
      <x:c r="J27" s="62"/>
      <x:c r="K27" s="62"/>
      <x:c r="L27" s="62"/>
      <x:c r="M27" s="40"/>
      <x:c r="N27" s="40"/>
      <x:c r="O27" s="40"/>
      <x:c r="P27" s="58"/>
      <x:c r="Q27" s="41"/>
    </x:row>
    <x:row r="28">
      <x:c r="A28" s="51"/>
      <x:c r="B28" s="52"/>
      <x:c r="C28" s="52"/>
      <x:c r="D28" s="63"/>
      <x:c r="E28" s="63"/>
      <x:c r="F28" s="63"/>
      <x:c r="G28" s="63"/>
      <x:c r="H28" s="63"/>
      <x:c r="I28" s="63"/>
      <x:c r="J28" s="63"/>
      <x:c r="K28" s="63"/>
      <x:c r="L28" s="63"/>
      <x:c r="M28" s="52"/>
      <x:c r="N28" s="52"/>
      <x:c r="O28" s="52"/>
      <x:c r="P28" s="59"/>
      <x:c r="Q28" s="53"/>
    </x:row>
    <x:row r="29">
      <x:c r="A29" s="39"/>
      <x:c r="B29" s="40"/>
      <x:c r="C29" s="40"/>
      <x:c r="D29" s="62"/>
      <x:c r="E29" s="62"/>
      <x:c r="F29" s="62"/>
      <x:c r="G29" s="62"/>
      <x:c r="H29" s="62"/>
      <x:c r="I29" s="62"/>
      <x:c r="J29" s="62"/>
      <x:c r="K29" s="62"/>
      <x:c r="L29" s="62"/>
      <x:c r="M29" s="40"/>
      <x:c r="N29" s="40"/>
      <x:c r="O29" s="40"/>
      <x:c r="P29" s="58"/>
      <x:c r="Q29" s="41"/>
    </x:row>
    <x:row r="30">
      <x:c r="A30" s="54"/>
      <x:c r="B30" s="55"/>
      <x:c r="C30" s="55"/>
      <x:c r="D30" s="64"/>
      <x:c r="E30" s="64"/>
      <x:c r="F30" s="64"/>
      <x:c r="G30" s="64"/>
      <x:c r="H30" s="64"/>
      <x:c r="I30" s="64"/>
      <x:c r="J30" s="64"/>
      <x:c r="K30" s="64"/>
      <x:c r="L30" s="64"/>
      <x:c r="M30" s="55"/>
      <x:c r="N30" s="55"/>
      <x:c r="O30" s="55"/>
      <x:c r="P30" s="60"/>
      <x:c r="Q30" s="56"/>
    </x:row>
  </x:sheetData>
  <x:mergeCells>
    <x:mergeCell ref="A1:Q1"/>
    <x:mergeCell ref="A2:Q2"/>
  </x:mergeCells>
  <x:conditionalFormatting sqref="Q6:Q30">
    <x:cfRule type="expression" dxfId="21" priority="1">
      <x:formula>INDIRECT("RC",FALSE)="已关闭"</x:formula>
    </x:cfRule>
    <x:cfRule type="expression" dxfId="22" priority="2">
      <x:formula>INDIRECT("RC",FALSE)="进行中"</x:formula>
    </x:cfRule>
    <x:cfRule type="expression" dxfId="23" priority="3">
      <x:formula>INDIRECT("RC",FALSE)="待复核"</x:formula>
    </x:cfRule>
  </x:conditionalFormatting>
  <x:dataValidations count="1">
    <x:dataValidation type="list" sqref="Q6:Q30">
      <x:formula1>"未开始,进行中,待复核,已关闭,不适用"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5d508d67bbc48ef"/>
  </x:tableParts>
</x:worksheet>
</file>

<file path=xl/worksheets/sheet15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14" hidden="0" customWidth="1"/>
    <x:col min="2" max="2" width="12" hidden="0" customWidth="1"/>
    <x:col min="3" max="3" width="18" hidden="0" customWidth="1"/>
    <x:col min="4" max="4" width="12" hidden="0" customWidth="1"/>
    <x:col min="5" max="5" width="12" hidden="0" customWidth="1"/>
    <x:col min="6" max="6" width="12" hidden="0" customWidth="1"/>
    <x:col min="7" max="7" width="13" hidden="0" customWidth="1"/>
    <x:col min="8" max="8" width="14" hidden="0" customWidth="1"/>
    <x:col min="9" max="9" width="16" hidden="0" customWidth="1"/>
    <x:col min="10" max="10" width="26" hidden="0" customWidth="1"/>
    <x:col min="11" max="11" width="15" hidden="0" customWidth="1"/>
    <x:col min="12" max="12" width="18" hidden="0" customWidth="1"/>
    <x:col min="13" max="13" width="12" hidden="0" customWidth="1"/>
    <x:col min="14" max="14" width="26" hidden="0" customWidth="1"/>
    <x:col min="15" max="15" width="22" hidden="0" customWidth="1"/>
    <x:col min="16" max="16" width="13" hidden="0" customWidth="1"/>
    <x:col min="17" max="17" width="12" hidden="0" customWidth="1"/>
    <x:col min="18" max="18" width="22" hidden="0" customWidth="1"/>
  </x:cols>
  <x:sheetData>
    <x:row r="1" ht="30" customHeight="1">
      <x:c r="A1" s="87" t="str">
        <x:v>盘点差异表</x:v>
      </x:c>
      <x:c r="B1" s="88"/>
      <x:c r="C1" s="88"/>
      <x:c r="D1" s="88"/>
      <x:c r="E1" s="88"/>
      <x:c r="F1" s="88"/>
      <x:c r="G1" s="88"/>
      <x:c r="H1" s="88"/>
      <x:c r="I1" s="88"/>
      <x:c r="J1" s="88"/>
      <x:c r="K1" s="88"/>
      <x:c r="L1" s="88"/>
      <x:c r="M1" s="88"/>
      <x:c r="N1" s="88"/>
      <x:c r="O1" s="88"/>
      <x:c r="P1" s="88"/>
      <x:c r="Q1" s="88"/>
      <x:c r="R1" s="88"/>
    </x:row>
    <x:row r="2" ht="24" customHeight="1">
      <x:c r="A2" s="89" t="str">
        <x:v>盘点计划→冻结/控制收发→初盘复盘→截止→差异→原因→审批→账务处理</x:v>
      </x:c>
      <x:c r="B2" s="88"/>
      <x:c r="C2" s="88"/>
      <x:c r="D2" s="88"/>
      <x:c r="E2" s="88"/>
      <x:c r="F2" s="88"/>
      <x:c r="G2" s="88"/>
      <x:c r="H2" s="88"/>
      <x:c r="I2" s="88"/>
      <x:c r="J2" s="88"/>
      <x:c r="K2" s="88"/>
      <x:c r="L2" s="88"/>
      <x:c r="M2" s="88"/>
      <x:c r="N2" s="88"/>
      <x:c r="O2" s="88"/>
      <x:c r="P2" s="88"/>
      <x:c r="Q2" s="88"/>
      <x:c r="R2" s="88"/>
    </x:row>
    <x:row r="3">
      <x:c r="A3" s="88"/>
      <x:c r="B3" s="88"/>
      <x:c r="C3" s="88"/>
      <x:c r="D3" s="88"/>
      <x:c r="E3" s="88"/>
      <x:c r="F3" s="88"/>
      <x:c r="G3" s="88"/>
      <x:c r="H3" s="88"/>
      <x:c r="I3" s="88"/>
      <x:c r="J3" s="88"/>
      <x:c r="K3" s="88"/>
      <x:c r="L3" s="88"/>
      <x:c r="M3" s="88"/>
      <x:c r="N3" s="88"/>
      <x:c r="O3" s="88"/>
      <x:c r="P3" s="88"/>
      <x:c r="Q3" s="88"/>
      <x:c r="R3" s="88"/>
    </x:row>
    <x:row r="4">
      <x:c r="A4" s="88"/>
      <x:c r="B4" s="88"/>
      <x:c r="C4" s="88"/>
      <x:c r="D4" s="88"/>
      <x:c r="E4" s="88"/>
      <x:c r="F4" s="88"/>
      <x:c r="G4" s="88"/>
      <x:c r="H4" s="88"/>
      <x:c r="I4" s="88"/>
      <x:c r="J4" s="88"/>
      <x:c r="K4" s="88"/>
      <x:c r="L4" s="88"/>
      <x:c r="M4" s="88"/>
      <x:c r="N4" s="88"/>
      <x:c r="O4" s="88"/>
      <x:c r="P4" s="88"/>
      <x:c r="Q4" s="88"/>
      <x:c r="R4" s="88"/>
    </x:row>
    <x:row r="5" ht="32" customHeight="1">
      <x:c r="A5" s="15" t="str">
        <x:v>盘点单</x:v>
      </x:c>
      <x:c r="B5" s="16" t="str">
        <x:v>物料</x:v>
      </x:c>
      <x:c r="C5" s="16" t="str">
        <x:v>仓库/地点</x:v>
      </x:c>
      <x:c r="D5" s="16" t="str">
        <x:v>账面数量</x:v>
      </x:c>
      <x:c r="E5" s="16" t="str">
        <x:v>实盘数量</x:v>
      </x:c>
      <x:c r="F5" s="16" t="str">
        <x:v>数量差</x:v>
      </x:c>
      <x:c r="G5" s="16" t="str">
        <x:v>账面单价</x:v>
      </x:c>
      <x:c r="H5" s="16" t="str">
        <x:v>金额差</x:v>
      </x:c>
      <x:c r="I5" s="16" t="str">
        <x:v>差异类型</x:v>
      </x:c>
      <x:c r="J5" s="16" t="str">
        <x:v>原因</x:v>
      </x:c>
      <x:c r="K5" s="16" t="str">
        <x:v>是否正常损耗</x:v>
      </x:c>
      <x:c r="L5" s="16" t="str">
        <x:v>责任部门</x:v>
      </x:c>
      <x:c r="M5" s="16" t="str">
        <x:v>审批人</x:v>
      </x:c>
      <x:c r="N5" s="16" t="str">
        <x:v>处理分录</x:v>
      </x:c>
      <x:c r="O5" s="16" t="str">
        <x:v>税务影响</x:v>
      </x:c>
      <x:c r="P5" s="16" t="str">
        <x:v>计划关闭</x:v>
      </x:c>
      <x:c r="Q5" s="16" t="str">
        <x:v>状态</x:v>
      </x:c>
      <x:c r="R5" s="17" t="str">
        <x:v>证据</x:v>
      </x:c>
    </x:row>
    <x:row r="6">
      <x:c r="A6" s="48" t="str">
        <x:v>CNT-01</x:v>
      </x:c>
      <x:c r="B6" s="49" t="str">
        <x:v>M02</x:v>
      </x:c>
      <x:c r="C6" s="49" t="str">
        <x:v>原料仓</x:v>
      </x:c>
      <x:c r="D6" s="61" t="n">
        <x:v>50</x:v>
      </x:c>
      <x:c r="E6" s="61" t="n">
        <x:v>45</x:v>
      </x:c>
      <x:c r="F6" s="61" t="n">
        <x:f>IF(A6="","",E6-D6)</x:f>
        <x:v>-5</x:v>
      </x:c>
      <x:c r="G6" s="61" t="n">
        <x:v>0.516</x:v>
      </x:c>
      <x:c r="H6" s="61" t="n">
        <x:f>IF(A6="","",F6*G6)</x:f>
        <x:v>-2.58</x:v>
      </x:c>
      <x:c r="I6" s="49" t="str">
        <x:v>盘亏</x:v>
      </x:c>
      <x:c r="J6" s="49" t="str">
        <x:v>未过账生产补料</x:v>
      </x:c>
      <x:c r="K6" s="49" t="str">
        <x:v>否</x:v>
      </x:c>
      <x:c r="L6" s="49" t="str">
        <x:v>生产/仓库</x:v>
      </x:c>
      <x:c r="M6" s="49" t="str">
        <x:v>主管</x:v>
      </x:c>
      <x:c r="N6" s="49" t="str">
        <x:v>补录领料</x:v>
      </x:c>
      <x:c r="O6" s="49" t="str">
        <x:v>按实际原因判断</x:v>
      </x:c>
      <x:c r="P6" s="57" t="n">
        <x:v>46270</x:v>
      </x:c>
      <x:c r="Q6" s="49" t="str">
        <x:v>进行中</x:v>
      </x:c>
      <x:c r="R6" s="50" t="str">
        <x:v>盘点/补料单</x:v>
      </x:c>
    </x:row>
    <x:row r="7">
      <x:c r="A7" s="39" t="str">
        <x:v>CNT-02</x:v>
      </x:c>
      <x:c r="B7" s="40" t="str">
        <x:v>M03</x:v>
      </x:c>
      <x:c r="C7" s="40" t="str">
        <x:v>委外厂</x:v>
      </x:c>
      <x:c r="D7" s="62" t="n">
        <x:v>10</x:v>
      </x:c>
      <x:c r="E7" s="62" t="n">
        <x:v>10</x:v>
      </x:c>
      <x:c r="F7" s="62" t="n">
        <x:f>IF(A7="","",E7-D7)</x:f>
        <x:v>0</x:v>
      </x:c>
      <x:c r="G7" s="62" t="n">
        <x:v>2</x:v>
      </x:c>
      <x:c r="H7" s="62" t="n">
        <x:f>IF(A7="","",F7*G7)</x:f>
        <x:v>0</x:v>
      </x:c>
      <x:c r="I7" s="40" t="str">
        <x:v>一致</x:v>
      </x:c>
      <x:c r="J7" s="40" t="str"/>
      <x:c r="K7" s="40" t="str">
        <x:v>不适用</x:v>
      </x:c>
      <x:c r="L7" s="40" t="str">
        <x:v>采购</x:v>
      </x:c>
      <x:c r="M7" s="40" t="str">
        <x:v>主管</x:v>
      </x:c>
      <x:c r="N7" s="40" t="str">
        <x:v>无</x:v>
      </x:c>
      <x:c r="O7" s="40" t="str">
        <x:v>无</x:v>
      </x:c>
      <x:c r="P7" s="58" t="n">
        <x:v>46270</x:v>
      </x:c>
      <x:c r="Q7" s="40" t="str">
        <x:v>已关闭</x:v>
      </x:c>
      <x:c r="R7" s="41" t="str">
        <x:v>外协确认</x:v>
      </x:c>
    </x:row>
    <x:row r="8">
      <x:c r="A8" s="51"/>
      <x:c r="B8" s="52"/>
      <x:c r="C8" s="52"/>
      <x:c r="D8" s="63"/>
      <x:c r="E8" s="63"/>
      <x:c r="F8" s="63" t="str">
        <x:f>IF(A8="","",E8-D8)</x:f>
      </x:c>
      <x:c r="G8" s="63"/>
      <x:c r="H8" s="63" t="str">
        <x:f>IF(A8="","",F8*G8)</x:f>
      </x:c>
      <x:c r="I8" s="52"/>
      <x:c r="J8" s="52"/>
      <x:c r="K8" s="52"/>
      <x:c r="L8" s="52"/>
      <x:c r="M8" s="52"/>
      <x:c r="N8" s="52"/>
      <x:c r="O8" s="52"/>
      <x:c r="P8" s="59"/>
      <x:c r="Q8" s="52"/>
      <x:c r="R8" s="53"/>
    </x:row>
    <x:row r="9">
      <x:c r="A9" s="39"/>
      <x:c r="B9" s="40"/>
      <x:c r="C9" s="40"/>
      <x:c r="D9" s="62"/>
      <x:c r="E9" s="62"/>
      <x:c r="F9" s="62" t="str">
        <x:f>IF(A9="","",E9-D9)</x:f>
      </x:c>
      <x:c r="G9" s="62"/>
      <x:c r="H9" s="62" t="str">
        <x:f>IF(A9="","",F9*G9)</x:f>
      </x:c>
      <x:c r="I9" s="40"/>
      <x:c r="J9" s="40"/>
      <x:c r="K9" s="40"/>
      <x:c r="L9" s="40"/>
      <x:c r="M9" s="40"/>
      <x:c r="N9" s="40"/>
      <x:c r="O9" s="40"/>
      <x:c r="P9" s="58"/>
      <x:c r="Q9" s="40"/>
      <x:c r="R9" s="41"/>
    </x:row>
    <x:row r="10">
      <x:c r="A10" s="51"/>
      <x:c r="B10" s="52"/>
      <x:c r="C10" s="52"/>
      <x:c r="D10" s="63"/>
      <x:c r="E10" s="63"/>
      <x:c r="F10" s="63" t="str">
        <x:f>IF(A10="","",E10-D10)</x:f>
      </x:c>
      <x:c r="G10" s="63"/>
      <x:c r="H10" s="63" t="str">
        <x:f>IF(A10="","",F10*G10)</x:f>
      </x:c>
      <x:c r="I10" s="52"/>
      <x:c r="J10" s="52"/>
      <x:c r="K10" s="52"/>
      <x:c r="L10" s="52"/>
      <x:c r="M10" s="52"/>
      <x:c r="N10" s="52"/>
      <x:c r="O10" s="52"/>
      <x:c r="P10" s="59"/>
      <x:c r="Q10" s="52"/>
      <x:c r="R10" s="53"/>
    </x:row>
    <x:row r="11">
      <x:c r="A11" s="39"/>
      <x:c r="B11" s="40"/>
      <x:c r="C11" s="40"/>
      <x:c r="D11" s="62"/>
      <x:c r="E11" s="62"/>
      <x:c r="F11" s="62" t="str">
        <x:f>IF(A11="","",E11-D11)</x:f>
      </x:c>
      <x:c r="G11" s="62"/>
      <x:c r="H11" s="62" t="str">
        <x:f>IF(A11="","",F11*G11)</x:f>
      </x:c>
      <x:c r="I11" s="40"/>
      <x:c r="J11" s="40"/>
      <x:c r="K11" s="40"/>
      <x:c r="L11" s="40"/>
      <x:c r="M11" s="40"/>
      <x:c r="N11" s="40"/>
      <x:c r="O11" s="40"/>
      <x:c r="P11" s="58"/>
      <x:c r="Q11" s="40"/>
      <x:c r="R11" s="41"/>
    </x:row>
    <x:row r="12">
      <x:c r="A12" s="51"/>
      <x:c r="B12" s="52"/>
      <x:c r="C12" s="52"/>
      <x:c r="D12" s="63"/>
      <x:c r="E12" s="63"/>
      <x:c r="F12" s="63" t="str">
        <x:f>IF(A12="","",E12-D12)</x:f>
      </x:c>
      <x:c r="G12" s="63"/>
      <x:c r="H12" s="63" t="str">
        <x:f>IF(A12="","",F12*G12)</x:f>
      </x:c>
      <x:c r="I12" s="52"/>
      <x:c r="J12" s="52"/>
      <x:c r="K12" s="52"/>
      <x:c r="L12" s="52"/>
      <x:c r="M12" s="52"/>
      <x:c r="N12" s="52"/>
      <x:c r="O12" s="52"/>
      <x:c r="P12" s="59"/>
      <x:c r="Q12" s="52"/>
      <x:c r="R12" s="53"/>
    </x:row>
    <x:row r="13">
      <x:c r="A13" s="39"/>
      <x:c r="B13" s="40"/>
      <x:c r="C13" s="40"/>
      <x:c r="D13" s="62"/>
      <x:c r="E13" s="62"/>
      <x:c r="F13" s="62" t="str">
        <x:f>IF(A13="","",E13-D13)</x:f>
      </x:c>
      <x:c r="G13" s="62"/>
      <x:c r="H13" s="62" t="str">
        <x:f>IF(A13="","",F13*G13)</x:f>
      </x:c>
      <x:c r="I13" s="40"/>
      <x:c r="J13" s="40"/>
      <x:c r="K13" s="40"/>
      <x:c r="L13" s="40"/>
      <x:c r="M13" s="40"/>
      <x:c r="N13" s="40"/>
      <x:c r="O13" s="40"/>
      <x:c r="P13" s="58"/>
      <x:c r="Q13" s="40"/>
      <x:c r="R13" s="41"/>
    </x:row>
    <x:row r="14">
      <x:c r="A14" s="51"/>
      <x:c r="B14" s="52"/>
      <x:c r="C14" s="52"/>
      <x:c r="D14" s="63"/>
      <x:c r="E14" s="63"/>
      <x:c r="F14" s="63" t="str">
        <x:f>IF(A14="","",E14-D14)</x:f>
      </x:c>
      <x:c r="G14" s="63"/>
      <x:c r="H14" s="63" t="str">
        <x:f>IF(A14="","",F14*G14)</x:f>
      </x:c>
      <x:c r="I14" s="52"/>
      <x:c r="J14" s="52"/>
      <x:c r="K14" s="52"/>
      <x:c r="L14" s="52"/>
      <x:c r="M14" s="52"/>
      <x:c r="N14" s="52"/>
      <x:c r="O14" s="52"/>
      <x:c r="P14" s="59"/>
      <x:c r="Q14" s="52"/>
      <x:c r="R14" s="53"/>
    </x:row>
    <x:row r="15">
      <x:c r="A15" s="39"/>
      <x:c r="B15" s="40"/>
      <x:c r="C15" s="40"/>
      <x:c r="D15" s="62"/>
      <x:c r="E15" s="62"/>
      <x:c r="F15" s="62" t="str">
        <x:f>IF(A15="","",E15-D15)</x:f>
      </x:c>
      <x:c r="G15" s="62"/>
      <x:c r="H15" s="62" t="str">
        <x:f>IF(A15="","",F15*G15)</x:f>
      </x:c>
      <x:c r="I15" s="40"/>
      <x:c r="J15" s="40"/>
      <x:c r="K15" s="40"/>
      <x:c r="L15" s="40"/>
      <x:c r="M15" s="40"/>
      <x:c r="N15" s="40"/>
      <x:c r="O15" s="40"/>
      <x:c r="P15" s="58"/>
      <x:c r="Q15" s="40"/>
      <x:c r="R15" s="41"/>
    </x:row>
    <x:row r="16">
      <x:c r="A16" s="51"/>
      <x:c r="B16" s="52"/>
      <x:c r="C16" s="52"/>
      <x:c r="D16" s="63"/>
      <x:c r="E16" s="63"/>
      <x:c r="F16" s="63" t="str">
        <x:f>IF(A16="","",E16-D16)</x:f>
      </x:c>
      <x:c r="G16" s="63"/>
      <x:c r="H16" s="63" t="str">
        <x:f>IF(A16="","",F16*G16)</x:f>
      </x:c>
      <x:c r="I16" s="52"/>
      <x:c r="J16" s="52"/>
      <x:c r="K16" s="52"/>
      <x:c r="L16" s="52"/>
      <x:c r="M16" s="52"/>
      <x:c r="N16" s="52"/>
      <x:c r="O16" s="52"/>
      <x:c r="P16" s="59"/>
      <x:c r="Q16" s="52"/>
      <x:c r="R16" s="53"/>
    </x:row>
    <x:row r="17">
      <x:c r="A17" s="39"/>
      <x:c r="B17" s="40"/>
      <x:c r="C17" s="40"/>
      <x:c r="D17" s="62"/>
      <x:c r="E17" s="62"/>
      <x:c r="F17" s="62" t="str">
        <x:f>IF(A17="","",E17-D17)</x:f>
      </x:c>
      <x:c r="G17" s="62"/>
      <x:c r="H17" s="62" t="str">
        <x:f>IF(A17="","",F17*G17)</x:f>
      </x:c>
      <x:c r="I17" s="40"/>
      <x:c r="J17" s="40"/>
      <x:c r="K17" s="40"/>
      <x:c r="L17" s="40"/>
      <x:c r="M17" s="40"/>
      <x:c r="N17" s="40"/>
      <x:c r="O17" s="40"/>
      <x:c r="P17" s="58"/>
      <x:c r="Q17" s="40"/>
      <x:c r="R17" s="41"/>
    </x:row>
    <x:row r="18">
      <x:c r="A18" s="51"/>
      <x:c r="B18" s="52"/>
      <x:c r="C18" s="52"/>
      <x:c r="D18" s="63"/>
      <x:c r="E18" s="63"/>
      <x:c r="F18" s="63" t="str">
        <x:f>IF(A18="","",E18-D18)</x:f>
      </x:c>
      <x:c r="G18" s="63"/>
      <x:c r="H18" s="63" t="str">
        <x:f>IF(A18="","",F18*G18)</x:f>
      </x:c>
      <x:c r="I18" s="52"/>
      <x:c r="J18" s="52"/>
      <x:c r="K18" s="52"/>
      <x:c r="L18" s="52"/>
      <x:c r="M18" s="52"/>
      <x:c r="N18" s="52"/>
      <x:c r="O18" s="52"/>
      <x:c r="P18" s="59"/>
      <x:c r="Q18" s="52"/>
      <x:c r="R18" s="53"/>
    </x:row>
    <x:row r="19">
      <x:c r="A19" s="39"/>
      <x:c r="B19" s="40"/>
      <x:c r="C19" s="40"/>
      <x:c r="D19" s="62"/>
      <x:c r="E19" s="62"/>
      <x:c r="F19" s="62" t="str">
        <x:f>IF(A19="","",E19-D19)</x:f>
      </x:c>
      <x:c r="G19" s="62"/>
      <x:c r="H19" s="62" t="str">
        <x:f>IF(A19="","",F19*G19)</x:f>
      </x:c>
      <x:c r="I19" s="40"/>
      <x:c r="J19" s="40"/>
      <x:c r="K19" s="40"/>
      <x:c r="L19" s="40"/>
      <x:c r="M19" s="40"/>
      <x:c r="N19" s="40"/>
      <x:c r="O19" s="40"/>
      <x:c r="P19" s="58"/>
      <x:c r="Q19" s="40"/>
      <x:c r="R19" s="41"/>
    </x:row>
    <x:row r="20">
      <x:c r="A20" s="51"/>
      <x:c r="B20" s="52"/>
      <x:c r="C20" s="52"/>
      <x:c r="D20" s="63"/>
      <x:c r="E20" s="63"/>
      <x:c r="F20" s="63" t="str">
        <x:f>IF(A20="","",E20-D20)</x:f>
      </x:c>
      <x:c r="G20" s="63"/>
      <x:c r="H20" s="63" t="str">
        <x:f>IF(A20="","",F20*G20)</x:f>
      </x:c>
      <x:c r="I20" s="52"/>
      <x:c r="J20" s="52"/>
      <x:c r="K20" s="52"/>
      <x:c r="L20" s="52"/>
      <x:c r="M20" s="52"/>
      <x:c r="N20" s="52"/>
      <x:c r="O20" s="52"/>
      <x:c r="P20" s="59"/>
      <x:c r="Q20" s="52"/>
      <x:c r="R20" s="53"/>
    </x:row>
    <x:row r="21">
      <x:c r="A21" s="39"/>
      <x:c r="B21" s="40"/>
      <x:c r="C21" s="40"/>
      <x:c r="D21" s="62"/>
      <x:c r="E21" s="62"/>
      <x:c r="F21" s="62" t="str">
        <x:f>IF(A21="","",E21-D21)</x:f>
      </x:c>
      <x:c r="G21" s="62"/>
      <x:c r="H21" s="62" t="str">
        <x:f>IF(A21="","",F21*G21)</x:f>
      </x:c>
      <x:c r="I21" s="40"/>
      <x:c r="J21" s="40"/>
      <x:c r="K21" s="40"/>
      <x:c r="L21" s="40"/>
      <x:c r="M21" s="40"/>
      <x:c r="N21" s="40"/>
      <x:c r="O21" s="40"/>
      <x:c r="P21" s="58"/>
      <x:c r="Q21" s="40"/>
      <x:c r="R21" s="41"/>
    </x:row>
    <x:row r="22">
      <x:c r="A22" s="51"/>
      <x:c r="B22" s="52"/>
      <x:c r="C22" s="52"/>
      <x:c r="D22" s="63"/>
      <x:c r="E22" s="63"/>
      <x:c r="F22" s="63" t="str">
        <x:f>IF(A22="","",E22-D22)</x:f>
      </x:c>
      <x:c r="G22" s="63"/>
      <x:c r="H22" s="63" t="str">
        <x:f>IF(A22="","",F22*G22)</x:f>
      </x:c>
      <x:c r="I22" s="52"/>
      <x:c r="J22" s="52"/>
      <x:c r="K22" s="52"/>
      <x:c r="L22" s="52"/>
      <x:c r="M22" s="52"/>
      <x:c r="N22" s="52"/>
      <x:c r="O22" s="52"/>
      <x:c r="P22" s="59"/>
      <x:c r="Q22" s="52"/>
      <x:c r="R22" s="53"/>
    </x:row>
    <x:row r="23">
      <x:c r="A23" s="39"/>
      <x:c r="B23" s="40"/>
      <x:c r="C23" s="40"/>
      <x:c r="D23" s="62"/>
      <x:c r="E23" s="62"/>
      <x:c r="F23" s="62" t="str">
        <x:f>IF(A23="","",E23-D23)</x:f>
      </x:c>
      <x:c r="G23" s="62"/>
      <x:c r="H23" s="62" t="str">
        <x:f>IF(A23="","",F23*G23)</x:f>
      </x:c>
      <x:c r="I23" s="40"/>
      <x:c r="J23" s="40"/>
      <x:c r="K23" s="40"/>
      <x:c r="L23" s="40"/>
      <x:c r="M23" s="40"/>
      <x:c r="N23" s="40"/>
      <x:c r="O23" s="40"/>
      <x:c r="P23" s="58"/>
      <x:c r="Q23" s="40"/>
      <x:c r="R23" s="41"/>
    </x:row>
    <x:row r="24">
      <x:c r="A24" s="51"/>
      <x:c r="B24" s="52"/>
      <x:c r="C24" s="52"/>
      <x:c r="D24" s="63"/>
      <x:c r="E24" s="63"/>
      <x:c r="F24" s="63" t="str">
        <x:f>IF(A24="","",E24-D24)</x:f>
      </x:c>
      <x:c r="G24" s="63"/>
      <x:c r="H24" s="63" t="str">
        <x:f>IF(A24="","",F24*G24)</x:f>
      </x:c>
      <x:c r="I24" s="52"/>
      <x:c r="J24" s="52"/>
      <x:c r="K24" s="52"/>
      <x:c r="L24" s="52"/>
      <x:c r="M24" s="52"/>
      <x:c r="N24" s="52"/>
      <x:c r="O24" s="52"/>
      <x:c r="P24" s="59"/>
      <x:c r="Q24" s="52"/>
      <x:c r="R24" s="53"/>
    </x:row>
    <x:row r="25">
      <x:c r="A25" s="39"/>
      <x:c r="B25" s="40"/>
      <x:c r="C25" s="40"/>
      <x:c r="D25" s="62"/>
      <x:c r="E25" s="62"/>
      <x:c r="F25" s="62" t="str">
        <x:f>IF(A25="","",E25-D25)</x:f>
      </x:c>
      <x:c r="G25" s="62"/>
      <x:c r="H25" s="62" t="str">
        <x:f>IF(A25="","",F25*G25)</x:f>
      </x:c>
      <x:c r="I25" s="40"/>
      <x:c r="J25" s="40"/>
      <x:c r="K25" s="40"/>
      <x:c r="L25" s="40"/>
      <x:c r="M25" s="40"/>
      <x:c r="N25" s="40"/>
      <x:c r="O25" s="40"/>
      <x:c r="P25" s="58"/>
      <x:c r="Q25" s="40"/>
      <x:c r="R25" s="41"/>
    </x:row>
    <x:row r="26">
      <x:c r="A26" s="51"/>
      <x:c r="B26" s="52"/>
      <x:c r="C26" s="52"/>
      <x:c r="D26" s="63"/>
      <x:c r="E26" s="63"/>
      <x:c r="F26" s="63" t="str">
        <x:f>IF(A26="","",E26-D26)</x:f>
      </x:c>
      <x:c r="G26" s="63"/>
      <x:c r="H26" s="63" t="str">
        <x:f>IF(A26="","",F26*G26)</x:f>
      </x:c>
      <x:c r="I26" s="52"/>
      <x:c r="J26" s="52"/>
      <x:c r="K26" s="52"/>
      <x:c r="L26" s="52"/>
      <x:c r="M26" s="52"/>
      <x:c r="N26" s="52"/>
      <x:c r="O26" s="52"/>
      <x:c r="P26" s="59"/>
      <x:c r="Q26" s="52"/>
      <x:c r="R26" s="53"/>
    </x:row>
    <x:row r="27">
      <x:c r="A27" s="39"/>
      <x:c r="B27" s="40"/>
      <x:c r="C27" s="40"/>
      <x:c r="D27" s="62"/>
      <x:c r="E27" s="62"/>
      <x:c r="F27" s="62" t="str">
        <x:f>IF(A27="","",E27-D27)</x:f>
      </x:c>
      <x:c r="G27" s="62"/>
      <x:c r="H27" s="62" t="str">
        <x:f>IF(A27="","",F27*G27)</x:f>
      </x:c>
      <x:c r="I27" s="40"/>
      <x:c r="J27" s="40"/>
      <x:c r="K27" s="40"/>
      <x:c r="L27" s="40"/>
      <x:c r="M27" s="40"/>
      <x:c r="N27" s="40"/>
      <x:c r="O27" s="40"/>
      <x:c r="P27" s="58"/>
      <x:c r="Q27" s="40"/>
      <x:c r="R27" s="41"/>
    </x:row>
    <x:row r="28">
      <x:c r="A28" s="51"/>
      <x:c r="B28" s="52"/>
      <x:c r="C28" s="52"/>
      <x:c r="D28" s="63"/>
      <x:c r="E28" s="63"/>
      <x:c r="F28" s="63" t="str">
        <x:f>IF(A28="","",E28-D28)</x:f>
      </x:c>
      <x:c r="G28" s="63"/>
      <x:c r="H28" s="63" t="str">
        <x:f>IF(A28="","",F28*G28)</x:f>
      </x:c>
      <x:c r="I28" s="52"/>
      <x:c r="J28" s="52"/>
      <x:c r="K28" s="52"/>
      <x:c r="L28" s="52"/>
      <x:c r="M28" s="52"/>
      <x:c r="N28" s="52"/>
      <x:c r="O28" s="52"/>
      <x:c r="P28" s="59"/>
      <x:c r="Q28" s="52"/>
      <x:c r="R28" s="53"/>
    </x:row>
    <x:row r="29">
      <x:c r="A29" s="39"/>
      <x:c r="B29" s="40"/>
      <x:c r="C29" s="40"/>
      <x:c r="D29" s="62"/>
      <x:c r="E29" s="62"/>
      <x:c r="F29" s="62" t="str">
        <x:f>IF(A29="","",E29-D29)</x:f>
      </x:c>
      <x:c r="G29" s="62"/>
      <x:c r="H29" s="62" t="str">
        <x:f>IF(A29="","",F29*G29)</x:f>
      </x:c>
      <x:c r="I29" s="40"/>
      <x:c r="J29" s="40"/>
      <x:c r="K29" s="40"/>
      <x:c r="L29" s="40"/>
      <x:c r="M29" s="40"/>
      <x:c r="N29" s="40"/>
      <x:c r="O29" s="40"/>
      <x:c r="P29" s="58"/>
      <x:c r="Q29" s="40"/>
      <x:c r="R29" s="41"/>
    </x:row>
    <x:row r="30">
      <x:c r="A30" s="54"/>
      <x:c r="B30" s="55"/>
      <x:c r="C30" s="55"/>
      <x:c r="D30" s="64"/>
      <x:c r="E30" s="64"/>
      <x:c r="F30" s="64" t="str">
        <x:f>IF(A30="","",E30-D30)</x:f>
      </x:c>
      <x:c r="G30" s="64"/>
      <x:c r="H30" s="64" t="str">
        <x:f>IF(A30="","",F30*G30)</x:f>
      </x:c>
      <x:c r="I30" s="55"/>
      <x:c r="J30" s="55"/>
      <x:c r="K30" s="55"/>
      <x:c r="L30" s="55"/>
      <x:c r="M30" s="55"/>
      <x:c r="N30" s="55"/>
      <x:c r="O30" s="55"/>
      <x:c r="P30" s="60"/>
      <x:c r="Q30" s="55"/>
      <x:c r="R30" s="56"/>
    </x:row>
  </x:sheetData>
  <x:mergeCells>
    <x:mergeCell ref="A1:R1"/>
    <x:mergeCell ref="A2:R2"/>
  </x:mergeCells>
  <x:conditionalFormatting sqref="Q6:Q30">
    <x:cfRule type="expression" dxfId="24" priority="1">
      <x:formula>INDIRECT("RC",FALSE)="已关闭"</x:formula>
    </x:cfRule>
    <x:cfRule type="expression" dxfId="25" priority="2">
      <x:formula>INDIRECT("RC",FALSE)="进行中"</x:formula>
    </x:cfRule>
    <x:cfRule type="expression" dxfId="26" priority="3">
      <x:formula>INDIRECT("RC",FALSE)="待复核"</x:formula>
    </x:cfRule>
  </x:conditionalFormatting>
  <x:dataValidations count="1">
    <x:dataValidation type="list" sqref="Q6:Q30">
      <x:formula1>"未开始,进行中,待复核,已关闭,不适用"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fd114b96a364083"/>
  </x:tableParts>
</x:worksheet>
</file>

<file path=xl/worksheets/sheet16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16" hidden="0" customWidth="1"/>
    <x:col min="2" max="2" width="14" hidden="0" customWidth="1"/>
    <x:col min="3" max="3" width="12" hidden="0" customWidth="1"/>
    <x:col min="4" max="4" width="13" hidden="0" customWidth="1"/>
    <x:col min="5" max="5" width="14" hidden="0" customWidth="1"/>
    <x:col min="6" max="6" width="13" hidden="0" customWidth="1"/>
    <x:col min="7" max="7" width="14" hidden="0" customWidth="1"/>
    <x:col min="8" max="8" width="14" hidden="0" customWidth="1"/>
    <x:col min="9" max="9" width="13" hidden="0" customWidth="1"/>
    <x:col min="10" max="10" width="14" hidden="0" customWidth="1"/>
    <x:col min="11" max="11" width="14" hidden="0" customWidth="1"/>
    <x:col min="12" max="12" width="13" hidden="0" customWidth="1"/>
    <x:col min="13" max="13" width="15" hidden="0" customWidth="1"/>
    <x:col min="14" max="14" width="30" hidden="0" customWidth="1"/>
    <x:col min="15" max="15" width="18" hidden="0" customWidth="1"/>
    <x:col min="16" max="16" width="16" hidden="0" customWidth="1"/>
    <x:col min="17" max="17" width="12" hidden="0" customWidth="1"/>
    <x:col min="18" max="18" width="12" hidden="0" customWidth="1"/>
  </x:cols>
  <x:sheetData>
    <x:row r="1" ht="30" customHeight="1">
      <x:c r="A1" s="87" t="str">
        <x:v>存货跌价测算表</x:v>
      </x:c>
      <x:c r="B1" s="88"/>
      <x:c r="C1" s="88"/>
      <x:c r="D1" s="88"/>
      <x:c r="E1" s="88"/>
      <x:c r="F1" s="88"/>
      <x:c r="G1" s="88"/>
      <x:c r="H1" s="88"/>
      <x:c r="I1" s="88"/>
      <x:c r="J1" s="88"/>
      <x:c r="K1" s="88"/>
      <x:c r="L1" s="88"/>
      <x:c r="M1" s="88"/>
      <x:c r="N1" s="88"/>
      <x:c r="O1" s="88"/>
      <x:c r="P1" s="88"/>
      <x:c r="Q1" s="88"/>
      <x:c r="R1" s="88"/>
    </x:row>
    <x:row r="2" ht="24" customHeight="1">
      <x:c r="A2" s="89" t="str">
        <x:v>资产负债表日按成本与可变现净值孰低；确凿证据、持有目的和日后事项需留痕</x:v>
      </x:c>
      <x:c r="B2" s="88"/>
      <x:c r="C2" s="88"/>
      <x:c r="D2" s="88"/>
      <x:c r="E2" s="88"/>
      <x:c r="F2" s="88"/>
      <x:c r="G2" s="88"/>
      <x:c r="H2" s="88"/>
      <x:c r="I2" s="88"/>
      <x:c r="J2" s="88"/>
      <x:c r="K2" s="88"/>
      <x:c r="L2" s="88"/>
      <x:c r="M2" s="88"/>
      <x:c r="N2" s="88"/>
      <x:c r="O2" s="88"/>
      <x:c r="P2" s="88"/>
      <x:c r="Q2" s="88"/>
      <x:c r="R2" s="88"/>
    </x:row>
    <x:row r="3">
      <x:c r="A3" s="88"/>
      <x:c r="B3" s="88"/>
      <x:c r="C3" s="88"/>
      <x:c r="D3" s="88"/>
      <x:c r="E3" s="88"/>
      <x:c r="F3" s="88"/>
      <x:c r="G3" s="88"/>
      <x:c r="H3" s="88"/>
      <x:c r="I3" s="88"/>
      <x:c r="J3" s="88"/>
      <x:c r="K3" s="88"/>
      <x:c r="L3" s="88"/>
      <x:c r="M3" s="88"/>
      <x:c r="N3" s="88"/>
      <x:c r="O3" s="88"/>
      <x:c r="P3" s="88"/>
      <x:c r="Q3" s="88"/>
      <x:c r="R3" s="88"/>
    </x:row>
    <x:row r="4">
      <x:c r="A4" s="88"/>
      <x:c r="B4" s="88"/>
      <x:c r="C4" s="88"/>
      <x:c r="D4" s="88"/>
      <x:c r="E4" s="88"/>
      <x:c r="F4" s="88"/>
      <x:c r="G4" s="88"/>
      <x:c r="H4" s="88"/>
      <x:c r="I4" s="88"/>
      <x:c r="J4" s="88"/>
      <x:c r="K4" s="88"/>
      <x:c r="L4" s="88"/>
      <x:c r="M4" s="88"/>
      <x:c r="N4" s="88"/>
      <x:c r="O4" s="88"/>
      <x:c r="P4" s="88"/>
      <x:c r="Q4" s="88"/>
      <x:c r="R4" s="88"/>
    </x:row>
    <x:row r="5" ht="32" customHeight="1">
      <x:c r="A5" s="15" t="str">
        <x:v>物料/产品</x:v>
      </x:c>
      <x:c r="B5" s="16" t="str">
        <x:v>类别</x:v>
      </x:c>
      <x:c r="C5" s="16" t="str">
        <x:v>数量</x:v>
      </x:c>
      <x:c r="D5" s="16" t="str">
        <x:v>单位成本</x:v>
      </x:c>
      <x:c r="E5" s="16" t="str">
        <x:v>账面成本</x:v>
      </x:c>
      <x:c r="F5" s="16" t="str">
        <x:v>预计售价</x:v>
      </x:c>
      <x:c r="G5" s="16" t="str">
        <x:v>至完工成本</x:v>
      </x:c>
      <x:c r="H5" s="16" t="str">
        <x:v>销售费税费</x:v>
      </x:c>
      <x:c r="I5" s="16" t="str">
        <x:v>单位NRV</x:v>
      </x:c>
      <x:c r="J5" s="16" t="str">
        <x:v>总NRV</x:v>
      </x:c>
      <x:c r="K5" s="16" t="str">
        <x:v>应计跌价</x:v>
      </x:c>
      <x:c r="L5" s="16" t="str">
        <x:v>已有准备</x:v>
      </x:c>
      <x:c r="M5" s="16" t="str">
        <x:v>本期计提/转回</x:v>
      </x:c>
      <x:c r="N5" s="16" t="str">
        <x:v>证据</x:v>
      </x:c>
      <x:c r="O5" s="16" t="str">
        <x:v>持有目的</x:v>
      </x:c>
      <x:c r="P5" s="16" t="str">
        <x:v>责任部门</x:v>
      </x:c>
      <x:c r="Q5" s="16" t="str">
        <x:v>复核人</x:v>
      </x:c>
      <x:c r="R5" s="17" t="str">
        <x:v>状态</x:v>
      </x:c>
    </x:row>
    <x:row r="6">
      <x:c r="A6" s="48" t="str">
        <x:v>FG-P80</x:v>
      </x:c>
      <x:c r="B6" s="49" t="str">
        <x:v>产成品</x:v>
      </x:c>
      <x:c r="C6" s="61" t="n">
        <x:v>20</x:v>
      </x:c>
      <x:c r="D6" s="61" t="n">
        <x:v>3</x:v>
      </x:c>
      <x:c r="E6" s="61" t="n">
        <x:f>IF(A6="","",C6*D6)</x:f>
        <x:v>60</x:v>
      </x:c>
      <x:c r="F6" s="61" t="n">
        <x:v>2.75</x:v>
      </x:c>
      <x:c r="G6" s="61" t="n">
        <x:v>0</x:v>
      </x:c>
      <x:c r="H6" s="61" t="n">
        <x:v>0.15</x:v>
      </x:c>
      <x:c r="I6" s="61" t="n">
        <x:f>IF(A6="","",F6-G6-H6)</x:f>
        <x:v>2.6</x:v>
      </x:c>
      <x:c r="J6" s="61" t="n">
        <x:f>IF(A6="","",C6*I6)</x:f>
        <x:v>52</x:v>
      </x:c>
      <x:c r="K6" s="61" t="n">
        <x:f>IF(A6="","",MAX(0,E6-J6))</x:f>
        <x:v>8</x:v>
      </x:c>
      <x:c r="L6" s="61" t="n">
        <x:v>0</x:v>
      </x:c>
      <x:c r="M6" s="61" t="n">
        <x:f>IF(A6="","",K6-L6)</x:f>
        <x:v>8</x:v>
      </x:c>
      <x:c r="N6" s="49" t="str">
        <x:v>近期报价/促销</x:v>
      </x:c>
      <x:c r="O6" s="49" t="str">
        <x:v>出售</x:v>
      </x:c>
      <x:c r="P6" s="49" t="str">
        <x:v>销售</x:v>
      </x:c>
      <x:c r="Q6" s="49" t="str">
        <x:v>主管</x:v>
      </x:c>
      <x:c r="R6" s="50" t="str">
        <x:v>待复核</x:v>
      </x:c>
    </x:row>
    <x:row r="7">
      <x:c r="A7" s="39" t="str">
        <x:v>OLD-P80</x:v>
      </x:c>
      <x:c r="B7" s="40" t="str">
        <x:v>原材料</x:v>
      </x:c>
      <x:c r="C7" s="62" t="n">
        <x:v>100</x:v>
      </x:c>
      <x:c r="D7" s="62" t="n">
        <x:v>0.3</x:v>
      </x:c>
      <x:c r="E7" s="62" t="n">
        <x:f>IF(A7="","",C7*D7)</x:f>
        <x:v>30</x:v>
      </x:c>
      <x:c r="F7" s="62" t="n">
        <x:v>0.2</x:v>
      </x:c>
      <x:c r="G7" s="62" t="n">
        <x:v>0</x:v>
      </x:c>
      <x:c r="H7" s="62" t="n">
        <x:v>0.02</x:v>
      </x:c>
      <x:c r="I7" s="62" t="n">
        <x:f>IF(A7="","",F7-G7-H7)</x:f>
        <x:v>0.18000000000000002</x:v>
      </x:c>
      <x:c r="J7" s="62" t="n">
        <x:f>IF(A7="","",C7*I7)</x:f>
        <x:v>18.000000000000004</x:v>
      </x:c>
      <x:c r="K7" s="62" t="n">
        <x:f>IF(A7="","",MAX(0,E7-J7))</x:f>
        <x:v>11.999999999999996</x:v>
      </x:c>
      <x:c r="L7" s="62" t="n">
        <x:v>0</x:v>
      </x:c>
      <x:c r="M7" s="62" t="n">
        <x:f>IF(A7="","",K7-L7)</x:f>
        <x:v>11.999999999999996</x:v>
      </x:c>
      <x:c r="N7" s="40" t="str">
        <x:v>处置报价/售后计划</x:v>
      </x:c>
      <x:c r="O7" s="40" t="str">
        <x:v>售后/处置</x:v>
      </x:c>
      <x:c r="P7" s="40" t="str">
        <x:v>工程</x:v>
      </x:c>
      <x:c r="Q7" s="40" t="str">
        <x:v>主管</x:v>
      </x:c>
      <x:c r="R7" s="41" t="str">
        <x:v>待复核</x:v>
      </x:c>
    </x:row>
    <x:row r="8">
      <x:c r="A8" s="51" t="str">
        <x:v>C200</x:v>
      </x:c>
      <x:c r="B8" s="52" t="str">
        <x:v>产成品</x:v>
      </x:c>
      <x:c r="C8" s="63" t="n">
        <x:v>200</x:v>
      </x:c>
      <x:c r="D8" s="63" t="n">
        <x:v>0.2</x:v>
      </x:c>
      <x:c r="E8" s="63" t="n">
        <x:f>IF(A8="","",C8*D8)</x:f>
        <x:v>40</x:v>
      </x:c>
      <x:c r="F8" s="63" t="n">
        <x:v>0.26</x:v>
      </x:c>
      <x:c r="G8" s="63" t="n">
        <x:v>0</x:v>
      </x:c>
      <x:c r="H8" s="63" t="n">
        <x:v>0.02</x:v>
      </x:c>
      <x:c r="I8" s="63" t="n">
        <x:f>IF(A8="","",F8-G8-H8)</x:f>
        <x:v>0.24000000000000002</x:v>
      </x:c>
      <x:c r="J8" s="63" t="n">
        <x:f>IF(A8="","",C8*I8)</x:f>
        <x:v>48.00000000000001</x:v>
      </x:c>
      <x:c r="K8" s="63" t="n">
        <x:f>IF(A8="","",MAX(0,E8-J8))</x:f>
        <x:v>0</x:v>
      </x:c>
      <x:c r="L8" s="63" t="n">
        <x:v>0</x:v>
      </x:c>
      <x:c r="M8" s="63" t="n">
        <x:f>IF(A8="","",K8-L8)</x:f>
        <x:v>0</x:v>
      </x:c>
      <x:c r="N8" s="52" t="str">
        <x:v>订单/售价</x:v>
      </x:c>
      <x:c r="O8" s="52" t="str">
        <x:v>正常销售</x:v>
      </x:c>
      <x:c r="P8" s="52" t="str">
        <x:v>销售</x:v>
      </x:c>
      <x:c r="Q8" s="52" t="str">
        <x:v>主管</x:v>
      </x:c>
      <x:c r="R8" s="53" t="str">
        <x:v>已关闭</x:v>
      </x:c>
    </x:row>
    <x:row r="9">
      <x:c r="A9" s="39"/>
      <x:c r="B9" s="40"/>
      <x:c r="C9" s="62"/>
      <x:c r="D9" s="62"/>
      <x:c r="E9" s="62" t="str">
        <x:f>IF(A9="","",C9*D9)</x:f>
      </x:c>
      <x:c r="F9" s="62"/>
      <x:c r="G9" s="62"/>
      <x:c r="H9" s="62"/>
      <x:c r="I9" s="62" t="str">
        <x:f>IF(A9="","",F9-G9-H9)</x:f>
      </x:c>
      <x:c r="J9" s="62" t="str">
        <x:f>IF(A9="","",C9*I9)</x:f>
      </x:c>
      <x:c r="K9" s="62" t="str">
        <x:f>IF(A9="","",MAX(0,E9-J9))</x:f>
      </x:c>
      <x:c r="L9" s="62"/>
      <x:c r="M9" s="62" t="str">
        <x:f>IF(A9="","",K9-L9)</x:f>
      </x:c>
      <x:c r="N9" s="40"/>
      <x:c r="O9" s="40"/>
      <x:c r="P9" s="40"/>
      <x:c r="Q9" s="40"/>
      <x:c r="R9" s="41"/>
    </x:row>
    <x:row r="10">
      <x:c r="A10" s="51"/>
      <x:c r="B10" s="52"/>
      <x:c r="C10" s="63"/>
      <x:c r="D10" s="63"/>
      <x:c r="E10" s="63" t="str">
        <x:f>IF(A10="","",C10*D10)</x:f>
      </x:c>
      <x:c r="F10" s="63"/>
      <x:c r="G10" s="63"/>
      <x:c r="H10" s="63"/>
      <x:c r="I10" s="63" t="str">
        <x:f>IF(A10="","",F10-G10-H10)</x:f>
      </x:c>
      <x:c r="J10" s="63" t="str">
        <x:f>IF(A10="","",C10*I10)</x:f>
      </x:c>
      <x:c r="K10" s="63" t="str">
        <x:f>IF(A10="","",MAX(0,E10-J10))</x:f>
      </x:c>
      <x:c r="L10" s="63"/>
      <x:c r="M10" s="63" t="str">
        <x:f>IF(A10="","",K10-L10)</x:f>
      </x:c>
      <x:c r="N10" s="52"/>
      <x:c r="O10" s="52"/>
      <x:c r="P10" s="52"/>
      <x:c r="Q10" s="52"/>
      <x:c r="R10" s="53"/>
    </x:row>
    <x:row r="11">
      <x:c r="A11" s="39"/>
      <x:c r="B11" s="40"/>
      <x:c r="C11" s="62"/>
      <x:c r="D11" s="62"/>
      <x:c r="E11" s="62" t="str">
        <x:f>IF(A11="","",C11*D11)</x:f>
      </x:c>
      <x:c r="F11" s="62"/>
      <x:c r="G11" s="62"/>
      <x:c r="H11" s="62"/>
      <x:c r="I11" s="62" t="str">
        <x:f>IF(A11="","",F11-G11-H11)</x:f>
      </x:c>
      <x:c r="J11" s="62" t="str">
        <x:f>IF(A11="","",C11*I11)</x:f>
      </x:c>
      <x:c r="K11" s="62" t="str">
        <x:f>IF(A11="","",MAX(0,E11-J11))</x:f>
      </x:c>
      <x:c r="L11" s="62"/>
      <x:c r="M11" s="62" t="str">
        <x:f>IF(A11="","",K11-L11)</x:f>
      </x:c>
      <x:c r="N11" s="40"/>
      <x:c r="O11" s="40"/>
      <x:c r="P11" s="40"/>
      <x:c r="Q11" s="40"/>
      <x:c r="R11" s="41"/>
    </x:row>
    <x:row r="12">
      <x:c r="A12" s="51"/>
      <x:c r="B12" s="52"/>
      <x:c r="C12" s="63"/>
      <x:c r="D12" s="63"/>
      <x:c r="E12" s="63" t="str">
        <x:f>IF(A12="","",C12*D12)</x:f>
      </x:c>
      <x:c r="F12" s="63"/>
      <x:c r="G12" s="63"/>
      <x:c r="H12" s="63"/>
      <x:c r="I12" s="63" t="str">
        <x:f>IF(A12="","",F12-G12-H12)</x:f>
      </x:c>
      <x:c r="J12" s="63" t="str">
        <x:f>IF(A12="","",C12*I12)</x:f>
      </x:c>
      <x:c r="K12" s="63" t="str">
        <x:f>IF(A12="","",MAX(0,E12-J12))</x:f>
      </x:c>
      <x:c r="L12" s="63"/>
      <x:c r="M12" s="63" t="str">
        <x:f>IF(A12="","",K12-L12)</x:f>
      </x:c>
      <x:c r="N12" s="52"/>
      <x:c r="O12" s="52"/>
      <x:c r="P12" s="52"/>
      <x:c r="Q12" s="52"/>
      <x:c r="R12" s="53"/>
    </x:row>
    <x:row r="13">
      <x:c r="A13" s="39"/>
      <x:c r="B13" s="40"/>
      <x:c r="C13" s="62"/>
      <x:c r="D13" s="62"/>
      <x:c r="E13" s="62" t="str">
        <x:f>IF(A13="","",C13*D13)</x:f>
      </x:c>
      <x:c r="F13" s="62"/>
      <x:c r="G13" s="62"/>
      <x:c r="H13" s="62"/>
      <x:c r="I13" s="62" t="str">
        <x:f>IF(A13="","",F13-G13-H13)</x:f>
      </x:c>
      <x:c r="J13" s="62" t="str">
        <x:f>IF(A13="","",C13*I13)</x:f>
      </x:c>
      <x:c r="K13" s="62" t="str">
        <x:f>IF(A13="","",MAX(0,E13-J13))</x:f>
      </x:c>
      <x:c r="L13" s="62"/>
      <x:c r="M13" s="62" t="str">
        <x:f>IF(A13="","",K13-L13)</x:f>
      </x:c>
      <x:c r="N13" s="40"/>
      <x:c r="O13" s="40"/>
      <x:c r="P13" s="40"/>
      <x:c r="Q13" s="40"/>
      <x:c r="R13" s="41"/>
    </x:row>
    <x:row r="14">
      <x:c r="A14" s="51"/>
      <x:c r="B14" s="52"/>
      <x:c r="C14" s="63"/>
      <x:c r="D14" s="63"/>
      <x:c r="E14" s="63" t="str">
        <x:f>IF(A14="","",C14*D14)</x:f>
      </x:c>
      <x:c r="F14" s="63"/>
      <x:c r="G14" s="63"/>
      <x:c r="H14" s="63"/>
      <x:c r="I14" s="63" t="str">
        <x:f>IF(A14="","",F14-G14-H14)</x:f>
      </x:c>
      <x:c r="J14" s="63" t="str">
        <x:f>IF(A14="","",C14*I14)</x:f>
      </x:c>
      <x:c r="K14" s="63" t="str">
        <x:f>IF(A14="","",MAX(0,E14-J14))</x:f>
      </x:c>
      <x:c r="L14" s="63"/>
      <x:c r="M14" s="63" t="str">
        <x:f>IF(A14="","",K14-L14)</x:f>
      </x:c>
      <x:c r="N14" s="52"/>
      <x:c r="O14" s="52"/>
      <x:c r="P14" s="52"/>
      <x:c r="Q14" s="52"/>
      <x:c r="R14" s="53"/>
    </x:row>
    <x:row r="15">
      <x:c r="A15" s="39"/>
      <x:c r="B15" s="40"/>
      <x:c r="C15" s="62"/>
      <x:c r="D15" s="62"/>
      <x:c r="E15" s="62" t="str">
        <x:f>IF(A15="","",C15*D15)</x:f>
      </x:c>
      <x:c r="F15" s="62"/>
      <x:c r="G15" s="62"/>
      <x:c r="H15" s="62"/>
      <x:c r="I15" s="62" t="str">
        <x:f>IF(A15="","",F15-G15-H15)</x:f>
      </x:c>
      <x:c r="J15" s="62" t="str">
        <x:f>IF(A15="","",C15*I15)</x:f>
      </x:c>
      <x:c r="K15" s="62" t="str">
        <x:f>IF(A15="","",MAX(0,E15-J15))</x:f>
      </x:c>
      <x:c r="L15" s="62"/>
      <x:c r="M15" s="62" t="str">
        <x:f>IF(A15="","",K15-L15)</x:f>
      </x:c>
      <x:c r="N15" s="40"/>
      <x:c r="O15" s="40"/>
      <x:c r="P15" s="40"/>
      <x:c r="Q15" s="40"/>
      <x:c r="R15" s="41"/>
    </x:row>
    <x:row r="16">
      <x:c r="A16" s="51"/>
      <x:c r="B16" s="52"/>
      <x:c r="C16" s="63"/>
      <x:c r="D16" s="63"/>
      <x:c r="E16" s="63" t="str">
        <x:f>IF(A16="","",C16*D16)</x:f>
      </x:c>
      <x:c r="F16" s="63"/>
      <x:c r="G16" s="63"/>
      <x:c r="H16" s="63"/>
      <x:c r="I16" s="63" t="str">
        <x:f>IF(A16="","",F16-G16-H16)</x:f>
      </x:c>
      <x:c r="J16" s="63" t="str">
        <x:f>IF(A16="","",C16*I16)</x:f>
      </x:c>
      <x:c r="K16" s="63" t="str">
        <x:f>IF(A16="","",MAX(0,E16-J16))</x:f>
      </x:c>
      <x:c r="L16" s="63"/>
      <x:c r="M16" s="63" t="str">
        <x:f>IF(A16="","",K16-L16)</x:f>
      </x:c>
      <x:c r="N16" s="52"/>
      <x:c r="O16" s="52"/>
      <x:c r="P16" s="52"/>
      <x:c r="Q16" s="52"/>
      <x:c r="R16" s="53"/>
    </x:row>
    <x:row r="17">
      <x:c r="A17" s="39"/>
      <x:c r="B17" s="40"/>
      <x:c r="C17" s="62"/>
      <x:c r="D17" s="62"/>
      <x:c r="E17" s="62" t="str">
        <x:f>IF(A17="","",C17*D17)</x:f>
      </x:c>
      <x:c r="F17" s="62"/>
      <x:c r="G17" s="62"/>
      <x:c r="H17" s="62"/>
      <x:c r="I17" s="62" t="str">
        <x:f>IF(A17="","",F17-G17-H17)</x:f>
      </x:c>
      <x:c r="J17" s="62" t="str">
        <x:f>IF(A17="","",C17*I17)</x:f>
      </x:c>
      <x:c r="K17" s="62" t="str">
        <x:f>IF(A17="","",MAX(0,E17-J17))</x:f>
      </x:c>
      <x:c r="L17" s="62"/>
      <x:c r="M17" s="62" t="str">
        <x:f>IF(A17="","",K17-L17)</x:f>
      </x:c>
      <x:c r="N17" s="40"/>
      <x:c r="O17" s="40"/>
      <x:c r="P17" s="40"/>
      <x:c r="Q17" s="40"/>
      <x:c r="R17" s="41"/>
    </x:row>
    <x:row r="18">
      <x:c r="A18" s="51"/>
      <x:c r="B18" s="52"/>
      <x:c r="C18" s="63"/>
      <x:c r="D18" s="63"/>
      <x:c r="E18" s="63" t="str">
        <x:f>IF(A18="","",C18*D18)</x:f>
      </x:c>
      <x:c r="F18" s="63"/>
      <x:c r="G18" s="63"/>
      <x:c r="H18" s="63"/>
      <x:c r="I18" s="63" t="str">
        <x:f>IF(A18="","",F18-G18-H18)</x:f>
      </x:c>
      <x:c r="J18" s="63" t="str">
        <x:f>IF(A18="","",C18*I18)</x:f>
      </x:c>
      <x:c r="K18" s="63" t="str">
        <x:f>IF(A18="","",MAX(0,E18-J18))</x:f>
      </x:c>
      <x:c r="L18" s="63"/>
      <x:c r="M18" s="63" t="str">
        <x:f>IF(A18="","",K18-L18)</x:f>
      </x:c>
      <x:c r="N18" s="52"/>
      <x:c r="O18" s="52"/>
      <x:c r="P18" s="52"/>
      <x:c r="Q18" s="52"/>
      <x:c r="R18" s="53"/>
    </x:row>
    <x:row r="19">
      <x:c r="A19" s="39"/>
      <x:c r="B19" s="40"/>
      <x:c r="C19" s="62"/>
      <x:c r="D19" s="62"/>
      <x:c r="E19" s="62" t="str">
        <x:f>IF(A19="","",C19*D19)</x:f>
      </x:c>
      <x:c r="F19" s="62"/>
      <x:c r="G19" s="62"/>
      <x:c r="H19" s="62"/>
      <x:c r="I19" s="62" t="str">
        <x:f>IF(A19="","",F19-G19-H19)</x:f>
      </x:c>
      <x:c r="J19" s="62" t="str">
        <x:f>IF(A19="","",C19*I19)</x:f>
      </x:c>
      <x:c r="K19" s="62" t="str">
        <x:f>IF(A19="","",MAX(0,E19-J19))</x:f>
      </x:c>
      <x:c r="L19" s="62"/>
      <x:c r="M19" s="62" t="str">
        <x:f>IF(A19="","",K19-L19)</x:f>
      </x:c>
      <x:c r="N19" s="40"/>
      <x:c r="O19" s="40"/>
      <x:c r="P19" s="40"/>
      <x:c r="Q19" s="40"/>
      <x:c r="R19" s="41"/>
    </x:row>
    <x:row r="20">
      <x:c r="A20" s="51"/>
      <x:c r="B20" s="52"/>
      <x:c r="C20" s="63"/>
      <x:c r="D20" s="63"/>
      <x:c r="E20" s="63" t="str">
        <x:f>IF(A20="","",C20*D20)</x:f>
      </x:c>
      <x:c r="F20" s="63"/>
      <x:c r="G20" s="63"/>
      <x:c r="H20" s="63"/>
      <x:c r="I20" s="63" t="str">
        <x:f>IF(A20="","",F20-G20-H20)</x:f>
      </x:c>
      <x:c r="J20" s="63" t="str">
        <x:f>IF(A20="","",C20*I20)</x:f>
      </x:c>
      <x:c r="K20" s="63" t="str">
        <x:f>IF(A20="","",MAX(0,E20-J20))</x:f>
      </x:c>
      <x:c r="L20" s="63"/>
      <x:c r="M20" s="63" t="str">
        <x:f>IF(A20="","",K20-L20)</x:f>
      </x:c>
      <x:c r="N20" s="52"/>
      <x:c r="O20" s="52"/>
      <x:c r="P20" s="52"/>
      <x:c r="Q20" s="52"/>
      <x:c r="R20" s="53"/>
    </x:row>
    <x:row r="21">
      <x:c r="A21" s="39"/>
      <x:c r="B21" s="40"/>
      <x:c r="C21" s="62"/>
      <x:c r="D21" s="62"/>
      <x:c r="E21" s="62" t="str">
        <x:f>IF(A21="","",C21*D21)</x:f>
      </x:c>
      <x:c r="F21" s="62"/>
      <x:c r="G21" s="62"/>
      <x:c r="H21" s="62"/>
      <x:c r="I21" s="62" t="str">
        <x:f>IF(A21="","",F21-G21-H21)</x:f>
      </x:c>
      <x:c r="J21" s="62" t="str">
        <x:f>IF(A21="","",C21*I21)</x:f>
      </x:c>
      <x:c r="K21" s="62" t="str">
        <x:f>IF(A21="","",MAX(0,E21-J21))</x:f>
      </x:c>
      <x:c r="L21" s="62"/>
      <x:c r="M21" s="62" t="str">
        <x:f>IF(A21="","",K21-L21)</x:f>
      </x:c>
      <x:c r="N21" s="40"/>
      <x:c r="O21" s="40"/>
      <x:c r="P21" s="40"/>
      <x:c r="Q21" s="40"/>
      <x:c r="R21" s="41"/>
    </x:row>
    <x:row r="22">
      <x:c r="A22" s="51"/>
      <x:c r="B22" s="52"/>
      <x:c r="C22" s="63"/>
      <x:c r="D22" s="63"/>
      <x:c r="E22" s="63" t="str">
        <x:f>IF(A22="","",C22*D22)</x:f>
      </x:c>
      <x:c r="F22" s="63"/>
      <x:c r="G22" s="63"/>
      <x:c r="H22" s="63"/>
      <x:c r="I22" s="63" t="str">
        <x:f>IF(A22="","",F22-G22-H22)</x:f>
      </x:c>
      <x:c r="J22" s="63" t="str">
        <x:f>IF(A22="","",C22*I22)</x:f>
      </x:c>
      <x:c r="K22" s="63" t="str">
        <x:f>IF(A22="","",MAX(0,E22-J22))</x:f>
      </x:c>
      <x:c r="L22" s="63"/>
      <x:c r="M22" s="63" t="str">
        <x:f>IF(A22="","",K22-L22)</x:f>
      </x:c>
      <x:c r="N22" s="52"/>
      <x:c r="O22" s="52"/>
      <x:c r="P22" s="52"/>
      <x:c r="Q22" s="52"/>
      <x:c r="R22" s="53"/>
    </x:row>
    <x:row r="23">
      <x:c r="A23" s="39"/>
      <x:c r="B23" s="40"/>
      <x:c r="C23" s="62"/>
      <x:c r="D23" s="62"/>
      <x:c r="E23" s="62" t="str">
        <x:f>IF(A23="","",C23*D23)</x:f>
      </x:c>
      <x:c r="F23" s="62"/>
      <x:c r="G23" s="62"/>
      <x:c r="H23" s="62"/>
      <x:c r="I23" s="62" t="str">
        <x:f>IF(A23="","",F23-G23-H23)</x:f>
      </x:c>
      <x:c r="J23" s="62" t="str">
        <x:f>IF(A23="","",C23*I23)</x:f>
      </x:c>
      <x:c r="K23" s="62" t="str">
        <x:f>IF(A23="","",MAX(0,E23-J23))</x:f>
      </x:c>
      <x:c r="L23" s="62"/>
      <x:c r="M23" s="62" t="str">
        <x:f>IF(A23="","",K23-L23)</x:f>
      </x:c>
      <x:c r="N23" s="40"/>
      <x:c r="O23" s="40"/>
      <x:c r="P23" s="40"/>
      <x:c r="Q23" s="40"/>
      <x:c r="R23" s="41"/>
    </x:row>
    <x:row r="24">
      <x:c r="A24" s="51"/>
      <x:c r="B24" s="52"/>
      <x:c r="C24" s="63"/>
      <x:c r="D24" s="63"/>
      <x:c r="E24" s="63" t="str">
        <x:f>IF(A24="","",C24*D24)</x:f>
      </x:c>
      <x:c r="F24" s="63"/>
      <x:c r="G24" s="63"/>
      <x:c r="H24" s="63"/>
      <x:c r="I24" s="63" t="str">
        <x:f>IF(A24="","",F24-G24-H24)</x:f>
      </x:c>
      <x:c r="J24" s="63" t="str">
        <x:f>IF(A24="","",C24*I24)</x:f>
      </x:c>
      <x:c r="K24" s="63" t="str">
        <x:f>IF(A24="","",MAX(0,E24-J24))</x:f>
      </x:c>
      <x:c r="L24" s="63"/>
      <x:c r="M24" s="63" t="str">
        <x:f>IF(A24="","",K24-L24)</x:f>
      </x:c>
      <x:c r="N24" s="52"/>
      <x:c r="O24" s="52"/>
      <x:c r="P24" s="52"/>
      <x:c r="Q24" s="52"/>
      <x:c r="R24" s="53"/>
    </x:row>
    <x:row r="25">
      <x:c r="A25" s="39"/>
      <x:c r="B25" s="40"/>
      <x:c r="C25" s="62"/>
      <x:c r="D25" s="62"/>
      <x:c r="E25" s="62" t="str">
        <x:f>IF(A25="","",C25*D25)</x:f>
      </x:c>
      <x:c r="F25" s="62"/>
      <x:c r="G25" s="62"/>
      <x:c r="H25" s="62"/>
      <x:c r="I25" s="62" t="str">
        <x:f>IF(A25="","",F25-G25-H25)</x:f>
      </x:c>
      <x:c r="J25" s="62" t="str">
        <x:f>IF(A25="","",C25*I25)</x:f>
      </x:c>
      <x:c r="K25" s="62" t="str">
        <x:f>IF(A25="","",MAX(0,E25-J25))</x:f>
      </x:c>
      <x:c r="L25" s="62"/>
      <x:c r="M25" s="62" t="str">
        <x:f>IF(A25="","",K25-L25)</x:f>
      </x:c>
      <x:c r="N25" s="40"/>
      <x:c r="O25" s="40"/>
      <x:c r="P25" s="40"/>
      <x:c r="Q25" s="40"/>
      <x:c r="R25" s="41"/>
    </x:row>
    <x:row r="26">
      <x:c r="A26" s="51"/>
      <x:c r="B26" s="52"/>
      <x:c r="C26" s="63"/>
      <x:c r="D26" s="63"/>
      <x:c r="E26" s="63" t="str">
        <x:f>IF(A26="","",C26*D26)</x:f>
      </x:c>
      <x:c r="F26" s="63"/>
      <x:c r="G26" s="63"/>
      <x:c r="H26" s="63"/>
      <x:c r="I26" s="63" t="str">
        <x:f>IF(A26="","",F26-G26-H26)</x:f>
      </x:c>
      <x:c r="J26" s="63" t="str">
        <x:f>IF(A26="","",C26*I26)</x:f>
      </x:c>
      <x:c r="K26" s="63" t="str">
        <x:f>IF(A26="","",MAX(0,E26-J26))</x:f>
      </x:c>
      <x:c r="L26" s="63"/>
      <x:c r="M26" s="63" t="str">
        <x:f>IF(A26="","",K26-L26)</x:f>
      </x:c>
      <x:c r="N26" s="52"/>
      <x:c r="O26" s="52"/>
      <x:c r="P26" s="52"/>
      <x:c r="Q26" s="52"/>
      <x:c r="R26" s="53"/>
    </x:row>
    <x:row r="27">
      <x:c r="A27" s="39"/>
      <x:c r="B27" s="40"/>
      <x:c r="C27" s="62"/>
      <x:c r="D27" s="62"/>
      <x:c r="E27" s="62" t="str">
        <x:f>IF(A27="","",C27*D27)</x:f>
      </x:c>
      <x:c r="F27" s="62"/>
      <x:c r="G27" s="62"/>
      <x:c r="H27" s="62"/>
      <x:c r="I27" s="62" t="str">
        <x:f>IF(A27="","",F27-G27-H27)</x:f>
      </x:c>
      <x:c r="J27" s="62" t="str">
        <x:f>IF(A27="","",C27*I27)</x:f>
      </x:c>
      <x:c r="K27" s="62" t="str">
        <x:f>IF(A27="","",MAX(0,E27-J27))</x:f>
      </x:c>
      <x:c r="L27" s="62"/>
      <x:c r="M27" s="62" t="str">
        <x:f>IF(A27="","",K27-L27)</x:f>
      </x:c>
      <x:c r="N27" s="40"/>
      <x:c r="O27" s="40"/>
      <x:c r="P27" s="40"/>
      <x:c r="Q27" s="40"/>
      <x:c r="R27" s="41"/>
    </x:row>
    <x:row r="28">
      <x:c r="A28" s="51"/>
      <x:c r="B28" s="52"/>
      <x:c r="C28" s="63"/>
      <x:c r="D28" s="63"/>
      <x:c r="E28" s="63" t="str">
        <x:f>IF(A28="","",C28*D28)</x:f>
      </x:c>
      <x:c r="F28" s="63"/>
      <x:c r="G28" s="63"/>
      <x:c r="H28" s="63"/>
      <x:c r="I28" s="63" t="str">
        <x:f>IF(A28="","",F28-G28-H28)</x:f>
      </x:c>
      <x:c r="J28" s="63" t="str">
        <x:f>IF(A28="","",C28*I28)</x:f>
      </x:c>
      <x:c r="K28" s="63" t="str">
        <x:f>IF(A28="","",MAX(0,E28-J28))</x:f>
      </x:c>
      <x:c r="L28" s="63"/>
      <x:c r="M28" s="63" t="str">
        <x:f>IF(A28="","",K28-L28)</x:f>
      </x:c>
      <x:c r="N28" s="52"/>
      <x:c r="O28" s="52"/>
      <x:c r="P28" s="52"/>
      <x:c r="Q28" s="52"/>
      <x:c r="R28" s="53"/>
    </x:row>
    <x:row r="29">
      <x:c r="A29" s="39"/>
      <x:c r="B29" s="40"/>
      <x:c r="C29" s="62"/>
      <x:c r="D29" s="62"/>
      <x:c r="E29" s="62" t="str">
        <x:f>IF(A29="","",C29*D29)</x:f>
      </x:c>
      <x:c r="F29" s="62"/>
      <x:c r="G29" s="62"/>
      <x:c r="H29" s="62"/>
      <x:c r="I29" s="62" t="str">
        <x:f>IF(A29="","",F29-G29-H29)</x:f>
      </x:c>
      <x:c r="J29" s="62" t="str">
        <x:f>IF(A29="","",C29*I29)</x:f>
      </x:c>
      <x:c r="K29" s="62" t="str">
        <x:f>IF(A29="","",MAX(0,E29-J29))</x:f>
      </x:c>
      <x:c r="L29" s="62"/>
      <x:c r="M29" s="62" t="str">
        <x:f>IF(A29="","",K29-L29)</x:f>
      </x:c>
      <x:c r="N29" s="40"/>
      <x:c r="O29" s="40"/>
      <x:c r="P29" s="40"/>
      <x:c r="Q29" s="40"/>
      <x:c r="R29" s="41"/>
    </x:row>
    <x:row r="30">
      <x:c r="A30" s="54"/>
      <x:c r="B30" s="55"/>
      <x:c r="C30" s="64"/>
      <x:c r="D30" s="64"/>
      <x:c r="E30" s="64" t="str">
        <x:f>IF(A30="","",C30*D30)</x:f>
      </x:c>
      <x:c r="F30" s="64"/>
      <x:c r="G30" s="64"/>
      <x:c r="H30" s="64"/>
      <x:c r="I30" s="64" t="str">
        <x:f>IF(A30="","",F30-G30-H30)</x:f>
      </x:c>
      <x:c r="J30" s="64" t="str">
        <x:f>IF(A30="","",C30*I30)</x:f>
      </x:c>
      <x:c r="K30" s="64" t="str">
        <x:f>IF(A30="","",MAX(0,E30-J30))</x:f>
      </x:c>
      <x:c r="L30" s="64"/>
      <x:c r="M30" s="64" t="str">
        <x:f>IF(A30="","",K30-L30)</x:f>
      </x:c>
      <x:c r="N30" s="55"/>
      <x:c r="O30" s="55"/>
      <x:c r="P30" s="55"/>
      <x:c r="Q30" s="55"/>
      <x:c r="R30" s="56"/>
    </x:row>
  </x:sheetData>
  <x:mergeCells>
    <x:mergeCell ref="A1:R1"/>
    <x:mergeCell ref="A2:R2"/>
  </x:mergeCells>
  <x:conditionalFormatting sqref="R6:R30">
    <x:cfRule type="expression" dxfId="27" priority="1">
      <x:formula>INDIRECT("RC",FALSE)="已关闭"</x:formula>
    </x:cfRule>
    <x:cfRule type="expression" dxfId="28" priority="2">
      <x:formula>INDIRECT("RC",FALSE)="进行中"</x:formula>
    </x:cfRule>
    <x:cfRule type="expression" dxfId="29" priority="3">
      <x:formula>INDIRECT("RC",FALSE)="待复核"</x:formula>
    </x:cfRule>
  </x:conditionalFormatting>
  <x:dataValidations count="1">
    <x:dataValidation type="list" sqref="R6:R30">
      <x:formula1>"未开始,进行中,待复核,已关闭,不适用"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f09d24a0495498b"/>
  </x:tableParts>
</x:worksheet>
</file>

<file path=xl/worksheets/sheet17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12" hidden="0" customWidth="1"/>
    <x:col min="2" max="2" width="13" hidden="0" customWidth="1"/>
    <x:col min="3" max="3" width="18" hidden="0" customWidth="1"/>
    <x:col min="4" max="4" width="22" hidden="0" customWidth="1"/>
    <x:col min="5" max="5" width="28" hidden="0" customWidth="1"/>
    <x:col min="6" max="6" width="14" hidden="0" customWidth="1"/>
    <x:col min="7" max="7" width="28" hidden="0" customWidth="1"/>
    <x:col min="8" max="8" width="24" hidden="0" customWidth="1"/>
    <x:col min="9" max="9" width="18" hidden="0" customWidth="1"/>
    <x:col min="10" max="10" width="28" hidden="0" customWidth="1"/>
    <x:col min="11" max="11" width="30" hidden="0" customWidth="1"/>
    <x:col min="12" max="12" width="13" hidden="0" customWidth="1"/>
    <x:col min="13" max="13" width="13" hidden="0" customWidth="1"/>
    <x:col min="14" max="14" width="2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</x:cols>
  <x:sheetData>
    <x:row r="1" ht="30" customHeight="1">
      <x:c r="A1" s="87" t="str">
        <x:v>成本异常整改台账</x:v>
      </x:c>
      <x:c r="B1" s="88"/>
      <x:c r="C1" s="88"/>
      <x:c r="D1" s="88"/>
      <x:c r="E1" s="88"/>
      <x:c r="F1" s="88"/>
      <x:c r="G1" s="88"/>
      <x:c r="H1" s="88"/>
      <x:c r="I1" s="88"/>
      <x:c r="J1" s="88"/>
      <x:c r="K1" s="88"/>
      <x:c r="L1" s="88"/>
      <x:c r="M1" s="88"/>
      <x:c r="N1" s="88"/>
      <x:c r="O1" s="88"/>
      <x:c r="P1" s="88"/>
      <x:c r="Q1" s="88"/>
      <x:c r="R1" s="88"/>
    </x:row>
    <x:row r="2" ht="24" customHeight="1">
      <x:c r="A2" s="89" t="str">
        <x:v>异常现象→原因→数据→部门→调整→防复发→复核关闭</x:v>
      </x:c>
      <x:c r="B2" s="88"/>
      <x:c r="C2" s="88"/>
      <x:c r="D2" s="88"/>
      <x:c r="E2" s="88"/>
      <x:c r="F2" s="88"/>
      <x:c r="G2" s="88"/>
      <x:c r="H2" s="88"/>
      <x:c r="I2" s="88"/>
      <x:c r="J2" s="88"/>
      <x:c r="K2" s="88"/>
      <x:c r="L2" s="88"/>
      <x:c r="M2" s="88"/>
      <x:c r="N2" s="88"/>
      <x:c r="O2" s="88"/>
      <x:c r="P2" s="88"/>
      <x:c r="Q2" s="88"/>
      <x:c r="R2" s="88"/>
    </x:row>
    <x:row r="3">
      <x:c r="A3" s="88"/>
      <x:c r="B3" s="88"/>
      <x:c r="C3" s="88"/>
      <x:c r="D3" s="88"/>
      <x:c r="E3" s="88"/>
      <x:c r="F3" s="88"/>
      <x:c r="G3" s="88"/>
      <x:c r="H3" s="88"/>
      <x:c r="I3" s="88"/>
      <x:c r="J3" s="88"/>
      <x:c r="K3" s="88"/>
      <x:c r="L3" s="88"/>
      <x:c r="M3" s="88"/>
      <x:c r="N3" s="88"/>
      <x:c r="O3" s="88"/>
      <x:c r="P3" s="88"/>
      <x:c r="Q3" s="88"/>
      <x:c r="R3" s="88"/>
    </x:row>
    <x:row r="4">
      <x:c r="A4" s="88"/>
      <x:c r="B4" s="88"/>
      <x:c r="C4" s="88"/>
      <x:c r="D4" s="88"/>
      <x:c r="E4" s="88"/>
      <x:c r="F4" s="88"/>
      <x:c r="G4" s="88"/>
      <x:c r="H4" s="88"/>
      <x:c r="I4" s="88"/>
      <x:c r="J4" s="88"/>
      <x:c r="K4" s="88"/>
      <x:c r="L4" s="88"/>
      <x:c r="M4" s="88"/>
      <x:c r="N4" s="88"/>
      <x:c r="O4" s="88"/>
      <x:c r="P4" s="88"/>
      <x:c r="Q4" s="88"/>
      <x:c r="R4" s="88"/>
    </x:row>
    <x:row r="5" ht="32" customHeight="1">
      <x:c r="A5" s="15" t="str">
        <x:v>编号</x:v>
      </x:c>
      <x:c r="B5" s="16" t="str">
        <x:v>发现日</x:v>
      </x:c>
      <x:c r="C5" s="16" t="str">
        <x:v>异常类型</x:v>
      </x:c>
      <x:c r="D5" s="16" t="str">
        <x:v>产品/物料/工单</x:v>
      </x:c>
      <x:c r="E5" s="16" t="str">
        <x:v>异常现象</x:v>
      </x:c>
      <x:c r="F5" s="16" t="str">
        <x:v>影响金额</x:v>
      </x:c>
      <x:c r="G5" s="16" t="str">
        <x:v>可能原因</x:v>
      </x:c>
      <x:c r="H5" s="16" t="str">
        <x:v>数据来源</x:v>
      </x:c>
      <x:c r="I5" s="16" t="str">
        <x:v>责任部门</x:v>
      </x:c>
      <x:c r="J5" s="16" t="str">
        <x:v>临时调整</x:v>
      </x:c>
      <x:c r="K5" s="16" t="str">
        <x:v>永久措施</x:v>
      </x:c>
      <x:c r="L5" s="16" t="str">
        <x:v>计划日</x:v>
      </x:c>
      <x:c r="M5" s="16" t="str">
        <x:v>实际日</x:v>
      </x:c>
      <x:c r="N5" s="16" t="str">
        <x:v>复核证据</x:v>
      </x:c>
      <x:c r="O5" s="16" t="str">
        <x:v>复核人</x:v>
      </x:c>
      <x:c r="P5" s="16" t="str">
        <x:v>状态</x:v>
      </x:c>
      <x:c r="Q5" s="16" t="str">
        <x:v>逾期天数</x:v>
      </x:c>
      <x:c r="R5" s="17" t="str">
        <x:v>重复发生</x:v>
      </x:c>
    </x:row>
    <x:row r="6">
      <x:c r="A6" s="48" t="str">
        <x:v>EX-01</x:v>
      </x:c>
      <x:c r="B6" s="57" t="n">
        <x:v>46265</x:v>
      </x:c>
      <x:c r="C6" s="49" t="str">
        <x:v>材料超耗</x:v>
      </x:c>
      <x:c r="D6" s="49" t="str">
        <x:v>P100/M02</x:v>
      </x:c>
      <x:c r="E6" s="49" t="str">
        <x:v>超耗5套</x:v>
      </x:c>
      <x:c r="F6" s="61" t="n">
        <x:v>2.58</x:v>
      </x:c>
      <x:c r="G6" s="49" t="str">
        <x:v>补料/报废未记</x:v>
      </x:c>
      <x:c r="H6" s="49" t="str">
        <x:v>BOM/领料/质量</x:v>
      </x:c>
      <x:c r="I6" s="49" t="str">
        <x:v>生产/质量</x:v>
      </x:c>
      <x:c r="J6" s="49" t="str">
        <x:v>核实后调整工单</x:v>
      </x:c>
      <x:c r="K6" s="49" t="str">
        <x:v>超耗原因码+审批</x:v>
      </x:c>
      <x:c r="L6" s="57" t="n">
        <x:v>46273</x:v>
      </x:c>
      <x:c r="M6" s="57"/>
      <x:c r="N6" s="49" t="str">
        <x:v>质量报告</x:v>
      </x:c>
      <x:c r="O6" s="49" t="str">
        <x:v>主管</x:v>
      </x:c>
      <x:c r="P6" s="49" t="str">
        <x:v>进行中</x:v>
      </x:c>
      <x:c r="Q6" s="49" t="n">
        <x:f>IF(OR(A6="",L6=""),"",MAX(0,'00-说明与参数'!$B$6-L6))</x:f>
        <x:v>0</x:v>
      </x:c>
      <x:c r="R6" s="50" t="str">
        <x:v>否</x:v>
      </x:c>
    </x:row>
    <x:row r="7">
      <x:c r="A7" s="39" t="str">
        <x:v>EX-02</x:v>
      </x:c>
      <x:c r="B7" s="58" t="n">
        <x:v>46265</x:v>
      </x:c>
      <x:c r="C7" s="40" t="str">
        <x:v>负库存</x:v>
      </x:c>
      <x:c r="D7" s="40" t="str">
        <x:v>某辅助料</x:v>
      </x:c>
      <x:c r="E7" s="40" t="str">
        <x:v>月中最低-20</x:v>
      </x:c>
      <x:c r="F7" s="62" t="n">
        <x:v>1.2</x:v>
      </x:c>
      <x:c r="G7" s="40" t="str">
        <x:v>先出后入/跨期</x:v>
      </x:c>
      <x:c r="H7" s="40" t="str">
        <x:v>物料移动</x:v>
      </x:c>
      <x:c r="I7" s="40" t="str">
        <x:v>仓库/采购</x:v>
      </x:c>
      <x:c r="J7" s="40" t="str">
        <x:v>纠真实单据</x:v>
      </x:c>
      <x:c r="K7" s="40" t="str">
        <x:v>禁止负库存跨月</x:v>
      </x:c>
      <x:c r="L7" s="58" t="n">
        <x:v>46270</x:v>
      </x:c>
      <x:c r="M7" s="58"/>
      <x:c r="N7" s="40" t="str">
        <x:v>重算日志</x:v>
      </x:c>
      <x:c r="O7" s="40" t="str">
        <x:v>主管</x:v>
      </x:c>
      <x:c r="P7" s="40" t="str">
        <x:v>待复核</x:v>
      </x:c>
      <x:c r="Q7" s="40" t="n">
        <x:f>IF(OR(A7="",L7=""),"",MAX(0,'00-说明与参数'!$B$6-L7))</x:f>
        <x:v>0</x:v>
      </x:c>
      <x:c r="R7" s="41" t="str">
        <x:v>是</x:v>
      </x:c>
    </x:row>
    <x:row r="8">
      <x:c r="A8" s="51" t="str">
        <x:v>EX-03</x:v>
      </x:c>
      <x:c r="B8" s="59" t="n">
        <x:v>46265</x:v>
      </x:c>
      <x:c r="C8" s="52" t="str">
        <x:v>工单长期不关</x:v>
      </x:c>
      <x:c r="D8" s="52" t="str">
        <x:v>WO-OLD</x:v>
      </x:c>
      <x:c r="E8" s="52" t="str">
        <x:v>完工后仍有余额</x:v>
      </x:c>
      <x:c r="F8" s="63" t="n">
        <x:v>8</x:v>
      </x:c>
      <x:c r="G8" s="52" t="str">
        <x:v>余料未退</x:v>
      </x:c>
      <x:c r="H8" s="52" t="str">
        <x:v>工单余额/领料</x:v>
      </x:c>
      <x:c r="I8" s="52" t="str">
        <x:v>PMC/生产</x:v>
      </x:c>
      <x:c r="J8" s="52" t="str">
        <x:v>退料并结算</x:v>
      </x:c>
      <x:c r="K8" s="52" t="str">
        <x:v>完工后5日关闭</x:v>
      </x:c>
      <x:c r="L8" s="59" t="n">
        <x:v>46275</x:v>
      </x:c>
      <x:c r="M8" s="59"/>
      <x:c r="N8" s="52" t="str">
        <x:v>关闭日志</x:v>
      </x:c>
      <x:c r="O8" s="52" t="str">
        <x:v>主管</x:v>
      </x:c>
      <x:c r="P8" s="52" t="str">
        <x:v>进行中</x:v>
      </x:c>
      <x:c r="Q8" s="52" t="n">
        <x:f>IF(OR(A8="",L8=""),"",MAX(0,'00-说明与参数'!$B$6-L8))</x:f>
        <x:v>0</x:v>
      </x:c>
      <x:c r="R8" s="53" t="str">
        <x:v>否</x:v>
      </x:c>
    </x:row>
    <x:row r="9">
      <x:c r="A9" s="39"/>
      <x:c r="B9" s="58"/>
      <x:c r="C9" s="40"/>
      <x:c r="D9" s="40"/>
      <x:c r="E9" s="40"/>
      <x:c r="F9" s="62"/>
      <x:c r="G9" s="40"/>
      <x:c r="H9" s="40"/>
      <x:c r="I9" s="40"/>
      <x:c r="J9" s="40"/>
      <x:c r="K9" s="40"/>
      <x:c r="L9" s="58"/>
      <x:c r="M9" s="58"/>
      <x:c r="N9" s="40"/>
      <x:c r="O9" s="40"/>
      <x:c r="P9" s="40"/>
      <x:c r="Q9" s="40" t="str">
        <x:f>IF(OR(A9="",L9=""),"",MAX(0,'00-说明与参数'!$B$6-L9))</x:f>
      </x:c>
      <x:c r="R9" s="41"/>
    </x:row>
    <x:row r="10">
      <x:c r="A10" s="51"/>
      <x:c r="B10" s="59"/>
      <x:c r="C10" s="52"/>
      <x:c r="D10" s="52"/>
      <x:c r="E10" s="52"/>
      <x:c r="F10" s="63"/>
      <x:c r="G10" s="52"/>
      <x:c r="H10" s="52"/>
      <x:c r="I10" s="52"/>
      <x:c r="J10" s="52"/>
      <x:c r="K10" s="52"/>
      <x:c r="L10" s="59"/>
      <x:c r="M10" s="59"/>
      <x:c r="N10" s="52"/>
      <x:c r="O10" s="52"/>
      <x:c r="P10" s="52"/>
      <x:c r="Q10" s="52" t="str">
        <x:f>IF(OR(A10="",L10=""),"",MAX(0,'00-说明与参数'!$B$6-L10))</x:f>
      </x:c>
      <x:c r="R10" s="53"/>
    </x:row>
    <x:row r="11">
      <x:c r="A11" s="39"/>
      <x:c r="B11" s="58"/>
      <x:c r="C11" s="40"/>
      <x:c r="D11" s="40"/>
      <x:c r="E11" s="40"/>
      <x:c r="F11" s="62"/>
      <x:c r="G11" s="40"/>
      <x:c r="H11" s="40"/>
      <x:c r="I11" s="40"/>
      <x:c r="J11" s="40"/>
      <x:c r="K11" s="40"/>
      <x:c r="L11" s="58"/>
      <x:c r="M11" s="58"/>
      <x:c r="N11" s="40"/>
      <x:c r="O11" s="40"/>
      <x:c r="P11" s="40"/>
      <x:c r="Q11" s="40" t="str">
        <x:f>IF(OR(A11="",L11=""),"",MAX(0,'00-说明与参数'!$B$6-L11))</x:f>
      </x:c>
      <x:c r="R11" s="41"/>
    </x:row>
    <x:row r="12">
      <x:c r="A12" s="51"/>
      <x:c r="B12" s="59"/>
      <x:c r="C12" s="52"/>
      <x:c r="D12" s="52"/>
      <x:c r="E12" s="52"/>
      <x:c r="F12" s="63"/>
      <x:c r="G12" s="52"/>
      <x:c r="H12" s="52"/>
      <x:c r="I12" s="52"/>
      <x:c r="J12" s="52"/>
      <x:c r="K12" s="52"/>
      <x:c r="L12" s="59"/>
      <x:c r="M12" s="59"/>
      <x:c r="N12" s="52"/>
      <x:c r="O12" s="52"/>
      <x:c r="P12" s="52"/>
      <x:c r="Q12" s="52" t="str">
        <x:f>IF(OR(A12="",L12=""),"",MAX(0,'00-说明与参数'!$B$6-L12))</x:f>
      </x:c>
      <x:c r="R12" s="53"/>
    </x:row>
    <x:row r="13">
      <x:c r="A13" s="39"/>
      <x:c r="B13" s="58"/>
      <x:c r="C13" s="40"/>
      <x:c r="D13" s="40"/>
      <x:c r="E13" s="40"/>
      <x:c r="F13" s="62"/>
      <x:c r="G13" s="40"/>
      <x:c r="H13" s="40"/>
      <x:c r="I13" s="40"/>
      <x:c r="J13" s="40"/>
      <x:c r="K13" s="40"/>
      <x:c r="L13" s="58"/>
      <x:c r="M13" s="58"/>
      <x:c r="N13" s="40"/>
      <x:c r="O13" s="40"/>
      <x:c r="P13" s="40"/>
      <x:c r="Q13" s="40" t="str">
        <x:f>IF(OR(A13="",L13=""),"",MAX(0,'00-说明与参数'!$B$6-L13))</x:f>
      </x:c>
      <x:c r="R13" s="41"/>
    </x:row>
    <x:row r="14">
      <x:c r="A14" s="51"/>
      <x:c r="B14" s="59"/>
      <x:c r="C14" s="52"/>
      <x:c r="D14" s="52"/>
      <x:c r="E14" s="52"/>
      <x:c r="F14" s="63"/>
      <x:c r="G14" s="52"/>
      <x:c r="H14" s="52"/>
      <x:c r="I14" s="52"/>
      <x:c r="J14" s="52"/>
      <x:c r="K14" s="52"/>
      <x:c r="L14" s="59"/>
      <x:c r="M14" s="59"/>
      <x:c r="N14" s="52"/>
      <x:c r="O14" s="52"/>
      <x:c r="P14" s="52"/>
      <x:c r="Q14" s="52" t="str">
        <x:f>IF(OR(A14="",L14=""),"",MAX(0,'00-说明与参数'!$B$6-L14))</x:f>
      </x:c>
      <x:c r="R14" s="53"/>
    </x:row>
    <x:row r="15">
      <x:c r="A15" s="39"/>
      <x:c r="B15" s="58"/>
      <x:c r="C15" s="40"/>
      <x:c r="D15" s="40"/>
      <x:c r="E15" s="40"/>
      <x:c r="F15" s="62"/>
      <x:c r="G15" s="40"/>
      <x:c r="H15" s="40"/>
      <x:c r="I15" s="40"/>
      <x:c r="J15" s="40"/>
      <x:c r="K15" s="40"/>
      <x:c r="L15" s="58"/>
      <x:c r="M15" s="58"/>
      <x:c r="N15" s="40"/>
      <x:c r="O15" s="40"/>
      <x:c r="P15" s="40"/>
      <x:c r="Q15" s="40" t="str">
        <x:f>IF(OR(A15="",L15=""),"",MAX(0,'00-说明与参数'!$B$6-L15))</x:f>
      </x:c>
      <x:c r="R15" s="41"/>
    </x:row>
    <x:row r="16">
      <x:c r="A16" s="51"/>
      <x:c r="B16" s="59"/>
      <x:c r="C16" s="52"/>
      <x:c r="D16" s="52"/>
      <x:c r="E16" s="52"/>
      <x:c r="F16" s="63"/>
      <x:c r="G16" s="52"/>
      <x:c r="H16" s="52"/>
      <x:c r="I16" s="52"/>
      <x:c r="J16" s="52"/>
      <x:c r="K16" s="52"/>
      <x:c r="L16" s="59"/>
      <x:c r="M16" s="59"/>
      <x:c r="N16" s="52"/>
      <x:c r="O16" s="52"/>
      <x:c r="P16" s="52"/>
      <x:c r="Q16" s="52" t="str">
        <x:f>IF(OR(A16="",L16=""),"",MAX(0,'00-说明与参数'!$B$6-L16))</x:f>
      </x:c>
      <x:c r="R16" s="53"/>
    </x:row>
    <x:row r="17">
      <x:c r="A17" s="39"/>
      <x:c r="B17" s="58"/>
      <x:c r="C17" s="40"/>
      <x:c r="D17" s="40"/>
      <x:c r="E17" s="40"/>
      <x:c r="F17" s="62"/>
      <x:c r="G17" s="40"/>
      <x:c r="H17" s="40"/>
      <x:c r="I17" s="40"/>
      <x:c r="J17" s="40"/>
      <x:c r="K17" s="40"/>
      <x:c r="L17" s="58"/>
      <x:c r="M17" s="58"/>
      <x:c r="N17" s="40"/>
      <x:c r="O17" s="40"/>
      <x:c r="P17" s="40"/>
      <x:c r="Q17" s="40" t="str">
        <x:f>IF(OR(A17="",L17=""),"",MAX(0,'00-说明与参数'!$B$6-L17))</x:f>
      </x:c>
      <x:c r="R17" s="41"/>
    </x:row>
    <x:row r="18">
      <x:c r="A18" s="51"/>
      <x:c r="B18" s="59"/>
      <x:c r="C18" s="52"/>
      <x:c r="D18" s="52"/>
      <x:c r="E18" s="52"/>
      <x:c r="F18" s="63"/>
      <x:c r="G18" s="52"/>
      <x:c r="H18" s="52"/>
      <x:c r="I18" s="52"/>
      <x:c r="J18" s="52"/>
      <x:c r="K18" s="52"/>
      <x:c r="L18" s="59"/>
      <x:c r="M18" s="59"/>
      <x:c r="N18" s="52"/>
      <x:c r="O18" s="52"/>
      <x:c r="P18" s="52"/>
      <x:c r="Q18" s="52" t="str">
        <x:f>IF(OR(A18="",L18=""),"",MAX(0,'00-说明与参数'!$B$6-L18))</x:f>
      </x:c>
      <x:c r="R18" s="53"/>
    </x:row>
    <x:row r="19">
      <x:c r="A19" s="39"/>
      <x:c r="B19" s="58"/>
      <x:c r="C19" s="40"/>
      <x:c r="D19" s="40"/>
      <x:c r="E19" s="40"/>
      <x:c r="F19" s="62"/>
      <x:c r="G19" s="40"/>
      <x:c r="H19" s="40"/>
      <x:c r="I19" s="40"/>
      <x:c r="J19" s="40"/>
      <x:c r="K19" s="40"/>
      <x:c r="L19" s="58"/>
      <x:c r="M19" s="58"/>
      <x:c r="N19" s="40"/>
      <x:c r="O19" s="40"/>
      <x:c r="P19" s="40"/>
      <x:c r="Q19" s="40" t="str">
        <x:f>IF(OR(A19="",L19=""),"",MAX(0,'00-说明与参数'!$B$6-L19))</x:f>
      </x:c>
      <x:c r="R19" s="41"/>
    </x:row>
    <x:row r="20">
      <x:c r="A20" s="51"/>
      <x:c r="B20" s="59"/>
      <x:c r="C20" s="52"/>
      <x:c r="D20" s="52"/>
      <x:c r="E20" s="52"/>
      <x:c r="F20" s="63"/>
      <x:c r="G20" s="52"/>
      <x:c r="H20" s="52"/>
      <x:c r="I20" s="52"/>
      <x:c r="J20" s="52"/>
      <x:c r="K20" s="52"/>
      <x:c r="L20" s="59"/>
      <x:c r="M20" s="59"/>
      <x:c r="N20" s="52"/>
      <x:c r="O20" s="52"/>
      <x:c r="P20" s="52"/>
      <x:c r="Q20" s="52" t="str">
        <x:f>IF(OR(A20="",L20=""),"",MAX(0,'00-说明与参数'!$B$6-L20))</x:f>
      </x:c>
      <x:c r="R20" s="53"/>
    </x:row>
    <x:row r="21">
      <x:c r="A21" s="39"/>
      <x:c r="B21" s="58"/>
      <x:c r="C21" s="40"/>
      <x:c r="D21" s="40"/>
      <x:c r="E21" s="40"/>
      <x:c r="F21" s="62"/>
      <x:c r="G21" s="40"/>
      <x:c r="H21" s="40"/>
      <x:c r="I21" s="40"/>
      <x:c r="J21" s="40"/>
      <x:c r="K21" s="40"/>
      <x:c r="L21" s="58"/>
      <x:c r="M21" s="58"/>
      <x:c r="N21" s="40"/>
      <x:c r="O21" s="40"/>
      <x:c r="P21" s="40"/>
      <x:c r="Q21" s="40" t="str">
        <x:f>IF(OR(A21="",L21=""),"",MAX(0,'00-说明与参数'!$B$6-L21))</x:f>
      </x:c>
      <x:c r="R21" s="41"/>
    </x:row>
    <x:row r="22">
      <x:c r="A22" s="51"/>
      <x:c r="B22" s="59"/>
      <x:c r="C22" s="52"/>
      <x:c r="D22" s="52"/>
      <x:c r="E22" s="52"/>
      <x:c r="F22" s="63"/>
      <x:c r="G22" s="52"/>
      <x:c r="H22" s="52"/>
      <x:c r="I22" s="52"/>
      <x:c r="J22" s="52"/>
      <x:c r="K22" s="52"/>
      <x:c r="L22" s="59"/>
      <x:c r="M22" s="59"/>
      <x:c r="N22" s="52"/>
      <x:c r="O22" s="52"/>
      <x:c r="P22" s="52"/>
      <x:c r="Q22" s="52" t="str">
        <x:f>IF(OR(A22="",L22=""),"",MAX(0,'00-说明与参数'!$B$6-L22))</x:f>
      </x:c>
      <x:c r="R22" s="53"/>
    </x:row>
    <x:row r="23">
      <x:c r="A23" s="39"/>
      <x:c r="B23" s="58"/>
      <x:c r="C23" s="40"/>
      <x:c r="D23" s="40"/>
      <x:c r="E23" s="40"/>
      <x:c r="F23" s="62"/>
      <x:c r="G23" s="40"/>
      <x:c r="H23" s="40"/>
      <x:c r="I23" s="40"/>
      <x:c r="J23" s="40"/>
      <x:c r="K23" s="40"/>
      <x:c r="L23" s="58"/>
      <x:c r="M23" s="58"/>
      <x:c r="N23" s="40"/>
      <x:c r="O23" s="40"/>
      <x:c r="P23" s="40"/>
      <x:c r="Q23" s="40" t="str">
        <x:f>IF(OR(A23="",L23=""),"",MAX(0,'00-说明与参数'!$B$6-L23))</x:f>
      </x:c>
      <x:c r="R23" s="41"/>
    </x:row>
    <x:row r="24">
      <x:c r="A24" s="51"/>
      <x:c r="B24" s="59"/>
      <x:c r="C24" s="52"/>
      <x:c r="D24" s="52"/>
      <x:c r="E24" s="52"/>
      <x:c r="F24" s="63"/>
      <x:c r="G24" s="52"/>
      <x:c r="H24" s="52"/>
      <x:c r="I24" s="52"/>
      <x:c r="J24" s="52"/>
      <x:c r="K24" s="52"/>
      <x:c r="L24" s="59"/>
      <x:c r="M24" s="59"/>
      <x:c r="N24" s="52"/>
      <x:c r="O24" s="52"/>
      <x:c r="P24" s="52"/>
      <x:c r="Q24" s="52" t="str">
        <x:f>IF(OR(A24="",L24=""),"",MAX(0,'00-说明与参数'!$B$6-L24))</x:f>
      </x:c>
      <x:c r="R24" s="53"/>
    </x:row>
    <x:row r="25">
      <x:c r="A25" s="39"/>
      <x:c r="B25" s="58"/>
      <x:c r="C25" s="40"/>
      <x:c r="D25" s="40"/>
      <x:c r="E25" s="40"/>
      <x:c r="F25" s="62"/>
      <x:c r="G25" s="40"/>
      <x:c r="H25" s="40"/>
      <x:c r="I25" s="40"/>
      <x:c r="J25" s="40"/>
      <x:c r="K25" s="40"/>
      <x:c r="L25" s="58"/>
      <x:c r="M25" s="58"/>
      <x:c r="N25" s="40"/>
      <x:c r="O25" s="40"/>
      <x:c r="P25" s="40"/>
      <x:c r="Q25" s="40" t="str">
        <x:f>IF(OR(A25="",L25=""),"",MAX(0,'00-说明与参数'!$B$6-L25))</x:f>
      </x:c>
      <x:c r="R25" s="41"/>
    </x:row>
    <x:row r="26">
      <x:c r="A26" s="51"/>
      <x:c r="B26" s="59"/>
      <x:c r="C26" s="52"/>
      <x:c r="D26" s="52"/>
      <x:c r="E26" s="52"/>
      <x:c r="F26" s="63"/>
      <x:c r="G26" s="52"/>
      <x:c r="H26" s="52"/>
      <x:c r="I26" s="52"/>
      <x:c r="J26" s="52"/>
      <x:c r="K26" s="52"/>
      <x:c r="L26" s="59"/>
      <x:c r="M26" s="59"/>
      <x:c r="N26" s="52"/>
      <x:c r="O26" s="52"/>
      <x:c r="P26" s="52"/>
      <x:c r="Q26" s="52" t="str">
        <x:f>IF(OR(A26="",L26=""),"",MAX(0,'00-说明与参数'!$B$6-L26))</x:f>
      </x:c>
      <x:c r="R26" s="53"/>
    </x:row>
    <x:row r="27">
      <x:c r="A27" s="39"/>
      <x:c r="B27" s="58"/>
      <x:c r="C27" s="40"/>
      <x:c r="D27" s="40"/>
      <x:c r="E27" s="40"/>
      <x:c r="F27" s="62"/>
      <x:c r="G27" s="40"/>
      <x:c r="H27" s="40"/>
      <x:c r="I27" s="40"/>
      <x:c r="J27" s="40"/>
      <x:c r="K27" s="40"/>
      <x:c r="L27" s="58"/>
      <x:c r="M27" s="58"/>
      <x:c r="N27" s="40"/>
      <x:c r="O27" s="40"/>
      <x:c r="P27" s="40"/>
      <x:c r="Q27" s="40" t="str">
        <x:f>IF(OR(A27="",L27=""),"",MAX(0,'00-说明与参数'!$B$6-L27))</x:f>
      </x:c>
      <x:c r="R27" s="41"/>
    </x:row>
    <x:row r="28">
      <x:c r="A28" s="51"/>
      <x:c r="B28" s="59"/>
      <x:c r="C28" s="52"/>
      <x:c r="D28" s="52"/>
      <x:c r="E28" s="52"/>
      <x:c r="F28" s="63"/>
      <x:c r="G28" s="52"/>
      <x:c r="H28" s="52"/>
      <x:c r="I28" s="52"/>
      <x:c r="J28" s="52"/>
      <x:c r="K28" s="52"/>
      <x:c r="L28" s="59"/>
      <x:c r="M28" s="59"/>
      <x:c r="N28" s="52"/>
      <x:c r="O28" s="52"/>
      <x:c r="P28" s="52"/>
      <x:c r="Q28" s="52" t="str">
        <x:f>IF(OR(A28="",L28=""),"",MAX(0,'00-说明与参数'!$B$6-L28))</x:f>
      </x:c>
      <x:c r="R28" s="53"/>
    </x:row>
    <x:row r="29">
      <x:c r="A29" s="39"/>
      <x:c r="B29" s="58"/>
      <x:c r="C29" s="40"/>
      <x:c r="D29" s="40"/>
      <x:c r="E29" s="40"/>
      <x:c r="F29" s="62"/>
      <x:c r="G29" s="40"/>
      <x:c r="H29" s="40"/>
      <x:c r="I29" s="40"/>
      <x:c r="J29" s="40"/>
      <x:c r="K29" s="40"/>
      <x:c r="L29" s="58"/>
      <x:c r="M29" s="58"/>
      <x:c r="N29" s="40"/>
      <x:c r="O29" s="40"/>
      <x:c r="P29" s="40"/>
      <x:c r="Q29" s="40" t="str">
        <x:f>IF(OR(A29="",L29=""),"",MAX(0,'00-说明与参数'!$B$6-L29))</x:f>
      </x:c>
      <x:c r="R29" s="41"/>
    </x:row>
    <x:row r="30">
      <x:c r="A30" s="54"/>
      <x:c r="B30" s="60"/>
      <x:c r="C30" s="55"/>
      <x:c r="D30" s="55"/>
      <x:c r="E30" s="55"/>
      <x:c r="F30" s="64"/>
      <x:c r="G30" s="55"/>
      <x:c r="H30" s="55"/>
      <x:c r="I30" s="55"/>
      <x:c r="J30" s="55"/>
      <x:c r="K30" s="55"/>
      <x:c r="L30" s="60"/>
      <x:c r="M30" s="60"/>
      <x:c r="N30" s="55"/>
      <x:c r="O30" s="55"/>
      <x:c r="P30" s="55"/>
      <x:c r="Q30" s="55" t="str">
        <x:f>IF(OR(A30="",L30=""),"",MAX(0,'00-说明与参数'!$B$6-L30))</x:f>
      </x:c>
      <x:c r="R30" s="56"/>
    </x:row>
  </x:sheetData>
  <x:mergeCells>
    <x:mergeCell ref="A1:R1"/>
    <x:mergeCell ref="A2:R2"/>
  </x:mergeCells>
  <x:conditionalFormatting sqref="P6:P30">
    <x:cfRule type="expression" dxfId="30" priority="1">
      <x:formula>INDIRECT("RC",FALSE)="已关闭"</x:formula>
    </x:cfRule>
    <x:cfRule type="expression" dxfId="31" priority="2">
      <x:formula>INDIRECT("RC",FALSE)="进行中"</x:formula>
    </x:cfRule>
    <x:cfRule type="expression" dxfId="32" priority="3">
      <x:formula>INDIRECT("RC",FALSE)="待复核"</x:formula>
    </x:cfRule>
  </x:conditionalFormatting>
  <x:dataValidations count="1">
    <x:dataValidation type="list" sqref="P6:P30">
      <x:formula1>"未开始,进行中,待复核,已关闭,不适用"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c8f457a0bd34200"/>
  </x:tableParts>
</x:worksheet>
</file>

<file path=xl/worksheets/sheet18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24" hidden="0" customWidth="1"/>
    <x:col min="2" max="2" width="18" hidden="0" customWidth="1"/>
    <x:col min="3" max="3" width="16" hidden="0" customWidth="1"/>
    <x:col min="4" max="4" width="32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</x:cols>
  <x:sheetData>
    <x:row r="1" ht="30" customHeight="1">
      <x:c r="A1" s="87" t="str">
        <x:v>成本与存货管理看板</x:v>
      </x:c>
      <x:c r="B1" s="88"/>
      <x:c r="C1" s="88"/>
      <x:c r="D1" s="88"/>
      <x:c r="E1" s="88"/>
      <x:c r="F1" s="88"/>
      <x:c r="G1" s="88"/>
      <x:c r="H1" s="88"/>
      <x:c r="I1" s="88"/>
      <x:c r="J1" s="88"/>
    </x:row>
    <x:row r="2" ht="24" customHeight="1">
      <x:c r="A2" s="89" t="str">
        <x:v>案例核心结果及月结管理结论</x:v>
      </x:c>
      <x:c r="B2" s="88"/>
      <x:c r="C2" s="88"/>
      <x:c r="D2" s="88"/>
      <x:c r="E2" s="88"/>
      <x:c r="F2" s="88"/>
      <x:c r="G2" s="88"/>
      <x:c r="H2" s="88"/>
      <x:c r="I2" s="88"/>
      <x:c r="J2" s="88"/>
    </x:row>
    <x:row r="3">
      <x:c r="A3" s="88"/>
      <x:c r="B3" s="88"/>
      <x:c r="C3" s="88"/>
      <x:c r="D3" s="88"/>
      <x:c r="E3" s="88"/>
      <x:c r="F3" s="88"/>
      <x:c r="G3" s="88"/>
      <x:c r="H3" s="88"/>
      <x:c r="I3" s="88"/>
      <x:c r="J3" s="88"/>
    </x:row>
    <x:row r="4">
      <x:c r="A4" s="88"/>
      <x:c r="B4" s="88"/>
      <x:c r="C4" s="88"/>
      <x:c r="D4" s="88"/>
      <x:c r="E4" s="88"/>
      <x:c r="F4" s="88"/>
      <x:c r="G4" s="88"/>
      <x:c r="H4" s="88"/>
      <x:c r="I4" s="88"/>
      <x:c r="J4" s="88"/>
    </x:row>
    <x:row r="5" ht="32" customHeight="1">
      <x:c r="A5" s="15" t="str">
        <x:v>核心指标</x:v>
      </x:c>
      <x:c r="B5" s="16" t="str">
        <x:v>数值</x:v>
      </x:c>
      <x:c r="C5" s="16" t="str">
        <x:v>核对结果</x:v>
      </x:c>
      <x:c r="D5" s="17" t="str">
        <x:v>管理解释</x:v>
      </x:c>
      <x:c r="E5" s="88"/>
      <x:c r="F5" s="15" t="str">
        <x:v>产品</x:v>
      </x:c>
      <x:c r="G5" s="16" t="str">
        <x:v>收入</x:v>
      </x:c>
      <x:c r="H5" s="16" t="str">
        <x:v>销售成本</x:v>
      </x:c>
      <x:c r="I5" s="16" t="str">
        <x:v>毛利</x:v>
      </x:c>
      <x:c r="J5" s="17" t="str">
        <x:v>毛利率</x:v>
      </x:c>
    </x:row>
    <x:row r="6">
      <x:c r="A6" s="36" t="str">
        <x:v>本期直接材料</x:v>
      </x:c>
      <x:c r="B6" s="80" t="n">
        <x:f>SUM('09-完工产品成本'!C6:C7)</x:f>
        <x:v>300</x:v>
      </x:c>
      <x:c r="C6" s="37" t="str">
        <x:v>300</x:v>
      </x:c>
      <x:c r="D6" s="38" t="str">
        <x:v>材料领料</x:v>
      </x:c>
      <x:c r="E6" s="88"/>
      <x:c r="F6" s="36" t="str">
        <x:v>P100</x:v>
      </x:c>
      <x:c r="G6" s="82" t="n">
        <x:v>500</x:v>
      </x:c>
      <x:c r="H6" s="82" t="n">
        <x:v>228.82</x:v>
      </x:c>
      <x:c r="I6" s="82" t="n">
        <x:f>G6-H6</x:f>
        <x:v>271.18</x:v>
      </x:c>
      <x:c r="J6" s="84" t="n">
        <x:f>IFERROR(I6/G6,0)</x:f>
        <x:v>0.5423600000000001</x:v>
      </x:c>
    </x:row>
    <x:row r="7">
      <x:c r="A7" s="39" t="str">
        <x:v>本期直接人工</x:v>
      </x:c>
      <x:c r="B7" s="70" t="n">
        <x:f>SUM('09-完工产品成本'!D6:D7)</x:f>
        <x:v>100</x:v>
      </x:c>
      <x:c r="C7" s="40" t="str">
        <x:v>100</x:v>
      </x:c>
      <x:c r="D7" s="41" t="str">
        <x:v>工时与工资</x:v>
      </x:c>
      <x:c r="E7" s="88"/>
      <x:c r="F7" s="42" t="str">
        <x:v>C200</x:v>
      </x:c>
      <x:c r="G7" s="83" t="n">
        <x:v>210</x:v>
      </x:c>
      <x:c r="H7" s="83" t="n">
        <x:v>118.8</x:v>
      </x:c>
      <x:c r="I7" s="83" t="n">
        <x:f>G7-H7</x:f>
        <x:v>91.2</x:v>
      </x:c>
      <x:c r="J7" s="85" t="n">
        <x:f>IFERROR(I7/G7,0)</x:f>
        <x:v>0.4342857142857143</x:v>
      </x:c>
    </x:row>
    <x:row r="8">
      <x:c r="A8" s="39" t="str">
        <x:v>制造费用</x:v>
      </x:c>
      <x:c r="B8" s="70" t="n">
        <x:f>SUM('09-完工产品成本'!E6:E7)</x:f>
        <x:v>180</x:v>
      </x:c>
      <x:c r="C8" s="40" t="str">
        <x:v>180</x:v>
      </x:c>
      <x:c r="D8" s="41" t="str">
        <x:v>机器工时分配</x:v>
      </x:c>
      <x:c r="E8" s="88"/>
      <x:c r="F8" s="88"/>
      <x:c r="G8" s="88"/>
      <x:c r="H8" s="88"/>
      <x:c r="I8" s="88"/>
      <x:c r="J8" s="88"/>
    </x:row>
    <x:row r="9">
      <x:c r="A9" s="39" t="str">
        <x:v>本期生产成本</x:v>
      </x:c>
      <x:c r="B9" s="70" t="n">
        <x:f>SUM('09-完工产品成本'!F6:F7)</x:f>
        <x:v>580</x:v>
      </x:c>
      <x:c r="C9" s="40" t="str">
        <x:v>580</x:v>
      </x:c>
      <x:c r="D9" s="41" t="str">
        <x:v>材料+人工+制费</x:v>
      </x:c>
      <x:c r="E9" s="88"/>
      <x:c r="F9" s="88"/>
      <x:c r="G9" s="88"/>
      <x:c r="H9" s="88"/>
      <x:c r="I9" s="88"/>
      <x:c r="J9" s="88"/>
    </x:row>
    <x:row r="10">
      <x:c r="A10" s="39" t="str">
        <x:v>月初在产品</x:v>
      </x:c>
      <x:c r="B10" s="70" t="n">
        <x:f>SUM('09-完工产品成本'!B6:B7)</x:f>
        <x:v>60</x:v>
      </x:c>
      <x:c r="C10" s="40" t="str">
        <x:v>60</x:v>
      </x:c>
      <x:c r="D10" s="41" t="str">
        <x:v>承接上月</x:v>
      </x:c>
      <x:c r="E10" s="88"/>
      <x:c r="F10" s="88"/>
      <x:c r="G10" s="88"/>
      <x:c r="H10" s="88"/>
      <x:c r="I10" s="88"/>
      <x:c r="J10" s="88"/>
    </x:row>
    <x:row r="11">
      <x:c r="A11" s="39" t="str">
        <x:v>月末在产品</x:v>
      </x:c>
      <x:c r="B11" s="70" t="n">
        <x:f>SUM('09-完工产品成本'!H6:H7)</x:f>
        <x:v>115</x:v>
      </x:c>
      <x:c r="C11" s="40" t="str">
        <x:v>115</x:v>
      </x:c>
      <x:c r="D11" s="41" t="str">
        <x:v>工单/完工率</x:v>
      </x:c>
      <x:c r="E11" s="88"/>
      <x:c r="F11" s="88"/>
      <x:c r="G11" s="88"/>
      <x:c r="H11" s="88"/>
      <x:c r="I11" s="88"/>
      <x:c r="J11" s="88"/>
    </x:row>
    <x:row r="12">
      <x:c r="A12" s="39" t="str">
        <x:v>完工产品成本</x:v>
      </x:c>
      <x:c r="B12" s="70" t="n">
        <x:f>SUM('09-完工产品成本'!I6:I7)</x:f>
        <x:v>525</x:v>
      </x:c>
      <x:c r="C12" s="40" t="str">
        <x:v>525</x:v>
      </x:c>
      <x:c r="D12" s="41" t="str">
        <x:v>期初WIP+投入-期末WIP</x:v>
      </x:c>
      <x:c r="E12" s="88"/>
      <x:c r="F12" s="88"/>
      <x:c r="G12" s="88"/>
      <x:c r="H12" s="88"/>
      <x:c r="I12" s="88"/>
      <x:c r="J12" s="88"/>
    </x:row>
    <x:row r="13">
      <x:c r="A13" s="39" t="str">
        <x:v>P100单位成本</x:v>
      </x:c>
      <x:c r="B13" s="70" t="n">
        <x:f>'09-完工产品成本'!K6</x:f>
        <x:v>2.3</x:v>
      </x:c>
      <x:c r="C13" s="40" t="str">
        <x:v>2.3000</x:v>
      </x:c>
      <x:c r="D13" s="41" t="str">
        <x:v>本月完工</x:v>
      </x:c>
      <x:c r="E13" s="88"/>
      <x:c r="F13" s="88"/>
      <x:c r="G13" s="88"/>
      <x:c r="H13" s="88"/>
      <x:c r="I13" s="88"/>
      <x:c r="J13" s="88"/>
    </x:row>
    <x:row r="14">
      <x:c r="A14" s="39" t="str">
        <x:v>C200单位成本</x:v>
      </x:c>
      <x:c r="B14" s="70" t="n">
        <x:f>'09-完工产品成本'!K7</x:f>
        <x:v>0.2</x:v>
      </x:c>
      <x:c r="C14" s="40" t="str">
        <x:v>0.2000</x:v>
      </x:c>
      <x:c r="D14" s="41" t="str">
        <x:v>本月完工</x:v>
      </x:c>
      <x:c r="E14" s="88"/>
      <x:c r="F14" s="88"/>
      <x:c r="G14" s="88"/>
      <x:c r="H14" s="88"/>
      <x:c r="I14" s="88"/>
      <x:c r="J14" s="88"/>
    </x:row>
    <x:row r="15">
      <x:c r="A15" s="39" t="str">
        <x:v>销售成本</x:v>
      </x:c>
      <x:c r="B15" s="70" t="n">
        <x:f>SUM('11-毛利率分析'!K6:K7)</x:f>
        <x:v>347.6235294117647</x:v>
      </x:c>
      <x:c r="C15" s="40" t="str">
        <x:v>347.62</x:v>
      </x:c>
      <x:c r="D15" s="41" t="str">
        <x:v>加权平均计价</x:v>
      </x:c>
      <x:c r="E15" s="88"/>
      <x:c r="F15" s="88"/>
      <x:c r="G15" s="88"/>
      <x:c r="H15" s="88"/>
      <x:c r="I15" s="88"/>
      <x:c r="J15" s="88"/>
    </x:row>
    <x:row r="16">
      <x:c r="A16" s="39" t="str">
        <x:v>销售收入</x:v>
      </x:c>
      <x:c r="B16" s="70" t="n">
        <x:f>SUM('11-毛利率分析'!C6:C7)</x:f>
        <x:v>710</x:v>
      </x:c>
      <x:c r="C16" s="40" t="str">
        <x:v>710</x:v>
      </x:c>
      <x:c r="D16" s="41" t="str">
        <x:v>不含税</x:v>
      </x:c>
      <x:c r="E16" s="88"/>
      <x:c r="F16" s="88"/>
      <x:c r="G16" s="88"/>
      <x:c r="H16" s="88"/>
      <x:c r="I16" s="88"/>
      <x:c r="J16" s="88"/>
    </x:row>
    <x:row r="17">
      <x:c r="A17" s="42" t="str">
        <x:v>毛利率</x:v>
      </x:c>
      <x:c r="B17" s="81" t="n">
        <x:f>SUM('11-毛利率分析'!L6:L7)/B16</x:f>
        <x:v>0.5103893951946976</x:v>
      </x:c>
      <x:c r="C17" s="43" t="str">
        <x:v>51.04%</x:v>
      </x:c>
      <x:c r="D17" s="44" t="str">
        <x:v>产品组合后</x:v>
      </x:c>
      <x:c r="E17" s="88"/>
      <x:c r="F17" s="88"/>
      <x:c r="G17" s="88"/>
      <x:c r="H17" s="88"/>
      <x:c r="I17" s="88"/>
      <x:c r="J17" s="88"/>
    </x:row>
  </x:sheetData>
  <x:mergeCells>
    <x:mergeCell ref="A1:L1"/>
    <x:mergeCell ref="A2:L2"/>
  </x:mergeCells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14" hidden="0" customWidth="1"/>
    <x:col min="2" max="2" width="10" hidden="0" customWidth="1"/>
    <x:col min="3" max="3" width="22" hidden="0" customWidth="1"/>
    <x:col min="4" max="4" width="38" hidden="0" customWidth="1"/>
    <x:col min="5" max="5" width="18" hidden="0" customWidth="1"/>
    <x:col min="6" max="6" width="14" hidden="0" customWidth="1"/>
    <x:col min="7" max="7" width="30" hidden="0" customWidth="1"/>
    <x:col min="8" max="8" width="22" hidden="0" customWidth="1"/>
  </x:cols>
  <x:sheetData>
    <x:row r="1" ht="30" customHeight="1">
      <x:c r="A1" s="87" t="str">
        <x:v>数据字典</x:v>
      </x:c>
      <x:c r="B1" s="88"/>
      <x:c r="C1" s="88"/>
      <x:c r="D1" s="88"/>
      <x:c r="E1" s="88"/>
      <x:c r="F1" s="88"/>
      <x:c r="G1" s="88"/>
      <x:c r="H1" s="88"/>
    </x:row>
    <x:row r="2" ht="24" customHeight="1">
      <x:c r="A2" s="89" t="str">
        <x:v>区分准则、理论、常见实务、ERP配置和企业成本政策</x:v>
      </x:c>
      <x:c r="B2" s="88"/>
      <x:c r="C2" s="88"/>
      <x:c r="D2" s="88"/>
      <x:c r="E2" s="88"/>
      <x:c r="F2" s="88"/>
      <x:c r="G2" s="88"/>
      <x:c r="H2" s="88"/>
    </x:row>
    <x:row r="3">
      <x:c r="A3" s="88"/>
      <x:c r="B3" s="88"/>
      <x:c r="C3" s="88"/>
      <x:c r="D3" s="88"/>
      <x:c r="E3" s="88"/>
      <x:c r="F3" s="88"/>
      <x:c r="G3" s="88"/>
      <x:c r="H3" s="88"/>
    </x:row>
    <x:row r="4">
      <x:c r="A4" s="88"/>
      <x:c r="B4" s="88"/>
      <x:c r="C4" s="88"/>
      <x:c r="D4" s="88"/>
      <x:c r="E4" s="88"/>
      <x:c r="F4" s="88"/>
      <x:c r="G4" s="88"/>
      <x:c r="H4" s="88"/>
    </x:row>
    <x:row r="5" ht="32" customHeight="1">
      <x:c r="A5" s="15" t="str">
        <x:v>类别</x:v>
      </x:c>
      <x:c r="B5" s="16" t="str">
        <x:v>代码</x:v>
      </x:c>
      <x:c r="C5" s="16" t="str">
        <x:v>名称</x:v>
      </x:c>
      <x:c r="D5" s="16" t="str">
        <x:v>定义</x:v>
      </x:c>
      <x:c r="E5" s="16" t="str">
        <x:v>所有者</x:v>
      </x:c>
      <x:c r="F5" s="16" t="str">
        <x:v>复核</x:v>
      </x:c>
      <x:c r="G5" s="16" t="str">
        <x:v>关闭/生效条件</x:v>
      </x:c>
      <x:c r="H5" s="17" t="str">
        <x:v>备注</x:v>
      </x:c>
    </x:row>
    <x:row r="6">
      <x:c r="A6" s="48" t="str">
        <x:v>口径</x:v>
      </x:c>
      <x:c r="B6" s="49" t="str">
        <x:v>P01</x:v>
      </x:c>
      <x:c r="C6" s="49" t="str">
        <x:v>会计准则</x:v>
      </x:c>
      <x:c r="D6" s="49" t="str">
        <x:v>确认计量列报</x:v>
      </x:c>
      <x:c r="E6" s="49" t="str">
        <x:v>总账</x:v>
      </x:c>
      <x:c r="F6" s="49" t="str">
        <x:v>主管</x:v>
      </x:c>
      <x:c r="G6" s="49" t="str">
        <x:v>政策判断留痕</x:v>
      </x:c>
      <x:c r="H6" s="50" t="str"/>
    </x:row>
    <x:row r="7">
      <x:c r="A7" s="39" t="str">
        <x:v>口径</x:v>
      </x:c>
      <x:c r="B7" s="40" t="str">
        <x:v>P02</x:v>
      </x:c>
      <x:c r="C7" s="40" t="str">
        <x:v>成本理论</x:v>
      </x:c>
      <x:c r="D7" s="40" t="str">
        <x:v>归集分配计算方法</x:v>
      </x:c>
      <x:c r="E7" s="40" t="str">
        <x:v>成本</x:v>
      </x:c>
      <x:c r="F7" s="40" t="str">
        <x:v>主管</x:v>
      </x:c>
      <x:c r="G7" s="40" t="str">
        <x:v>适用场景说明</x:v>
      </x:c>
      <x:c r="H7" s="41" t="str"/>
    </x:row>
    <x:row r="8">
      <x:c r="A8" s="51" t="str">
        <x:v>口径</x:v>
      </x:c>
      <x:c r="B8" s="52" t="str">
        <x:v>P03</x:v>
      </x:c>
      <x:c r="C8" s="52" t="str">
        <x:v>常见实务</x:v>
      </x:c>
      <x:c r="D8" s="52" t="str">
        <x:v>成熟制造企业流程</x:v>
      </x:c>
      <x:c r="E8" s="52" t="str">
        <x:v>流程负责人</x:v>
      </x:c>
      <x:c r="F8" s="52" t="str">
        <x:v>主管</x:v>
      </x:c>
      <x:c r="G8" s="52" t="str">
        <x:v>企业批准</x:v>
      </x:c>
      <x:c r="H8" s="53" t="str">
        <x:v>非唯一</x:v>
      </x:c>
    </x:row>
    <x:row r="9">
      <x:c r="A9" s="39" t="str">
        <x:v>口径</x:v>
      </x:c>
      <x:c r="B9" s="40" t="str">
        <x:v>P04</x:v>
      </x:c>
      <x:c r="C9" s="40" t="str">
        <x:v>ERP配置</x:v>
      </x:c>
      <x:c r="D9" s="40" t="str">
        <x:v>物料/工单/成本中心/科目映射</x:v>
      </x:c>
      <x:c r="E9" s="40" t="str">
        <x:v>IT+财务</x:v>
      </x:c>
      <x:c r="F9" s="40" t="str">
        <x:v>主管</x:v>
      </x:c>
      <x:c r="G9" s="40" t="str">
        <x:v>测试上线</x:v>
      </x:c>
      <x:c r="H9" s="41" t="str"/>
    </x:row>
    <x:row r="10">
      <x:c r="A10" s="51" t="str">
        <x:v>口径</x:v>
      </x:c>
      <x:c r="B10" s="52" t="str">
        <x:v>P05</x:v>
      </x:c>
      <x:c r="C10" s="52" t="str">
        <x:v>内部成本政策</x:v>
      </x:c>
      <x:c r="D10" s="52" t="str">
        <x:v>对象、项目、分配、WIP、价差</x:v>
      </x:c>
      <x:c r="E10" s="52" t="str">
        <x:v>财务主管</x:v>
      </x:c>
      <x:c r="F10" s="52" t="str">
        <x:v>CFO</x:v>
      </x:c>
      <x:c r="G10" s="52" t="str">
        <x:v>正式发布并一贯执行</x:v>
      </x:c>
      <x:c r="H10" s="53" t="str"/>
    </x:row>
    <x:row r="11">
      <x:c r="A11" s="39" t="str">
        <x:v>状态</x:v>
      </x:c>
      <x:c r="B11" s="40" t="str">
        <x:v>S01</x:v>
      </x:c>
      <x:c r="C11" s="40" t="str">
        <x:v>未开始</x:v>
      </x:c>
      <x:c r="D11" s="40" t="str">
        <x:v>尚未执行</x:v>
      </x:c>
      <x:c r="E11" s="40" t="str">
        <x:v>责任人</x:v>
      </x:c>
      <x:c r="F11" s="40" t="str">
        <x:v>否</x:v>
      </x:c>
      <x:c r="G11" s="40" t="str">
        <x:v>不适用</x:v>
      </x:c>
      <x:c r="H11" s="41" t="str"/>
    </x:row>
    <x:row r="12">
      <x:c r="A12" s="51" t="str">
        <x:v>状态</x:v>
      </x:c>
      <x:c r="B12" s="52" t="str">
        <x:v>S02</x:v>
      </x:c>
      <x:c r="C12" s="52" t="str">
        <x:v>进行中</x:v>
      </x:c>
      <x:c r="D12" s="52" t="str">
        <x:v>已开始未完成</x:v>
      </x:c>
      <x:c r="E12" s="52" t="str">
        <x:v>责任人</x:v>
      </x:c>
      <x:c r="F12" s="52" t="str">
        <x:v>否</x:v>
      </x:c>
      <x:c r="G12" s="52" t="str">
        <x:v>动作完成</x:v>
      </x:c>
      <x:c r="H12" s="53" t="str"/>
    </x:row>
    <x:row r="13">
      <x:c r="A13" s="39" t="str">
        <x:v>状态</x:v>
      </x:c>
      <x:c r="B13" s="40" t="str">
        <x:v>S03</x:v>
      </x:c>
      <x:c r="C13" s="40" t="str">
        <x:v>待复核</x:v>
      </x:c>
      <x:c r="D13" s="40" t="str">
        <x:v>经办完成</x:v>
      </x:c>
      <x:c r="E13" s="40" t="str">
        <x:v>复核人</x:v>
      </x:c>
      <x:c r="F13" s="40" t="str">
        <x:v>是</x:v>
      </x:c>
      <x:c r="G13" s="40" t="str">
        <x:v>复核通过</x:v>
      </x:c>
      <x:c r="H13" s="41" t="str"/>
    </x:row>
    <x:row r="14">
      <x:c r="A14" s="51" t="str">
        <x:v>状态</x:v>
      </x:c>
      <x:c r="B14" s="52" t="str">
        <x:v>S04</x:v>
      </x:c>
      <x:c r="C14" s="52" t="str">
        <x:v>已关闭</x:v>
      </x:c>
      <x:c r="D14" s="52" t="str">
        <x:v>证据归档</x:v>
      </x:c>
      <x:c r="E14" s="52" t="str">
        <x:v>复核人</x:v>
      </x:c>
      <x:c r="F14" s="52" t="str">
        <x:v>是</x:v>
      </x:c>
      <x:c r="G14" s="52" t="str">
        <x:v>关闭证据</x:v>
      </x:c>
      <x:c r="H14" s="53" t="str"/>
    </x:row>
    <x:row r="15">
      <x:c r="A15" s="39" t="str">
        <x:v>异常</x:v>
      </x:c>
      <x:c r="B15" s="40" t="str">
        <x:v>E01</x:v>
      </x:c>
      <x:c r="C15" s="40" t="str">
        <x:v>价格差异</x:v>
      </x:c>
      <x:c r="D15" s="40" t="str">
        <x:v>实际价格偏离标准</x:v>
      </x:c>
      <x:c r="E15" s="40" t="str">
        <x:v>采购/成本</x:v>
      </x:c>
      <x:c r="F15" s="40" t="str">
        <x:v>是</x:v>
      </x:c>
      <x:c r="G15" s="40" t="str">
        <x:v>原因和去向确认</x:v>
      </x:c>
      <x:c r="H15" s="41" t="str"/>
    </x:row>
    <x:row r="16">
      <x:c r="A16" s="51" t="str">
        <x:v>异常</x:v>
      </x:c>
      <x:c r="B16" s="52" t="str">
        <x:v>E02</x:v>
      </x:c>
      <x:c r="C16" s="52" t="str">
        <x:v>数量差异</x:v>
      </x:c>
      <x:c r="D16" s="52" t="str">
        <x:v>实际耗用偏离BOM</x:v>
      </x:c>
      <x:c r="E16" s="52" t="str">
        <x:v>生产/成本</x:v>
      </x:c>
      <x:c r="F16" s="52" t="str">
        <x:v>是</x:v>
      </x:c>
      <x:c r="G16" s="52" t="str">
        <x:v>质量/BOM/工单确认</x:v>
      </x:c>
      <x:c r="H16" s="53" t="str"/>
    </x:row>
    <x:row r="17">
      <x:c r="A17" s="39" t="str">
        <x:v>异常</x:v>
      </x:c>
      <x:c r="B17" s="40" t="str">
        <x:v>E03</x:v>
      </x:c>
      <x:c r="C17" s="40" t="str">
        <x:v>系统差异</x:v>
      </x:c>
      <x:c r="D17" s="40" t="str">
        <x:v>模块与GL或计算失败</x:v>
      </x:c>
      <x:c r="E17" s="40" t="str">
        <x:v>IT/财务</x:v>
      </x:c>
      <x:c r="F17" s="40" t="str">
        <x:v>是</x:v>
      </x:c>
      <x:c r="G17" s="40" t="str">
        <x:v>修复重跑</x:v>
      </x:c>
      <x:c r="H17" s="41" t="str"/>
    </x:row>
    <x:row r="18">
      <x:c r="A18" s="51" t="str">
        <x:v>异常</x:v>
      </x:c>
      <x:c r="B18" s="52" t="str">
        <x:v>E04</x:v>
      </x:c>
      <x:c r="C18" s="52" t="str">
        <x:v>跌价风险</x:v>
      </x:c>
      <x:c r="D18" s="52" t="str">
        <x:v>成本可能高于NRV</x:v>
      </x:c>
      <x:c r="E18" s="52" t="str">
        <x:v>销售/财务</x:v>
      </x:c>
      <x:c r="F18" s="52" t="str">
        <x:v>是</x:v>
      </x:c>
      <x:c r="G18" s="52" t="str">
        <x:v>测算审批</x:v>
      </x:c>
      <x:c r="H18" s="53" t="str">
        <x:v>呆滞不等于减值</x:v>
      </x:c>
    </x:row>
    <x:row r="19">
      <x:c r="A19" s="39"/>
      <x:c r="B19" s="40"/>
      <x:c r="C19" s="40"/>
      <x:c r="D19" s="40"/>
      <x:c r="E19" s="40"/>
      <x:c r="F19" s="40"/>
      <x:c r="G19" s="40"/>
      <x:c r="H19" s="41"/>
    </x:row>
    <x:row r="20">
      <x:c r="A20" s="51"/>
      <x:c r="B20" s="52"/>
      <x:c r="C20" s="52"/>
      <x:c r="D20" s="52"/>
      <x:c r="E20" s="52"/>
      <x:c r="F20" s="52"/>
      <x:c r="G20" s="52"/>
      <x:c r="H20" s="53"/>
    </x:row>
    <x:row r="21">
      <x:c r="A21" s="39"/>
      <x:c r="B21" s="40"/>
      <x:c r="C21" s="40"/>
      <x:c r="D21" s="40"/>
      <x:c r="E21" s="40"/>
      <x:c r="F21" s="40"/>
      <x:c r="G21" s="40"/>
      <x:c r="H21" s="41"/>
    </x:row>
    <x:row r="22">
      <x:c r="A22" s="51"/>
      <x:c r="B22" s="52"/>
      <x:c r="C22" s="52"/>
      <x:c r="D22" s="52"/>
      <x:c r="E22" s="52"/>
      <x:c r="F22" s="52"/>
      <x:c r="G22" s="52"/>
      <x:c r="H22" s="53"/>
    </x:row>
    <x:row r="23">
      <x:c r="A23" s="39"/>
      <x:c r="B23" s="40"/>
      <x:c r="C23" s="40"/>
      <x:c r="D23" s="40"/>
      <x:c r="E23" s="40"/>
      <x:c r="F23" s="40"/>
      <x:c r="G23" s="40"/>
      <x:c r="H23" s="41"/>
    </x:row>
    <x:row r="24">
      <x:c r="A24" s="51"/>
      <x:c r="B24" s="52"/>
      <x:c r="C24" s="52"/>
      <x:c r="D24" s="52"/>
      <x:c r="E24" s="52"/>
      <x:c r="F24" s="52"/>
      <x:c r="G24" s="52"/>
      <x:c r="H24" s="53"/>
    </x:row>
    <x:row r="25">
      <x:c r="A25" s="39"/>
      <x:c r="B25" s="40"/>
      <x:c r="C25" s="40"/>
      <x:c r="D25" s="40"/>
      <x:c r="E25" s="40"/>
      <x:c r="F25" s="40"/>
      <x:c r="G25" s="40"/>
      <x:c r="H25" s="41"/>
    </x:row>
    <x:row r="26">
      <x:c r="A26" s="51"/>
      <x:c r="B26" s="52"/>
      <x:c r="C26" s="52"/>
      <x:c r="D26" s="52"/>
      <x:c r="E26" s="52"/>
      <x:c r="F26" s="52"/>
      <x:c r="G26" s="52"/>
      <x:c r="H26" s="53"/>
    </x:row>
    <x:row r="27">
      <x:c r="A27" s="39"/>
      <x:c r="B27" s="40"/>
      <x:c r="C27" s="40"/>
      <x:c r="D27" s="40"/>
      <x:c r="E27" s="40"/>
      <x:c r="F27" s="40"/>
      <x:c r="G27" s="40"/>
      <x:c r="H27" s="41"/>
    </x:row>
    <x:row r="28">
      <x:c r="A28" s="51"/>
      <x:c r="B28" s="52"/>
      <x:c r="C28" s="52"/>
      <x:c r="D28" s="52"/>
      <x:c r="E28" s="52"/>
      <x:c r="F28" s="52"/>
      <x:c r="G28" s="52"/>
      <x:c r="H28" s="53"/>
    </x:row>
    <x:row r="29">
      <x:c r="A29" s="39"/>
      <x:c r="B29" s="40"/>
      <x:c r="C29" s="40"/>
      <x:c r="D29" s="40"/>
      <x:c r="E29" s="40"/>
      <x:c r="F29" s="40"/>
      <x:c r="G29" s="40"/>
      <x:c r="H29" s="41"/>
    </x:row>
    <x:row r="30">
      <x:c r="A30" s="54"/>
      <x:c r="B30" s="55"/>
      <x:c r="C30" s="55"/>
      <x:c r="D30" s="55"/>
      <x:c r="E30" s="55"/>
      <x:c r="F30" s="55"/>
      <x:c r="G30" s="55"/>
      <x:c r="H30" s="56"/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55efa3f059624a59"/>
  </x:tableParts>
</x:worksheet>
</file>