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8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4.xml" ContentType="application/vnd.openxmlformats-officedocument.spreadsheetml.table+xml"/>
  <Override PartName="/xl/tables/table5.xml" ContentType="application/vnd.openxmlformats-officedocument.spreadsheetml.table+xml"/>
  <Override PartName="/xl/tables/table26.xml" ContentType="application/vnd.openxmlformats-officedocument.spreadsheetml.table+xml"/>
  <Override PartName="/xl/tables/table2.xml" ContentType="application/vnd.openxmlformats-officedocument.spreadsheetml.table+xml"/>
  <Override PartName="/xl/tables/table13.xml" ContentType="application/vnd.openxmlformats-officedocument.spreadsheetml.table+xml"/>
  <Override PartName="/xl/tables/table24.xml" ContentType="application/vnd.openxmlformats-officedocument.spreadsheetml.table+xml"/>
  <Override PartName="/xl/tables/table12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19.xml" ContentType="application/vnd.openxmlformats-officedocument.spreadsheetml.table+xml"/>
  <Override PartName="/xl/tables/table4.xml" ContentType="application/vnd.openxmlformats-officedocument.spreadsheetml.table+xml"/>
  <Override PartName="/xl/tables/table15.xml" ContentType="application/vnd.openxmlformats-officedocument.spreadsheetml.table+xml"/>
  <Override PartName="/xl/tables/table17.xml" ContentType="application/vnd.openxmlformats-officedocument.spreadsheetml.table+xml"/>
  <Override PartName="/xl/tables/table6.xml" ContentType="application/vnd.openxmlformats-officedocument.spreadsheetml.table+xml"/>
  <Override PartName="/xl/tables/table23.xml" ContentType="application/vnd.openxmlformats-officedocument.spreadsheetml.table+xml"/>
  <Override PartName="/xl/tables/table16.xml" ContentType="application/vnd.openxmlformats-officedocument.spreadsheetml.table+xml"/>
  <Override PartName="/xl/tables/table7.xml" ContentType="application/vnd.openxmlformats-officedocument.spreadsheetml.table+xml"/>
  <Override PartName="/xl/tables/table22.xml" ContentType="application/vnd.openxmlformats-officedocument.spreadsheetml.table+xml"/>
  <Override PartName="/xl/tables/table21.xml" ContentType="application/vnd.openxmlformats-officedocument.spreadsheetml.table+xml"/>
  <Override PartName="/xl/tables/table25.xml" ContentType="application/vnd.openxmlformats-officedocument.spreadsheetml.table+xml"/>
  <Override PartName="/xl/tables/table20.xml" ContentType="application/vnd.openxmlformats-officedocument.spreadsheetml.table+xml"/>
  <Override PartName="/xl/tables/table1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-管理看板" sheetId="1" state="visible" r:id="rId3"/>
    <sheet name="01-RACI" sheetId="2" state="visible" r:id="rId4"/>
    <sheet name="02-库存明细" sheetId="3" state="visible" r:id="rId5"/>
    <sheet name="03-物料主数据" sheetId="4" state="visible" r:id="rId6"/>
    <sheet name="04-三单匹配" sheetId="5" state="visible" r:id="rId7"/>
    <sheet name="05-入库异常" sheetId="6" state="visible" r:id="rId8"/>
    <sheet name="06-异常收发" sheetId="7" state="visible" r:id="rId9"/>
    <sheet name="07-BOM超耗" sheetId="8" state="visible" r:id="rId10"/>
    <sheet name="08-在产品" sheetId="9" state="visible" r:id="rId11"/>
    <sheet name="09-完工差异" sheetId="10" state="visible" r:id="rId12"/>
    <sheet name="10-盘点计划" sheetId="11" state="visible" r:id="rId13"/>
    <sheet name="11-盲盘表" sheetId="12" state="visible" r:id="rId14"/>
    <sheet name="12-盘点差异" sheetId="13" state="visible" r:id="rId15"/>
    <sheet name="13-库龄" sheetId="14" state="visible" r:id="rId16"/>
    <sheet name="14-呆滞库存" sheetId="15" state="visible" r:id="rId17"/>
    <sheet name="15-外仓与调拨" sheetId="16" state="visible" r:id="rId18"/>
    <sheet name="16-跌价测算" sheetId="17" state="visible" r:id="rId19"/>
    <sheet name="17-报废申请" sheetId="18" state="visible" r:id="rId20"/>
    <sheet name="18-废料处置" sheetId="19" state="visible" r:id="rId21"/>
    <sheet name="19-月末Checklist" sheetId="20" state="visible" r:id="rId22"/>
    <sheet name="20-接手检查" sheetId="21" state="visible" r:id="rId23"/>
    <sheet name="21-核心指标" sheetId="22" state="visible" r:id="rId24"/>
    <sheet name="22-一页管理报告" sheetId="23" state="visible" r:id="rId25"/>
    <sheet name="23-风险红旗" sheetId="24" state="visible" r:id="rId26"/>
    <sheet name="24-Issue Log" sheetId="25" state="visible" r:id="rId27"/>
    <sheet name="25-案例库" sheetId="26" state="visible" r:id="rId28"/>
    <sheet name="26-资料来源" sheetId="27" state="visible" r:id="rId2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<sst xmlns="http://schemas.openxmlformats.org/spreadsheetml/2006/main" count="1955" uniqueCount="1104">
  <si>
    <t xml:space="preserve">企业存货管理工具包</t>
  </si>
  <si>
    <t xml:space="preserve">案例企业：华辰智造科技有限公司。黄色单元格为人工维护，金额单位为元。</t>
  </si>
  <si>
    <t xml:space="preserve">指标</t>
  </si>
  <si>
    <t xml:space="preserve">本期结果</t>
  </si>
  <si>
    <t xml:space="preserve">预警/目标</t>
  </si>
  <si>
    <t xml:space="preserve">财务主管动作</t>
  </si>
  <si>
    <t xml:space="preserve">库存总额</t>
  </si>
  <si>
    <t xml:space="preserve">与GL一致</t>
  </si>
  <si>
    <t xml:space="preserve">核对总账、模块、WMS</t>
  </si>
  <si>
    <t xml:space="preserve">原材料及辅料</t>
  </si>
  <si>
    <t xml:space="preserve">结构观察</t>
  </si>
  <si>
    <t xml:space="preserve">解释量价结构</t>
  </si>
  <si>
    <t xml:space="preserve">在产品</t>
  </si>
  <si>
    <t xml:space="preserve">重点&lt;30天</t>
  </si>
  <si>
    <t xml:space="preserve">查工序瓶颈和假报工</t>
  </si>
  <si>
    <t xml:space="preserve">产成品/库存商品</t>
  </si>
  <si>
    <t xml:space="preserve">结合销售</t>
  </si>
  <si>
    <t xml:space="preserve">查滞销和订单取消</t>
  </si>
  <si>
    <t xml:space="preserve">发出/外仓/委外</t>
  </si>
  <si>
    <t xml:space="preserve">逐项外部证据</t>
  </si>
  <si>
    <t xml:space="preserve">对账/函证/盘点</t>
  </si>
  <si>
    <t xml:space="preserve">负库存SKU数</t>
  </si>
  <si>
    <t xml:space="preserve">逐笔清理并关超发</t>
  </si>
  <si>
    <t xml:space="preserve">负库存金额</t>
  </si>
  <si>
    <t xml:space="preserve">评估毛利和期间</t>
  </si>
  <si>
    <t xml:space="preserve">&gt;365天库存金额</t>
  </si>
  <si>
    <t xml:space="preserve">业务给使用/处置计划</t>
  </si>
  <si>
    <t xml:space="preserve">呆滞/停产库存金额</t>
  </si>
  <si>
    <t xml:space="preserve">逐项方案</t>
  </si>
  <si>
    <t xml:space="preserve">NRV测算+Owner</t>
  </si>
  <si>
    <t xml:space="preserve">存货周转率（年化）</t>
  </si>
  <si>
    <t xml:space="preserve">同行/趋势</t>
  </si>
  <si>
    <t xml:space="preserve">分原料/WIP/成品</t>
  </si>
  <si>
    <t xml:space="preserve">存货周转天数</t>
  </si>
  <si>
    <t xml:space="preserve">趋势下降</t>
  </si>
  <si>
    <t xml:space="preserve">结合缺货率</t>
  </si>
  <si>
    <t xml:space="preserve">Open盘点差异</t>
  </si>
  <si>
    <t xml:space="preserve">证据、调账、追责、Closure</t>
  </si>
  <si>
    <t xml:space="preserve">Open重大Issue</t>
  </si>
  <si>
    <t xml:space="preserve">升级并验证临时控制</t>
  </si>
  <si>
    <t xml:space="preserve">存货管理岗位责任矩阵</t>
  </si>
  <si>
    <t xml:space="preserve">R=执行/牵头，A=最终负责。财务负责核算、监督、复核和升级。</t>
  </si>
  <si>
    <t xml:space="preserve">事项</t>
  </si>
  <si>
    <t xml:space="preserve">R执行/牵头</t>
  </si>
  <si>
    <t xml:space="preserve">财务角色</t>
  </si>
  <si>
    <t xml:space="preserve">A最终负责</t>
  </si>
  <si>
    <t xml:space="preserve">主要风险</t>
  </si>
  <si>
    <t xml:space="preserve">需求预测与销售计划</t>
  </si>
  <si>
    <t xml:space="preserve">销售/计划</t>
  </si>
  <si>
    <t xml:space="preserve">C</t>
  </si>
  <si>
    <t xml:space="preserve">A</t>
  </si>
  <si>
    <t xml:space="preserve">预测误差、冲量备货</t>
  </si>
  <si>
    <t xml:space="preserve">采购计划与订单</t>
  </si>
  <si>
    <t xml:space="preserve">计划/采购</t>
  </si>
  <si>
    <t xml:space="preserve">超量采购、MOQ失控</t>
  </si>
  <si>
    <t xml:space="preserve">到货、质检、入库</t>
  </si>
  <si>
    <t xml:space="preserve">仓库/质量</t>
  </si>
  <si>
    <t xml:space="preserve">实物已到未入账、虚假入库</t>
  </si>
  <si>
    <t xml:space="preserve">库位、保管、收发</t>
  </si>
  <si>
    <t xml:space="preserve">仓库</t>
  </si>
  <si>
    <t xml:space="preserve">C/I</t>
  </si>
  <si>
    <t xml:space="preserve">无单收发、串料、盗损</t>
  </si>
  <si>
    <t xml:space="preserve">BOM与工艺用量</t>
  </si>
  <si>
    <t xml:space="preserve">研发/工艺</t>
  </si>
  <si>
    <t xml:space="preserve">BOM失真、超耗常态化</t>
  </si>
  <si>
    <t xml:space="preserve">领料、退料、完工</t>
  </si>
  <si>
    <t xml:space="preserve">生产/仓库</t>
  </si>
  <si>
    <t xml:space="preserve">先领后补、在产品失真</t>
  </si>
  <si>
    <t xml:space="preserve">订单、发货、签收</t>
  </si>
  <si>
    <t xml:space="preserve">销售/物流</t>
  </si>
  <si>
    <t xml:space="preserve">截止错误、发出商品失控</t>
  </si>
  <si>
    <t xml:space="preserve">成本计价与账账核对</t>
  </si>
  <si>
    <t xml:space="preserve">成本会计</t>
  </si>
  <si>
    <t xml:space="preserve">R</t>
  </si>
  <si>
    <t xml:space="preserve">I</t>
  </si>
  <si>
    <t xml:space="preserve">单位成本、接口、分摊错误</t>
  </si>
  <si>
    <t xml:space="preserve">盘点组织</t>
  </si>
  <si>
    <t xml:space="preserve">仓储负责人</t>
  </si>
  <si>
    <t xml:space="preserve">R/C</t>
  </si>
  <si>
    <t xml:space="preserve">自盘自认、差异不关闭</t>
  </si>
  <si>
    <t xml:space="preserve">呆滞认定与处置</t>
  </si>
  <si>
    <t xml:space="preserve">计划/销售/采购/生产</t>
  </si>
  <si>
    <t xml:space="preserve">无人负责、拖延处置</t>
  </si>
  <si>
    <t xml:space="preserve">跌价测试</t>
  </si>
  <si>
    <t xml:space="preserve">业务提供证据、财务测算</t>
  </si>
  <si>
    <t xml:space="preserve">主观操纵、证据不足</t>
  </si>
  <si>
    <t xml:space="preserve">报废与废料处置</t>
  </si>
  <si>
    <t xml:space="preserve">业务申请、仓库执行</t>
  </si>
  <si>
    <t xml:space="preserve">假报废、收入截留</t>
  </si>
  <si>
    <t xml:space="preserve">主数据与权限</t>
  </si>
  <si>
    <t xml:space="preserve">IT/主数据委员会</t>
  </si>
  <si>
    <t xml:space="preserve">一物多码、越权删单</t>
  </si>
  <si>
    <t xml:space="preserve">库存明细与责任台账</t>
  </si>
  <si>
    <t xml:space="preserve">连接SKU、仓库、数量、单位成本、金额、库龄、状态和责任部门。</t>
  </si>
  <si>
    <t xml:space="preserve">物料编码</t>
  </si>
  <si>
    <t xml:space="preserve">名称</t>
  </si>
  <si>
    <t xml:space="preserve">类别</t>
  </si>
  <si>
    <t xml:space="preserve">单位</t>
  </si>
  <si>
    <t xml:space="preserve">仓库/库位</t>
  </si>
  <si>
    <t xml:space="preserve">数量</t>
  </si>
  <si>
    <t xml:space="preserve">单位成本</t>
  </si>
  <si>
    <t xml:space="preserve">金额</t>
  </si>
  <si>
    <t xml:space="preserve">最后移动日</t>
  </si>
  <si>
    <t xml:space="preserve">库龄天数</t>
  </si>
  <si>
    <t xml:space="preserve">状态</t>
  </si>
  <si>
    <t xml:space="preserve">责任部门</t>
  </si>
  <si>
    <t xml:space="preserve">处理计划</t>
  </si>
  <si>
    <t xml:space="preserve">RM-IC-001</t>
  </si>
  <si>
    <t xml:space="preserve">主控芯片A1</t>
  </si>
  <si>
    <t xml:space="preserve">原材料</t>
  </si>
  <si>
    <t xml:space="preserve">PCS</t>
  </si>
  <si>
    <t xml:space="preserve">原料库-A01</t>
  </si>
  <si>
    <t xml:space="preserve">正常</t>
  </si>
  <si>
    <t xml:space="preserve">生产一部</t>
  </si>
  <si>
    <t xml:space="preserve">RM-PCB-002</t>
  </si>
  <si>
    <t xml:space="preserve">六层PCB板</t>
  </si>
  <si>
    <t xml:space="preserve">原料库-A02</t>
  </si>
  <si>
    <t xml:space="preserve">RM-CASE-003</t>
  </si>
  <si>
    <t xml:space="preserve">铝合金外壳</t>
  </si>
  <si>
    <t xml:space="preserve">原料库-B03</t>
  </si>
  <si>
    <t xml:space="preserve">关注</t>
  </si>
  <si>
    <t xml:space="preserve">采购部</t>
  </si>
  <si>
    <t xml:space="preserve">RM-LCD-004</t>
  </si>
  <si>
    <t xml:space="preserve">7寸显示屏</t>
  </si>
  <si>
    <t xml:space="preserve">原料库-B04</t>
  </si>
  <si>
    <t xml:space="preserve">呆滞</t>
  </si>
  <si>
    <t xml:space="preserve">产品部</t>
  </si>
  <si>
    <t xml:space="preserve">RM-CAB-005</t>
  </si>
  <si>
    <t xml:space="preserve">连接线束</t>
  </si>
  <si>
    <t xml:space="preserve">辅料</t>
  </si>
  <si>
    <t xml:space="preserve">原料库-C01</t>
  </si>
  <si>
    <t xml:space="preserve">PK-BOX-001</t>
  </si>
  <si>
    <t xml:space="preserve">产品包装箱</t>
  </si>
  <si>
    <t xml:space="preserve">包装物</t>
  </si>
  <si>
    <t xml:space="preserve">包材库-P01</t>
  </si>
  <si>
    <t xml:space="preserve">仓储部</t>
  </si>
  <si>
    <t xml:space="preserve">SP-MOTOR-001</t>
  </si>
  <si>
    <t xml:space="preserve">设备备用电机</t>
  </si>
  <si>
    <t xml:space="preserve">备品备件</t>
  </si>
  <si>
    <t xml:space="preserve">备件库-S01</t>
  </si>
  <si>
    <t xml:space="preserve">战略备件</t>
  </si>
  <si>
    <t xml:space="preserve">设备部</t>
  </si>
  <si>
    <t xml:space="preserve">WIP-1001</t>
  </si>
  <si>
    <t xml:space="preserve">HC-100在产品</t>
  </si>
  <si>
    <t xml:space="preserve">批</t>
  </si>
  <si>
    <t xml:space="preserve">车间一线</t>
  </si>
  <si>
    <t xml:space="preserve">在制</t>
  </si>
  <si>
    <t xml:space="preserve">WIP-2001</t>
  </si>
  <si>
    <t xml:space="preserve">HC-200在产品</t>
  </si>
  <si>
    <t xml:space="preserve">车间二线</t>
  </si>
  <si>
    <t xml:space="preserve">生产二部</t>
  </si>
  <si>
    <t xml:space="preserve">SFG-MOD-01</t>
  </si>
  <si>
    <t xml:space="preserve">通信模组半成品</t>
  </si>
  <si>
    <t xml:space="preserve">半成品</t>
  </si>
  <si>
    <t xml:space="preserve">半成品库</t>
  </si>
  <si>
    <t xml:space="preserve">FG-HC100</t>
  </si>
  <si>
    <t xml:space="preserve">智能控制器HC-100</t>
  </si>
  <si>
    <t xml:space="preserve">产成品</t>
  </si>
  <si>
    <t xml:space="preserve">成品库-F01</t>
  </si>
  <si>
    <t xml:space="preserve">销售部</t>
  </si>
  <si>
    <t xml:space="preserve">FG-HC200</t>
  </si>
  <si>
    <t xml:space="preserve">工业网关HC-200</t>
  </si>
  <si>
    <t xml:space="preserve">成品库-F02</t>
  </si>
  <si>
    <t xml:space="preserve">FG-OLD01</t>
  </si>
  <si>
    <t xml:space="preserve">旧款控制器HC-80</t>
  </si>
  <si>
    <t xml:space="preserve">成品库-F03</t>
  </si>
  <si>
    <t xml:space="preserve">停产呆滞</t>
  </si>
  <si>
    <t xml:space="preserve">OUT-1001</t>
  </si>
  <si>
    <t xml:space="preserve">外协待加工板卡</t>
  </si>
  <si>
    <t xml:space="preserve">委托加工物资</t>
  </si>
  <si>
    <t xml:space="preserve">宏达电子外协仓</t>
  </si>
  <si>
    <t xml:space="preserve">在外</t>
  </si>
  <si>
    <t xml:space="preserve">GIT-1001</t>
  </si>
  <si>
    <t xml:space="preserve">客户在途HC-100</t>
  </si>
  <si>
    <t xml:space="preserve">发出商品</t>
  </si>
  <si>
    <t xml:space="preserve">客户/物流在途</t>
  </si>
  <si>
    <t xml:space="preserve">待签收</t>
  </si>
  <si>
    <t xml:space="preserve">3PL-1001</t>
  </si>
  <si>
    <t xml:space="preserve">华东第三方仓HC-100</t>
  </si>
  <si>
    <t xml:space="preserve">库存商品</t>
  </si>
  <si>
    <t xml:space="preserve">苏州3PL</t>
  </si>
  <si>
    <t xml:space="preserve">物流部</t>
  </si>
  <si>
    <t xml:space="preserve">RM-ERR-009</t>
  </si>
  <si>
    <t xml:space="preserve">误用编码芯片A1</t>
  </si>
  <si>
    <t xml:space="preserve">线边库-L01</t>
  </si>
  <si>
    <t xml:space="preserve">负库存</t>
  </si>
  <si>
    <t xml:space="preserve">SCRAP-001</t>
  </si>
  <si>
    <t xml:space="preserve">电子废料</t>
  </si>
  <si>
    <t xml:space="preserve">废料</t>
  </si>
  <si>
    <t xml:space="preserve">KG</t>
  </si>
  <si>
    <t xml:space="preserve">废料区</t>
  </si>
  <si>
    <t xml:space="preserve">待处置</t>
  </si>
  <si>
    <t xml:space="preserve">生产部</t>
  </si>
  <si>
    <t xml:space="preserve">物料与SKU主数据检查</t>
  </si>
  <si>
    <t xml:space="preserve">重点检查一物多码、一码多物、单位转换、版本、成本类和仓库库位。</t>
  </si>
  <si>
    <t xml:space="preserve">基本单位</t>
  </si>
  <si>
    <t xml:space="preserve">采购单位</t>
  </si>
  <si>
    <t xml:space="preserve">转换系数</t>
  </si>
  <si>
    <t xml:space="preserve">库位</t>
  </si>
  <si>
    <t xml:space="preserve">状态/用途</t>
  </si>
  <si>
    <t xml:space="preserve">主数据状态</t>
  </si>
  <si>
    <t xml:space="preserve">重复/近似编码</t>
  </si>
  <si>
    <t xml:space="preserve">最后审核日</t>
  </si>
  <si>
    <t xml:space="preserve">复核意见</t>
  </si>
  <si>
    <t xml:space="preserve">原料库</t>
  </si>
  <si>
    <t xml:space="preserve">有效</t>
  </si>
  <si>
    <t xml:space="preserve">包材库</t>
  </si>
  <si>
    <t xml:space="preserve">备件库</t>
  </si>
  <si>
    <t xml:space="preserve">成品库</t>
  </si>
  <si>
    <t xml:space="preserve">线边库</t>
  </si>
  <si>
    <t xml:space="preserve">PO-GR-Invoice三单匹配</t>
  </si>
  <si>
    <t xml:space="preserve">按行比较物料、单位、数量、价格、税率和时间；超容差须调查。</t>
  </si>
  <si>
    <t xml:space="preserve">PO</t>
  </si>
  <si>
    <t xml:space="preserve">物料</t>
  </si>
  <si>
    <t xml:space="preserve">订单数量</t>
  </si>
  <si>
    <t xml:space="preserve">订单单价</t>
  </si>
  <si>
    <t xml:space="preserve">收货数量</t>
  </si>
  <si>
    <t xml:space="preserve">收货单价</t>
  </si>
  <si>
    <t xml:space="preserve">发票数量</t>
  </si>
  <si>
    <t xml:space="preserve">发票单价</t>
  </si>
  <si>
    <t xml:space="preserve">税率</t>
  </si>
  <si>
    <t xml:space="preserve">匹配结果</t>
  </si>
  <si>
    <t xml:space="preserve">处理</t>
  </si>
  <si>
    <t xml:space="preserve">复核</t>
  </si>
  <si>
    <t xml:space="preserve">PO260801</t>
  </si>
  <si>
    <t xml:space="preserve">已匹配</t>
  </si>
  <si>
    <t xml:space="preserve">PO260802</t>
  </si>
  <si>
    <t xml:space="preserve">数量/价格差异</t>
  </si>
  <si>
    <t xml:space="preserve">待采购说明</t>
  </si>
  <si>
    <t xml:space="preserve">PO260803</t>
  </si>
  <si>
    <t xml:space="preserve">未到票</t>
  </si>
  <si>
    <t xml:space="preserve">月末暂估</t>
  </si>
  <si>
    <t xml:space="preserve">PO-004</t>
  </si>
  <si>
    <t xml:space="preserve">PO-005</t>
  </si>
  <si>
    <t xml:space="preserve">PO-006</t>
  </si>
  <si>
    <t xml:space="preserve">PO-007</t>
  </si>
  <si>
    <t xml:space="preserve">PO-008</t>
  </si>
  <si>
    <t xml:space="preserve">PO-009</t>
  </si>
  <si>
    <t xml:space="preserve">PO-010</t>
  </si>
  <si>
    <t xml:space="preserve">PO-011</t>
  </si>
  <si>
    <t xml:space="preserve">PO-012</t>
  </si>
  <si>
    <t xml:space="preserve">PO-013</t>
  </si>
  <si>
    <t xml:space="preserve">PO-014</t>
  </si>
  <si>
    <t xml:space="preserve">PO-015</t>
  </si>
  <si>
    <t xml:space="preserve">PO-016</t>
  </si>
  <si>
    <t xml:space="preserve">PO-017</t>
  </si>
  <si>
    <t xml:space="preserve">PO-018</t>
  </si>
  <si>
    <t xml:space="preserve">PO-019</t>
  </si>
  <si>
    <t xml:space="preserve">PO-020</t>
  </si>
  <si>
    <t xml:space="preserve">PO-021</t>
  </si>
  <si>
    <t xml:space="preserve">PO-022</t>
  </si>
  <si>
    <t xml:space="preserve">PO-023</t>
  </si>
  <si>
    <t xml:space="preserve">PO-024</t>
  </si>
  <si>
    <t xml:space="preserve">PO-025</t>
  </si>
  <si>
    <t xml:space="preserve">PO-026</t>
  </si>
  <si>
    <t xml:space="preserve">PO-027</t>
  </si>
  <si>
    <t xml:space="preserve">PO-028</t>
  </si>
  <si>
    <t xml:space="preserve">PO-029</t>
  </si>
  <si>
    <t xml:space="preserve">PO-030</t>
  </si>
  <si>
    <t xml:space="preserve">PO-031</t>
  </si>
  <si>
    <t xml:space="preserve">PO-032</t>
  </si>
  <si>
    <t xml:space="preserve">PO-033</t>
  </si>
  <si>
    <t xml:space="preserve">PO-034</t>
  </si>
  <si>
    <t xml:space="preserve">PO-035</t>
  </si>
  <si>
    <t xml:space="preserve">PO-036</t>
  </si>
  <si>
    <t xml:space="preserve">PO-037</t>
  </si>
  <si>
    <t xml:space="preserve">PO-038</t>
  </si>
  <si>
    <t xml:space="preserve">PO-039</t>
  </si>
  <si>
    <t xml:space="preserve">PO-040</t>
  </si>
  <si>
    <t xml:space="preserve">采购入库异常跟踪</t>
  </si>
  <si>
    <t xml:space="preserve">每条异常必须连接PO、GR、发票、物料、Owner和月末处理。</t>
  </si>
  <si>
    <t xml:space="preserve">异常ID</t>
  </si>
  <si>
    <t xml:space="preserve">异常类型</t>
  </si>
  <si>
    <t xml:space="preserve">PO/合同</t>
  </si>
  <si>
    <t xml:space="preserve">GR</t>
  </si>
  <si>
    <t xml:space="preserve">发票</t>
  </si>
  <si>
    <t xml:space="preserve">发生日</t>
  </si>
  <si>
    <t xml:space="preserve">Owner</t>
  </si>
  <si>
    <t xml:space="preserve">月末处理</t>
  </si>
  <si>
    <t xml:space="preserve">风险</t>
  </si>
  <si>
    <t xml:space="preserve">Closure</t>
  </si>
  <si>
    <t xml:space="preserve">REC-001</t>
  </si>
  <si>
    <t xml:space="preserve">货到未入库</t>
  </si>
  <si>
    <t xml:space="preserve">未开始</t>
  </si>
  <si>
    <t xml:space="preserve">REC-002</t>
  </si>
  <si>
    <t xml:space="preserve">入库未到票</t>
  </si>
  <si>
    <t xml:space="preserve">REC-003</t>
  </si>
  <si>
    <t xml:space="preserve">票到货未到</t>
  </si>
  <si>
    <t xml:space="preserve">REC-004</t>
  </si>
  <si>
    <t xml:space="preserve">部分到货</t>
  </si>
  <si>
    <t xml:space="preserve">REC-005</t>
  </si>
  <si>
    <t xml:space="preserve">分批开票</t>
  </si>
  <si>
    <t xml:space="preserve">REC-006</t>
  </si>
  <si>
    <t xml:space="preserve">退货/不合格</t>
  </si>
  <si>
    <t xml:space="preserve">REC-007</t>
  </si>
  <si>
    <t xml:space="preserve">赠品</t>
  </si>
  <si>
    <t xml:space="preserve">REC-008</t>
  </si>
  <si>
    <t xml:space="preserve">跨月到货</t>
  </si>
  <si>
    <t xml:space="preserve">异常出入库与反过账日志</t>
  </si>
  <si>
    <t xml:space="preserve">抓取无订单、负数量、夜间、月末集中、反过账和手工调整。</t>
  </si>
  <si>
    <t xml:space="preserve">交易ID</t>
  </si>
  <si>
    <t xml:space="preserve">类型</t>
  </si>
  <si>
    <t xml:space="preserve">业务单号</t>
  </si>
  <si>
    <t xml:space="preserve">操作人</t>
  </si>
  <si>
    <t xml:space="preserve">时间</t>
  </si>
  <si>
    <t xml:space="preserve">反过账/删除</t>
  </si>
  <si>
    <t xml:space="preserve">审批</t>
  </si>
  <si>
    <t xml:space="preserve">异常说明</t>
  </si>
  <si>
    <t xml:space="preserve">MOV-001</t>
  </si>
  <si>
    <t xml:space="preserve">未复核</t>
  </si>
  <si>
    <t xml:space="preserve">MOV-002</t>
  </si>
  <si>
    <t xml:space="preserve">MOV-003</t>
  </si>
  <si>
    <t xml:space="preserve">MOV-004</t>
  </si>
  <si>
    <t xml:space="preserve">MOV-005</t>
  </si>
  <si>
    <t xml:space="preserve">MOV-006</t>
  </si>
  <si>
    <t xml:space="preserve">MOV-007</t>
  </si>
  <si>
    <t xml:space="preserve">MOV-008</t>
  </si>
  <si>
    <t xml:space="preserve">MOV-009</t>
  </si>
  <si>
    <t xml:space="preserve">MOV-010</t>
  </si>
  <si>
    <t xml:space="preserve">MOV-011</t>
  </si>
  <si>
    <t xml:space="preserve">MOV-012</t>
  </si>
  <si>
    <t xml:space="preserve">MOV-013</t>
  </si>
  <si>
    <t xml:space="preserve">MOV-014</t>
  </si>
  <si>
    <t xml:space="preserve">MOV-015</t>
  </si>
  <si>
    <t xml:space="preserve">MOV-016</t>
  </si>
  <si>
    <t xml:space="preserve">MOV-017</t>
  </si>
  <si>
    <t xml:space="preserve">MOV-018</t>
  </si>
  <si>
    <t xml:space="preserve">MOV-019</t>
  </si>
  <si>
    <t xml:space="preserve">MOV-020</t>
  </si>
  <si>
    <t xml:space="preserve">MOV-021</t>
  </si>
  <si>
    <t xml:space="preserve">MOV-022</t>
  </si>
  <si>
    <t xml:space="preserve">MOV-023</t>
  </si>
  <si>
    <t xml:space="preserve">MOV-024</t>
  </si>
  <si>
    <t xml:space="preserve">MOV-025</t>
  </si>
  <si>
    <t xml:space="preserve">MOV-026</t>
  </si>
  <si>
    <t xml:space="preserve">MOV-027</t>
  </si>
  <si>
    <t xml:space="preserve">MOV-028</t>
  </si>
  <si>
    <t xml:space="preserve">MOV-029</t>
  </si>
  <si>
    <t xml:space="preserve">MOV-030</t>
  </si>
  <si>
    <t xml:space="preserve">MOV-031</t>
  </si>
  <si>
    <t xml:space="preserve">MOV-032</t>
  </si>
  <si>
    <t xml:space="preserve">MOV-033</t>
  </si>
  <si>
    <t xml:space="preserve">MOV-034</t>
  </si>
  <si>
    <t xml:space="preserve">MOV-035</t>
  </si>
  <si>
    <t xml:space="preserve">MOV-036</t>
  </si>
  <si>
    <t xml:space="preserve">MOV-037</t>
  </si>
  <si>
    <t xml:space="preserve">MOV-038</t>
  </si>
  <si>
    <t xml:space="preserve">MOV-039</t>
  </si>
  <si>
    <t xml:space="preserve">MOV-040</t>
  </si>
  <si>
    <t xml:space="preserve">生产工单与BOM用量差异</t>
  </si>
  <si>
    <t xml:space="preserve">实际领料与标准用量差异按工单、物料、班组和原因追查。</t>
  </si>
  <si>
    <t xml:space="preserve">工单</t>
  </si>
  <si>
    <t xml:space="preserve">产品</t>
  </si>
  <si>
    <t xml:space="preserve">完工数量</t>
  </si>
  <si>
    <t xml:space="preserve">单位标准</t>
  </si>
  <si>
    <t xml:space="preserve">标准用量</t>
  </si>
  <si>
    <t xml:space="preserve">实际领料</t>
  </si>
  <si>
    <t xml:space="preserve">差异数量</t>
  </si>
  <si>
    <t xml:space="preserve">差异率</t>
  </si>
  <si>
    <t xml:space="preserve">结论</t>
  </si>
  <si>
    <t xml:space="preserve">原因/动作</t>
  </si>
  <si>
    <t xml:space="preserve">MO260801</t>
  </si>
  <si>
    <t xml:space="preserve">超耗</t>
  </si>
  <si>
    <t xml:space="preserve">待工艺说明</t>
  </si>
  <si>
    <t xml:space="preserve">MO260802</t>
  </si>
  <si>
    <t xml:space="preserve">正常损耗</t>
  </si>
  <si>
    <t xml:space="preserve">MO-003</t>
  </si>
  <si>
    <t xml:space="preserve">MO-004</t>
  </si>
  <si>
    <t xml:space="preserve">MO-005</t>
  </si>
  <si>
    <t xml:space="preserve">MO-006</t>
  </si>
  <si>
    <t xml:space="preserve">MO-007</t>
  </si>
  <si>
    <t xml:space="preserve">MO-008</t>
  </si>
  <si>
    <t xml:space="preserve">MO-009</t>
  </si>
  <si>
    <t xml:space="preserve">MO-010</t>
  </si>
  <si>
    <t xml:space="preserve">MO-011</t>
  </si>
  <si>
    <t xml:space="preserve">MO-012</t>
  </si>
  <si>
    <t xml:space="preserve">MO-013</t>
  </si>
  <si>
    <t xml:space="preserve">MO-014</t>
  </si>
  <si>
    <t xml:space="preserve">MO-015</t>
  </si>
  <si>
    <t xml:space="preserve">MO-016</t>
  </si>
  <si>
    <t xml:space="preserve">MO-017</t>
  </si>
  <si>
    <t xml:space="preserve">MO-018</t>
  </si>
  <si>
    <t xml:space="preserve">MO-019</t>
  </si>
  <si>
    <t xml:space="preserve">MO-020</t>
  </si>
  <si>
    <t xml:space="preserve">MO-021</t>
  </si>
  <si>
    <t xml:space="preserve">MO-022</t>
  </si>
  <si>
    <t xml:space="preserve">MO-023</t>
  </si>
  <si>
    <t xml:space="preserve">MO-024</t>
  </si>
  <si>
    <t xml:space="preserve">MO-025</t>
  </si>
  <si>
    <t xml:space="preserve">MO-026</t>
  </si>
  <si>
    <t xml:space="preserve">MO-027</t>
  </si>
  <si>
    <t xml:space="preserve">MO-028</t>
  </si>
  <si>
    <t xml:space="preserve">MO-029</t>
  </si>
  <si>
    <t xml:space="preserve">MO-030</t>
  </si>
  <si>
    <t xml:space="preserve">MO-031</t>
  </si>
  <si>
    <t xml:space="preserve">MO-032</t>
  </si>
  <si>
    <t xml:space="preserve">MO-033</t>
  </si>
  <si>
    <t xml:space="preserve">MO-034</t>
  </si>
  <si>
    <t xml:space="preserve">MO-035</t>
  </si>
  <si>
    <t xml:space="preserve">MO-036</t>
  </si>
  <si>
    <t xml:space="preserve">MO-037</t>
  </si>
  <si>
    <t xml:space="preserve">MO-038</t>
  </si>
  <si>
    <t xml:space="preserve">MO-039</t>
  </si>
  <si>
    <t xml:space="preserve">MO-040</t>
  </si>
  <si>
    <t xml:space="preserve">在产品数量桥与工序滞留</t>
  </si>
  <si>
    <t xml:space="preserve">期初WIP+投入-完工-报废=期末WIP；现场、工单和金额都要一致。</t>
  </si>
  <si>
    <t xml:space="preserve">工序</t>
  </si>
  <si>
    <t xml:space="preserve">期初WIP</t>
  </si>
  <si>
    <t xml:space="preserve">本期投入</t>
  </si>
  <si>
    <t xml:space="preserve">本期完工</t>
  </si>
  <si>
    <t xml:space="preserve">报废</t>
  </si>
  <si>
    <t xml:space="preserve">期末WIP</t>
  </si>
  <si>
    <t xml:space="preserve">WIP成本</t>
  </si>
  <si>
    <t xml:space="preserve">滞留天数</t>
  </si>
  <si>
    <t xml:space="preserve">调查/动作</t>
  </si>
  <si>
    <t xml:space="preserve">组装</t>
  </si>
  <si>
    <t xml:space="preserve">测试</t>
  </si>
  <si>
    <t xml:space="preserve">生产报工与完工入库差异</t>
  </si>
  <si>
    <t xml:space="preserve">报工、质检合格、仓库入库和工单结算必须形成数量桥。</t>
  </si>
  <si>
    <t xml:space="preserve">报工数量</t>
  </si>
  <si>
    <t xml:space="preserve">质检合格</t>
  </si>
  <si>
    <t xml:space="preserve">仓库入库</t>
  </si>
  <si>
    <t xml:space="preserve">差异</t>
  </si>
  <si>
    <t xml:space="preserve">原因</t>
  </si>
  <si>
    <t xml:space="preserve">截止日</t>
  </si>
  <si>
    <t xml:space="preserve">线边/不良/漏入库待查</t>
  </si>
  <si>
    <t xml:space="preserve">Open</t>
  </si>
  <si>
    <t xml:space="preserve">MO-002</t>
  </si>
  <si>
    <t xml:space="preserve">存货盘点计划</t>
  </si>
  <si>
    <t xml:space="preserve">明确范围、截点、移动控制、分组、盲盘、复盘、抽盘和报告。</t>
  </si>
  <si>
    <t xml:space="preserve">盘点</t>
  </si>
  <si>
    <t xml:space="preserve">范围</t>
  </si>
  <si>
    <t xml:space="preserve">基准日</t>
  </si>
  <si>
    <t xml:space="preserve">移动控制</t>
  </si>
  <si>
    <t xml:space="preserve">负责人</t>
  </si>
  <si>
    <t xml:space="preserve">独立监督</t>
  </si>
  <si>
    <t xml:space="preserve">方法</t>
  </si>
  <si>
    <t xml:space="preserve">备注</t>
  </si>
  <si>
    <t xml:space="preserve">2026年年末全面盘点</t>
  </si>
  <si>
    <t xml:space="preserve">东莞工厂全部仓库</t>
  </si>
  <si>
    <t xml:space="preserve">18:00-24:00</t>
  </si>
  <si>
    <t xml:space="preserve">冻结；紧急移动单独编号</t>
  </si>
  <si>
    <t xml:space="preserve">仓储经理</t>
  </si>
  <si>
    <t xml:space="preserve">财务监盘/内审观察</t>
  </si>
  <si>
    <t xml:space="preserve">盲盘+跨组复盘</t>
  </si>
  <si>
    <t xml:space="preserve">2026Q3循环盘点</t>
  </si>
  <si>
    <t xml:space="preserve">高价值芯片/负库存SKU</t>
  </si>
  <si>
    <t xml:space="preserve">20:00-22:00</t>
  </si>
  <si>
    <t xml:space="preserve">冻结目标库位</t>
  </si>
  <si>
    <t xml:space="preserve">仓库主管</t>
  </si>
  <si>
    <t xml:space="preserve">盲盘</t>
  </si>
  <si>
    <t xml:space="preserve">存货盲盘表</t>
  </si>
  <si>
    <t xml:space="preserve">不显示账面数量。盘点人填写实盘数量、批次、状态和签字。</t>
  </si>
  <si>
    <t xml:space="preserve">盘点ID</t>
  </si>
  <si>
    <t xml:space="preserve">批次/序列</t>
  </si>
  <si>
    <t xml:space="preserve">实盘数量</t>
  </si>
  <si>
    <t xml:space="preserve">质量状态</t>
  </si>
  <si>
    <t xml:space="preserve">盘点人</t>
  </si>
  <si>
    <t xml:space="preserve">CNT-001</t>
  </si>
  <si>
    <t xml:space="preserve">未盘</t>
  </si>
  <si>
    <t xml:space="preserve">CNT-002</t>
  </si>
  <si>
    <t xml:space="preserve">CNT-003</t>
  </si>
  <si>
    <t xml:space="preserve">CNT-004</t>
  </si>
  <si>
    <t xml:space="preserve">CNT-005</t>
  </si>
  <si>
    <t xml:space="preserve">CNT-006</t>
  </si>
  <si>
    <t xml:space="preserve">CNT-007</t>
  </si>
  <si>
    <t xml:space="preserve">CNT-008</t>
  </si>
  <si>
    <t xml:space="preserve">CNT-009</t>
  </si>
  <si>
    <t xml:space="preserve">CNT-010</t>
  </si>
  <si>
    <t xml:space="preserve">CNT-011</t>
  </si>
  <si>
    <t xml:space="preserve">CNT-012</t>
  </si>
  <si>
    <t xml:space="preserve">CNT-013</t>
  </si>
  <si>
    <t xml:space="preserve">CNT-014</t>
  </si>
  <si>
    <t xml:space="preserve">CNT-015</t>
  </si>
  <si>
    <t xml:space="preserve">CNT-016</t>
  </si>
  <si>
    <t xml:space="preserve">CNT-017</t>
  </si>
  <si>
    <t xml:space="preserve">CNT-018</t>
  </si>
  <si>
    <t xml:space="preserve">盘点差异调查与Closure</t>
  </si>
  <si>
    <t xml:space="preserve">不能只写“查明原因”。保留重盘、单据、日志、责任和调账证据。</t>
  </si>
  <si>
    <t xml:space="preserve">差异ID</t>
  </si>
  <si>
    <t xml:space="preserve">账面数</t>
  </si>
  <si>
    <t xml:space="preserve">实盘数</t>
  </si>
  <si>
    <t xml:space="preserve">差异数</t>
  </si>
  <si>
    <t xml:space="preserve">差异金额</t>
  </si>
  <si>
    <t xml:space="preserve">临时控制</t>
  </si>
  <si>
    <t xml:space="preserve">Closure证据</t>
  </si>
  <si>
    <t xml:space="preserve">DIF-001</t>
  </si>
  <si>
    <t xml:space="preserve">盘亏待查</t>
  </si>
  <si>
    <t xml:space="preserve">冻结该库位</t>
  </si>
  <si>
    <t xml:space="preserve">DIF-002</t>
  </si>
  <si>
    <t xml:space="preserve">负库存更正</t>
  </si>
  <si>
    <t xml:space="preserve">生产主管</t>
  </si>
  <si>
    <t xml:space="preserve">禁止超发</t>
  </si>
  <si>
    <t xml:space="preserve">DIF-003</t>
  </si>
  <si>
    <t xml:space="preserve">DIF-004</t>
  </si>
  <si>
    <t xml:space="preserve">DIF-005</t>
  </si>
  <si>
    <t xml:space="preserve">DIF-006</t>
  </si>
  <si>
    <t xml:space="preserve">DIF-007</t>
  </si>
  <si>
    <t xml:space="preserve">DIF-008</t>
  </si>
  <si>
    <t xml:space="preserve">DIF-009</t>
  </si>
  <si>
    <t xml:space="preserve">DIF-010</t>
  </si>
  <si>
    <t xml:space="preserve">DIF-011</t>
  </si>
  <si>
    <t xml:space="preserve">DIF-012</t>
  </si>
  <si>
    <t xml:space="preserve">DIF-013</t>
  </si>
  <si>
    <t xml:space="preserve">DIF-014</t>
  </si>
  <si>
    <t xml:space="preserve">DIF-015</t>
  </si>
  <si>
    <t xml:space="preserve">DIF-016</t>
  </si>
  <si>
    <t xml:space="preserve">DIF-017</t>
  </si>
  <si>
    <t xml:space="preserve">DIF-018</t>
  </si>
  <si>
    <t xml:space="preserve">DIF-019</t>
  </si>
  <si>
    <t xml:space="preserve">DIF-020</t>
  </si>
  <si>
    <t xml:space="preserve">DIF-021</t>
  </si>
  <si>
    <t xml:space="preserve">DIF-022</t>
  </si>
  <si>
    <t xml:space="preserve">DIF-023</t>
  </si>
  <si>
    <t xml:space="preserve">DIF-024</t>
  </si>
  <si>
    <t xml:space="preserve">DIF-025</t>
  </si>
  <si>
    <t xml:space="preserve">DIF-026</t>
  </si>
  <si>
    <t xml:space="preserve">DIF-027</t>
  </si>
  <si>
    <t xml:space="preserve">DIF-028</t>
  </si>
  <si>
    <t xml:space="preserve">DIF-029</t>
  </si>
  <si>
    <t xml:space="preserve">DIF-030</t>
  </si>
  <si>
    <t xml:space="preserve">DIF-031</t>
  </si>
  <si>
    <t xml:space="preserve">DIF-032</t>
  </si>
  <si>
    <t xml:space="preserve">DIF-033</t>
  </si>
  <si>
    <t xml:space="preserve">DIF-034</t>
  </si>
  <si>
    <t xml:space="preserve">DIF-035</t>
  </si>
  <si>
    <t xml:space="preserve">DIF-036</t>
  </si>
  <si>
    <t xml:space="preserve">DIF-037</t>
  </si>
  <si>
    <t xml:space="preserve">DIF-038</t>
  </si>
  <si>
    <t xml:space="preserve">DIF-039</t>
  </si>
  <si>
    <t xml:space="preserve">DIF-040</t>
  </si>
  <si>
    <t xml:space="preserve">库存库龄分析</t>
  </si>
  <si>
    <t xml:space="preserve">库龄是风险信号，不是统一跌价比例。</t>
  </si>
  <si>
    <t xml:space="preserve">0-30</t>
  </si>
  <si>
    <t xml:space="preserve">31-90</t>
  </si>
  <si>
    <t xml:space="preserve">91-180</t>
  </si>
  <si>
    <t xml:space="preserve">181-365</t>
  </si>
  <si>
    <t xml:space="preserve">&gt;365</t>
  </si>
  <si>
    <t xml:space="preserve">业务说明</t>
  </si>
  <si>
    <t xml:space="preserve">呆滞库存责任与处置</t>
  </si>
  <si>
    <t xml:space="preserve">逐项记录形成原因、责任、使用/销售/退供/替代/报废方案和预计损失。</t>
  </si>
  <si>
    <t xml:space="preserve">ID</t>
  </si>
  <si>
    <t xml:space="preserve">库龄</t>
  </si>
  <si>
    <t xml:space="preserve">形成原因</t>
  </si>
  <si>
    <t xml:space="preserve">处理方案</t>
  </si>
  <si>
    <t xml:space="preserve">预计损失</t>
  </si>
  <si>
    <t xml:space="preserve">预计完成日</t>
  </si>
  <si>
    <t xml:space="preserve">OBS-001</t>
  </si>
  <si>
    <t xml:space="preserve">OBS-002</t>
  </si>
  <si>
    <t xml:space="preserve">OBS-003</t>
  </si>
  <si>
    <t xml:space="preserve">OBS-004</t>
  </si>
  <si>
    <t xml:space="preserve">外仓、委外、寄售和调拨跟踪</t>
  </si>
  <si>
    <t xml:space="preserve">实物不在本地时组合使用对账、函证、视频、期后交易和现场检查。</t>
  </si>
  <si>
    <t xml:space="preserve">保管方</t>
  </si>
  <si>
    <t xml:space="preserve">地点/类型</t>
  </si>
  <si>
    <t xml:space="preserve">对账日</t>
  </si>
  <si>
    <t xml:space="preserve">验证方式</t>
  </si>
  <si>
    <t xml:space="preserve">差异/动作</t>
  </si>
  <si>
    <t xml:space="preserve">OFF-001</t>
  </si>
  <si>
    <t xml:space="preserve">宏达电子</t>
  </si>
  <si>
    <t xml:space="preserve">供应商外协仓</t>
  </si>
  <si>
    <t xml:space="preserve">对账+视频抽码</t>
  </si>
  <si>
    <t xml:space="preserve">OFF-002</t>
  </si>
  <si>
    <t xml:space="preserve">苏州物流</t>
  </si>
  <si>
    <t xml:space="preserve">第三方仓</t>
  </si>
  <si>
    <t xml:space="preserve">对账+循环盘点</t>
  </si>
  <si>
    <t xml:space="preserve">OFF-003</t>
  </si>
  <si>
    <t xml:space="preserve">客户A</t>
  </si>
  <si>
    <t xml:space="preserve">签收+期后销售</t>
  </si>
  <si>
    <t xml:space="preserve">存货跌价与可变现净值测算</t>
  </si>
  <si>
    <t xml:space="preserve">业务提供售价/用途事实，财务按成本与NRV孰低独立测算。</t>
  </si>
  <si>
    <t xml:space="preserve">测试ID</t>
  </si>
  <si>
    <t xml:space="preserve">估计售价</t>
  </si>
  <si>
    <t xml:space="preserve">至完工成本</t>
  </si>
  <si>
    <t xml:space="preserve">销售费用</t>
  </si>
  <si>
    <t xml:space="preserve">单位NRV</t>
  </si>
  <si>
    <t xml:space="preserve">应计提单价</t>
  </si>
  <si>
    <t xml:space="preserve">应计提金额</t>
  </si>
  <si>
    <t xml:space="preserve">证据</t>
  </si>
  <si>
    <t xml:space="preserve">NRV-001</t>
  </si>
  <si>
    <t xml:space="preserve">NRV-002</t>
  </si>
  <si>
    <t xml:space="preserve">NRV-003</t>
  </si>
  <si>
    <t xml:space="preserve">NRV-004</t>
  </si>
  <si>
    <t xml:space="preserve">NRV-005</t>
  </si>
  <si>
    <t xml:space="preserve">NRV-006</t>
  </si>
  <si>
    <t xml:space="preserve">NRV-007</t>
  </si>
  <si>
    <t xml:space="preserve">NRV-008</t>
  </si>
  <si>
    <t xml:space="preserve">NRV-009</t>
  </si>
  <si>
    <t xml:space="preserve">NRV-010</t>
  </si>
  <si>
    <t xml:space="preserve">NRV-011</t>
  </si>
  <si>
    <t xml:space="preserve">NRV-012</t>
  </si>
  <si>
    <t xml:space="preserve">NRV-013</t>
  </si>
  <si>
    <t xml:space="preserve">NRV-014</t>
  </si>
  <si>
    <t xml:space="preserve">NRV-015</t>
  </si>
  <si>
    <t xml:space="preserve">NRV-016</t>
  </si>
  <si>
    <t xml:space="preserve">NRV-017</t>
  </si>
  <si>
    <t xml:space="preserve">NRV-018</t>
  </si>
  <si>
    <t xml:space="preserve">存货报废申请与见证</t>
  </si>
  <si>
    <t xml:space="preserve">业务申请、技术鉴定、实物隔离、审批、见证、系统出库和税务资料闭环。</t>
  </si>
  <si>
    <t xml:space="preserve">申请ID</t>
  </si>
  <si>
    <t xml:space="preserve">批次</t>
  </si>
  <si>
    <t xml:space="preserve">成本</t>
  </si>
  <si>
    <t xml:space="preserve">鉴定</t>
  </si>
  <si>
    <t xml:space="preserve">实物位置</t>
  </si>
  <si>
    <t xml:space="preserve">处置方式</t>
  </si>
  <si>
    <t xml:space="preserve">见证人</t>
  </si>
  <si>
    <t xml:space="preserve">系统出库</t>
  </si>
  <si>
    <t xml:space="preserve">税务资料</t>
  </si>
  <si>
    <t xml:space="preserve">责任</t>
  </si>
  <si>
    <t xml:space="preserve">SCR-001</t>
  </si>
  <si>
    <t xml:space="preserve">SCR-002</t>
  </si>
  <si>
    <t xml:space="preserve">SCR-003</t>
  </si>
  <si>
    <t xml:space="preserve">SCR-004</t>
  </si>
  <si>
    <t xml:space="preserve">SCR-005</t>
  </si>
  <si>
    <t xml:space="preserve">SCR-006</t>
  </si>
  <si>
    <t xml:space="preserve">SCR-007</t>
  </si>
  <si>
    <t xml:space="preserve">SCR-008</t>
  </si>
  <si>
    <t xml:space="preserve">SCR-009</t>
  </si>
  <si>
    <t xml:space="preserve">SCR-010</t>
  </si>
  <si>
    <t xml:space="preserve">SCR-011</t>
  </si>
  <si>
    <t xml:space="preserve">SCR-012</t>
  </si>
  <si>
    <t xml:space="preserve">SCR-013</t>
  </si>
  <si>
    <t xml:space="preserve">SCR-014</t>
  </si>
  <si>
    <t xml:space="preserve">SCR-015</t>
  </si>
  <si>
    <t xml:space="preserve">SCR-016</t>
  </si>
  <si>
    <t xml:space="preserve">SCR-017</t>
  </si>
  <si>
    <t xml:space="preserve">SCR-018</t>
  </si>
  <si>
    <t xml:space="preserve">SCR-019</t>
  </si>
  <si>
    <t xml:space="preserve">SCR-020</t>
  </si>
  <si>
    <t xml:space="preserve">SCR-021</t>
  </si>
  <si>
    <t xml:space="preserve">SCR-022</t>
  </si>
  <si>
    <t xml:space="preserve">SCR-023</t>
  </si>
  <si>
    <t xml:space="preserve">SCR-024</t>
  </si>
  <si>
    <t xml:space="preserve">SCR-025</t>
  </si>
  <si>
    <t xml:space="preserve">SCR-026</t>
  </si>
  <si>
    <t xml:space="preserve">SCR-027</t>
  </si>
  <si>
    <t xml:space="preserve">SCR-028</t>
  </si>
  <si>
    <t xml:space="preserve">SCR-029</t>
  </si>
  <si>
    <t xml:space="preserve">SCR-030</t>
  </si>
  <si>
    <t xml:space="preserve">废料、边角料和残次品处置</t>
  </si>
  <si>
    <t xml:space="preserve">称重、定价、出门、开票、公司收款和系统数量必须一致。</t>
  </si>
  <si>
    <t xml:space="preserve">处置ID</t>
  </si>
  <si>
    <t xml:space="preserve">废料类型</t>
  </si>
  <si>
    <t xml:space="preserve">期初数量</t>
  </si>
  <si>
    <t xml:space="preserve">本期增加</t>
  </si>
  <si>
    <t xml:space="preserve">出售/处置数量</t>
  </si>
  <si>
    <t xml:space="preserve">称重单</t>
  </si>
  <si>
    <t xml:space="preserve">买方</t>
  </si>
  <si>
    <t xml:space="preserve">单价</t>
  </si>
  <si>
    <t xml:space="preserve">价款</t>
  </si>
  <si>
    <t xml:space="preserve">出门单</t>
  </si>
  <si>
    <t xml:space="preserve">收款</t>
  </si>
  <si>
    <t xml:space="preserve">WST-001</t>
  </si>
  <si>
    <t xml:space="preserve">WST-002</t>
  </si>
  <si>
    <t xml:space="preserve">WST-003</t>
  </si>
  <si>
    <t xml:space="preserve">WST-004</t>
  </si>
  <si>
    <t xml:space="preserve">WST-005</t>
  </si>
  <si>
    <t xml:space="preserve">WST-006</t>
  </si>
  <si>
    <t xml:space="preserve">WST-007</t>
  </si>
  <si>
    <t xml:space="preserve">WST-008</t>
  </si>
  <si>
    <t xml:space="preserve">WST-009</t>
  </si>
  <si>
    <t xml:space="preserve">WST-010</t>
  </si>
  <si>
    <t xml:space="preserve">WST-011</t>
  </si>
  <si>
    <t xml:space="preserve">WST-012</t>
  </si>
  <si>
    <t xml:space="preserve">WST-013</t>
  </si>
  <si>
    <t xml:space="preserve">WST-014</t>
  </si>
  <si>
    <t xml:space="preserve">WST-015</t>
  </si>
  <si>
    <t xml:space="preserve">WST-016</t>
  </si>
  <si>
    <t xml:space="preserve">WST-017</t>
  </si>
  <si>
    <t xml:space="preserve">WST-018</t>
  </si>
  <si>
    <t xml:space="preserve">WST-019</t>
  </si>
  <si>
    <t xml:space="preserve">WST-020</t>
  </si>
  <si>
    <t xml:space="preserve">WST-021</t>
  </si>
  <si>
    <t xml:space="preserve">WST-022</t>
  </si>
  <si>
    <t xml:space="preserve">WST-023</t>
  </si>
  <si>
    <t xml:space="preserve">WST-024</t>
  </si>
  <si>
    <t xml:space="preserve">WST-025</t>
  </si>
  <si>
    <t xml:space="preserve">WST-026</t>
  </si>
  <si>
    <t xml:space="preserve">WST-027</t>
  </si>
  <si>
    <t xml:space="preserve">WST-028</t>
  </si>
  <si>
    <t xml:space="preserve">WST-029</t>
  </si>
  <si>
    <t xml:space="preserve">WST-030</t>
  </si>
  <si>
    <t xml:space="preserve">存货月末检查清单</t>
  </si>
  <si>
    <t xml:space="preserve">每项填写责任人、期限、证据、异常、处理、复核和关闭。</t>
  </si>
  <si>
    <t xml:space="preserve">明确动作</t>
  </si>
  <si>
    <t xml:space="preserve">责任人</t>
  </si>
  <si>
    <t xml:space="preserve">期限</t>
  </si>
  <si>
    <t xml:space="preserve">证据路径</t>
  </si>
  <si>
    <t xml:space="preserve">异常金额</t>
  </si>
  <si>
    <t xml:space="preserve">复核人</t>
  </si>
  <si>
    <t xml:space="preserve">关闭日</t>
  </si>
  <si>
    <t xml:space="preserve">锁定所有仓库月末收发截点并保存单据编号区间</t>
  </si>
  <si>
    <t xml:space="preserve">D+3</t>
  </si>
  <si>
    <t xml:space="preserve">检查月末前后5日大额入库、出库、退货和调拨截止</t>
  </si>
  <si>
    <t xml:space="preserve">检查货到未入库、入库未到票、票到货未到</t>
  </si>
  <si>
    <t xml:space="preserve">完成未到票暂估并防止与正式发票重复</t>
  </si>
  <si>
    <t xml:space="preserve">逐笔分析所有负库存SKU并评估成本影响</t>
  </si>
  <si>
    <t xml:space="preserve">总账存货科目与存货/成本模块核对</t>
  </si>
  <si>
    <t xml:space="preserve">存货模块数量与WMS/仓库台账核对</t>
  </si>
  <si>
    <t xml:space="preserve">复核手工库存调整、反过账和成本修改日志</t>
  </si>
  <si>
    <t xml:space="preserve">检查工单领退料、补料、替代料和BOM超耗</t>
  </si>
  <si>
    <t xml:space="preserve">建立WIP数量桥并与现场/工单一致</t>
  </si>
  <si>
    <t xml:space="preserve">核对报工、质检、完工入库和工单结算</t>
  </si>
  <si>
    <t xml:space="preserve">核对出库、签收、收入、发票和营业成本</t>
  </si>
  <si>
    <t xml:space="preserve">检查发出商品、寄售和客户退货</t>
  </si>
  <si>
    <t xml:space="preserve">清理同法人未达调拨并识别跨法人交易</t>
  </si>
  <si>
    <t xml:space="preserve">取得委外、3PL和客户仓对账证据</t>
  </si>
  <si>
    <t xml:space="preserve">导出&gt;180天和&gt;365天库存并取得计划</t>
  </si>
  <si>
    <t xml:space="preserve">更新呆滞Owner、损失、期限和状态</t>
  </si>
  <si>
    <t xml:space="preserve">完成停产、质量、售价下降的NRV测算</t>
  </si>
  <si>
    <t xml:space="preserve">检查报废、不良和废料处置闭环</t>
  </si>
  <si>
    <t xml:space="preserve">盘点差异批准、入账、追责和整改</t>
  </si>
  <si>
    <t xml:space="preserve">输出库存一页管理报告</t>
  </si>
  <si>
    <t xml:space="preserve">新财务主管接手存货检查</t>
  </si>
  <si>
    <t xml:space="preserve">记录已取得资料、发现、临时控制、历史责任边界和关闭。</t>
  </si>
  <si>
    <t xml:space="preserve">阶段</t>
  </si>
  <si>
    <t xml:space="preserve">发现/证据</t>
  </si>
  <si>
    <t xml:space="preserve">第一周</t>
  </si>
  <si>
    <t xml:space="preserve">总账、模块、WMS和权限</t>
  </si>
  <si>
    <t xml:space="preserve">完成对账；导出负库存、前十大、库龄和外仓</t>
  </si>
  <si>
    <t xml:space="preserve">最近盘点和差异</t>
  </si>
  <si>
    <t xml:space="preserve">定位未关闭及批量调整</t>
  </si>
  <si>
    <t xml:space="preserve">见仓库/计划/生产/采购/销售/IT</t>
  </si>
  <si>
    <t xml:space="preserve">确认责任和数据来源</t>
  </si>
  <si>
    <t xml:space="preserve">第一个月</t>
  </si>
  <si>
    <t xml:space="preserve">抽盘与主数据</t>
  </si>
  <si>
    <t xml:space="preserve">卡到物、物到账；检查一物多码和单位</t>
  </si>
  <si>
    <t xml:space="preserve">WIP/BOM/完工</t>
  </si>
  <si>
    <t xml:space="preserve">重做数量桥和超耗分析</t>
  </si>
  <si>
    <t xml:space="preserve">呆滞/NRV/废料</t>
  </si>
  <si>
    <t xml:space="preserve">逐项核实并列Issue</t>
  </si>
  <si>
    <t xml:space="preserve">前三个月</t>
  </si>
  <si>
    <t xml:space="preserve">制度、盘点、月结、权限</t>
  </si>
  <si>
    <t xml:space="preserve">建立运行机制和Closure</t>
  </si>
  <si>
    <t xml:space="preserve">管理报告和S&amp;OP</t>
  </si>
  <si>
    <t xml:space="preserve">把库存与现金、预测和决策连接</t>
  </si>
  <si>
    <t xml:space="preserve">存货管理核心指标</t>
  </si>
  <si>
    <t xml:space="preserve">指标异常后按类别、SKU、工厂、仓库、产品、订单、责任人和月份下钻。</t>
  </si>
  <si>
    <t xml:space="preserve">公式/定义</t>
  </si>
  <si>
    <t xml:space="preserve">管理意义</t>
  </si>
  <si>
    <t xml:space="preserve">异常后查什么</t>
  </si>
  <si>
    <t xml:space="preserve">主管动作</t>
  </si>
  <si>
    <t xml:space="preserve">频率</t>
  </si>
  <si>
    <t xml:space="preserve">存货周转率</t>
  </si>
  <si>
    <t xml:space="preserve">营业成本÷平均存货</t>
  </si>
  <si>
    <t xml:space="preserve">库存转化为销售成本的速度</t>
  </si>
  <si>
    <t xml:space="preserve">下降可能因备货、滞销、产能瓶颈、成本上涨或数据错误</t>
  </si>
  <si>
    <t xml:space="preserve">分原料/WIP/成品、产品线、工厂、库龄下钻</t>
  </si>
  <si>
    <t xml:space="preserve">月</t>
  </si>
  <si>
    <t xml:space="preserve">期间天数÷周转率</t>
  </si>
  <si>
    <t xml:space="preserve">现金被库存占用的时间</t>
  </si>
  <si>
    <t xml:space="preserve">上升压缩现金；过低也可能缺货停产</t>
  </si>
  <si>
    <t xml:space="preserve">结合缺货率、交付率和销售预测偏差</t>
  </si>
  <si>
    <t xml:space="preserve">库存准确率</t>
  </si>
  <si>
    <t xml:space="preserve">1-差异绝对金额÷盘点账面金额</t>
  </si>
  <si>
    <t xml:space="preserve">账卡物可靠程度</t>
  </si>
  <si>
    <t xml:space="preserve">下降说明无单移动、主数据或权限失控</t>
  </si>
  <si>
    <t xml:space="preserve">按仓库、保管人、差异原因</t>
  </si>
  <si>
    <t xml:space="preserve">月/季</t>
  </si>
  <si>
    <t xml:space="preserve">呆滞库存率</t>
  </si>
  <si>
    <t xml:space="preserve">呆滞库存金额÷总库存</t>
  </si>
  <si>
    <t xml:space="preserve">潜在损失与资金占用</t>
  </si>
  <si>
    <t xml:space="preserve">产品停产、预测失败、MOQ或BOM变更</t>
  </si>
  <si>
    <t xml:space="preserve">按形成原因、责任部门、处置期限</t>
  </si>
  <si>
    <t xml:space="preserve">一年以上库存占比</t>
  </si>
  <si>
    <t xml:space="preserve">库龄&gt;365天金额÷总库存</t>
  </si>
  <si>
    <t xml:space="preserve">长期资金占用与跌价信号</t>
  </si>
  <si>
    <t xml:space="preserve">可能是战略备件，也可能已失去用途</t>
  </si>
  <si>
    <t xml:space="preserve">逐SKU取得使用/销售/处置证据</t>
  </si>
  <si>
    <t xml:space="preserve">负库存物料数</t>
  </si>
  <si>
    <t xml:space="preserve">期末数量&lt;0的SKU数</t>
  </si>
  <si>
    <t xml:space="preserve">截止、成本和权限异常信号</t>
  </si>
  <si>
    <t xml:space="preserve">先出后入、错码、跨期或允许超发</t>
  </si>
  <si>
    <t xml:space="preserve">逐笔追溯出入库时间和单据</t>
  </si>
  <si>
    <t xml:space="preserve">日/月</t>
  </si>
  <si>
    <t xml:space="preserve">盘点差异率</t>
  </si>
  <si>
    <t xml:space="preserve">盘点差异绝对金额÷盘点范围账面金额</t>
  </si>
  <si>
    <t xml:space="preserve">实物控制质量</t>
  </si>
  <si>
    <t xml:space="preserve">差异净额小不代表风险小，应看绝对额</t>
  </si>
  <si>
    <t xml:space="preserve">按盈亏、串料、漏单、盗损分类</t>
  </si>
  <si>
    <t xml:space="preserve">次/季</t>
  </si>
  <si>
    <t xml:space="preserve">BOM超耗率</t>
  </si>
  <si>
    <t xml:space="preserve">(实际领料-标准用量)÷标准用量</t>
  </si>
  <si>
    <t xml:space="preserve">生产损耗和成本效率</t>
  </si>
  <si>
    <t xml:space="preserve">工艺、质量、BOM、浪费或舞弊</t>
  </si>
  <si>
    <t xml:space="preserve">按工单、物料、班组、损耗原因</t>
  </si>
  <si>
    <t xml:space="preserve">周/月</t>
  </si>
  <si>
    <t xml:space="preserve">在产品周转天数</t>
  </si>
  <si>
    <t xml:space="preserve">平均WIP÷当期完工成本×期间天数</t>
  </si>
  <si>
    <t xml:space="preserve">生产节拍和工序积压</t>
  </si>
  <si>
    <t xml:space="preserve">瓶颈、停工待料、良率下降或假完工</t>
  </si>
  <si>
    <t xml:space="preserve">按工序、工单、滞留天数</t>
  </si>
  <si>
    <t xml:space="preserve">报废率</t>
  </si>
  <si>
    <t xml:space="preserve">报废成本÷投入或产出成本</t>
  </si>
  <si>
    <t xml:space="preserve">质量损失和处置风险</t>
  </si>
  <si>
    <t xml:space="preserve">工艺不稳、来料差、保管不当</t>
  </si>
  <si>
    <t xml:space="preserve">按原因、责任部门、废料去向</t>
  </si>
  <si>
    <t xml:space="preserve">缺货率</t>
  </si>
  <si>
    <t xml:space="preserve">缺货订单行÷总订单行</t>
  </si>
  <si>
    <t xml:space="preserve">供货保障</t>
  </si>
  <si>
    <t xml:space="preserve">过低库存、预测或供应异常</t>
  </si>
  <si>
    <t xml:space="preserve">结合安全库存和加急采购</t>
  </si>
  <si>
    <t xml:space="preserve">预测准确率</t>
  </si>
  <si>
    <t xml:space="preserve">1-|预测-实际|÷实际（按政策汇总）</t>
  </si>
  <si>
    <t xml:space="preserve">采购和产能计划质量</t>
  </si>
  <si>
    <t xml:space="preserve">系统性高估造成积压，低估造成缺货</t>
  </si>
  <si>
    <t xml:space="preserve">按销售、SKU、客户、滚动月份</t>
  </si>
  <si>
    <t xml:space="preserve">存货一页管理层报告</t>
  </si>
  <si>
    <t xml:space="preserve">管理结论应说明金额、根因、现金影响、行动、Owner、期限和需要的决策。</t>
  </si>
  <si>
    <t xml:space="preserve">区域</t>
  </si>
  <si>
    <t xml:space="preserve">本月结果</t>
  </si>
  <si>
    <t xml:space="preserve">关键分析</t>
  </si>
  <si>
    <t xml:space="preserve">行动/决策请求</t>
  </si>
  <si>
    <t xml:space="preserve">总库存</t>
  </si>
  <si>
    <t xml:space="preserve">2,327万元</t>
  </si>
  <si>
    <t xml:space="preserve">与上月/预算/收入比较</t>
  </si>
  <si>
    <t xml:space="preserve">解释量、价、结构和现金</t>
  </si>
  <si>
    <t xml:space="preserve">周转天数</t>
  </si>
  <si>
    <t xml:space="preserve">约111天</t>
  </si>
  <si>
    <t xml:space="preserve">结合缺货率判断</t>
  </si>
  <si>
    <t xml:space="preserve">长期与呆滞</t>
  </si>
  <si>
    <t xml:space="preserve">&gt;365天、停产库存</t>
  </si>
  <si>
    <t xml:space="preserve">列前五SKU和预计损失</t>
  </si>
  <si>
    <t xml:space="preserve">Owner+方案+期限</t>
  </si>
  <si>
    <t xml:space="preserve">盘点与数据</t>
  </si>
  <si>
    <t xml:space="preserve">负库存、差异、手工调整</t>
  </si>
  <si>
    <t xml:space="preserve">说明报表和舞弊风险</t>
  </si>
  <si>
    <t xml:space="preserve">临时控制+系统整改</t>
  </si>
  <si>
    <t xml:space="preserve">本月决策</t>
  </si>
  <si>
    <t xml:space="preserve">退供/促销/替代/报废/权限</t>
  </si>
  <si>
    <t xml:space="preserve">预计释放现金和避免损失</t>
  </si>
  <si>
    <t xml:space="preserve">请管理层批准具体事项</t>
  </si>
  <si>
    <t xml:space="preserve">存货舞弊和控制红旗</t>
  </si>
  <si>
    <t xml:space="preserve">先保全证据、控制实物和系统权限，再调查和升级。</t>
  </si>
  <si>
    <t xml:space="preserve">典型红旗</t>
  </si>
  <si>
    <t xml:space="preserve">检查动作</t>
  </si>
  <si>
    <t xml:space="preserve">虚假入库</t>
  </si>
  <si>
    <t xml:space="preserve">期末集中GR、无质检/门禁</t>
  </si>
  <si>
    <t xml:space="preserve">期后冲回、供应商、现场</t>
  </si>
  <si>
    <t xml:space="preserve">少结转成本</t>
  </si>
  <si>
    <t xml:space="preserve">收入增长但出库/成本不增</t>
  </si>
  <si>
    <t xml:space="preserve">订单-出库-收入-成本</t>
  </si>
  <si>
    <t xml:space="preserve">隐藏盘亏</t>
  </si>
  <si>
    <t xml:space="preserve">盘点前批量调整、整齐尾数</t>
  </si>
  <si>
    <t xml:space="preserve">调整前快照、盲盘和日志</t>
  </si>
  <si>
    <t xml:space="preserve">账外库存</t>
  </si>
  <si>
    <t xml:space="preserve">实物无编码或来源不明</t>
  </si>
  <si>
    <t xml:space="preserve">物到账、合同和资金</t>
  </si>
  <si>
    <t xml:space="preserve">私售废料</t>
  </si>
  <si>
    <t xml:space="preserve">出门无处置、款入个人</t>
  </si>
  <si>
    <t xml:space="preserve">称重、买方、银行、发票</t>
  </si>
  <si>
    <t xml:space="preserve">采购仓库串通</t>
  </si>
  <si>
    <t xml:space="preserve">超收、赠品消失、唯一供应商</t>
  </si>
  <si>
    <t xml:space="preserve">PO-GR、价格、盘点、关联方</t>
  </si>
  <si>
    <t xml:space="preserve">操纵跌价</t>
  </si>
  <si>
    <t xml:space="preserve">比例突变、无SKU证据</t>
  </si>
  <si>
    <t xml:space="preserve">逐项NRV和历史回测</t>
  </si>
  <si>
    <t xml:space="preserve">越权删单改成本</t>
  </si>
  <si>
    <t xml:space="preserve">同人创建删除、月末集中</t>
  </si>
  <si>
    <t xml:space="preserve">权限日志、反过账和毛利</t>
  </si>
  <si>
    <t xml:space="preserve">存货问题跟踪与Closure</t>
  </si>
  <si>
    <t xml:space="preserve">重大问题必须记录事实、Owner、截止、临时控制、升级、状态和关闭证据。</t>
  </si>
  <si>
    <t xml:space="preserve">Issue ID</t>
  </si>
  <si>
    <t xml:space="preserve">问题</t>
  </si>
  <si>
    <t xml:space="preserve">发现时间/方式</t>
  </si>
  <si>
    <t xml:space="preserve">严重度</t>
  </si>
  <si>
    <t xml:space="preserve">ISS-001</t>
  </si>
  <si>
    <t xml:space="preserve">负库存RM-ERR-009</t>
  </si>
  <si>
    <t xml:space="preserve">2026-08月结</t>
  </si>
  <si>
    <t xml:space="preserve">高</t>
  </si>
  <si>
    <t xml:space="preserve">仓库禁止超发</t>
  </si>
  <si>
    <t xml:space="preserve">2026-09-03</t>
  </si>
  <si>
    <t xml:space="preserve">调查中</t>
  </si>
  <si>
    <t xml:space="preserve">财务主管</t>
  </si>
  <si>
    <t xml:space="preserve">ISS-002</t>
  </si>
  <si>
    <t xml:space="preserve">中</t>
  </si>
  <si>
    <t xml:space="preserve">ISS-003</t>
  </si>
  <si>
    <t xml:space="preserve">ISS-004</t>
  </si>
  <si>
    <t xml:space="preserve">ISS-005</t>
  </si>
  <si>
    <t xml:space="preserve">ISS-006</t>
  </si>
  <si>
    <t xml:space="preserve">ISS-007</t>
  </si>
  <si>
    <t xml:space="preserve">ISS-008</t>
  </si>
  <si>
    <t xml:space="preserve">ISS-009</t>
  </si>
  <si>
    <t xml:space="preserve">ISS-010</t>
  </si>
  <si>
    <t xml:space="preserve">ISS-011</t>
  </si>
  <si>
    <t xml:space="preserve">ISS-012</t>
  </si>
  <si>
    <t xml:space="preserve">ISS-013</t>
  </si>
  <si>
    <t xml:space="preserve">ISS-014</t>
  </si>
  <si>
    <t xml:space="preserve">ISS-015</t>
  </si>
  <si>
    <t xml:space="preserve">ISS-016</t>
  </si>
  <si>
    <t xml:space="preserve">ISS-017</t>
  </si>
  <si>
    <t xml:space="preserve">ISS-018</t>
  </si>
  <si>
    <t xml:space="preserve">ISS-019</t>
  </si>
  <si>
    <t xml:space="preserve">ISS-020</t>
  </si>
  <si>
    <t xml:space="preserve">ISS-021</t>
  </si>
  <si>
    <t xml:space="preserve">ISS-022</t>
  </si>
  <si>
    <t xml:space="preserve">ISS-023</t>
  </si>
  <si>
    <t xml:space="preserve">ISS-024</t>
  </si>
  <si>
    <t xml:space="preserve">ISS-025</t>
  </si>
  <si>
    <t xml:space="preserve">ISS-026</t>
  </si>
  <si>
    <t xml:space="preserve">ISS-027</t>
  </si>
  <si>
    <t xml:space="preserve">ISS-028</t>
  </si>
  <si>
    <t xml:space="preserve">ISS-029</t>
  </si>
  <si>
    <t xml:space="preserve">ISS-030</t>
  </si>
  <si>
    <t xml:space="preserve">ISS-031</t>
  </si>
  <si>
    <t xml:space="preserve">ISS-032</t>
  </si>
  <si>
    <t xml:space="preserve">ISS-033</t>
  </si>
  <si>
    <t xml:space="preserve">ISS-034</t>
  </si>
  <si>
    <t xml:space="preserve">ISS-035</t>
  </si>
  <si>
    <t xml:space="preserve">ISS-036</t>
  </si>
  <si>
    <t xml:space="preserve">ISS-037</t>
  </si>
  <si>
    <t xml:space="preserve">ISS-038</t>
  </si>
  <si>
    <t xml:space="preserve">ISS-039</t>
  </si>
  <si>
    <t xml:space="preserve">ISS-040</t>
  </si>
  <si>
    <t xml:space="preserve">存货高频实战案例</t>
  </si>
  <si>
    <t xml:space="preserve">填写“我的回答”用于面试和入职演练。</t>
  </si>
  <si>
    <t xml:space="preserve">编号</t>
  </si>
  <si>
    <t xml:space="preserve">场景</t>
  </si>
  <si>
    <t xml:space="preserve">第一步</t>
  </si>
  <si>
    <t xml:space="preserve">沟通对象</t>
  </si>
  <si>
    <t xml:space="preserve">调查/处理</t>
  </si>
  <si>
    <t xml:space="preserve">升级条件</t>
  </si>
  <si>
    <t xml:space="preserve">我的回答</t>
  </si>
  <si>
    <t xml:space="preserve">INV-C01</t>
  </si>
  <si>
    <t xml:space="preserve">盘点发现少了100万元存货</t>
  </si>
  <si>
    <t xml:space="preserve">立即冻结相关库位和调整权限，复盘并保全门禁、单据和监控</t>
  </si>
  <si>
    <t xml:space="preserve">仓库、生产、安保、IT、内审</t>
  </si>
  <si>
    <t xml:space="preserve">按SKU做账到物/物到账追溯；区分漏单、串料、损耗、盗损；未经批准不直接调平</t>
  </si>
  <si>
    <t xml:space="preserve">疑似盗窃、管理层干预或重大错报</t>
  </si>
  <si>
    <t xml:space="preserve">INV-C02</t>
  </si>
  <si>
    <t xml:space="preserve">ERP长期存在负库存</t>
  </si>
  <si>
    <t xml:space="preserve">导出最早负数日期及全部后续交易，临时禁止超发</t>
  </si>
  <si>
    <t xml:space="preserve">仓库、生产、IT、成本会计</t>
  </si>
  <si>
    <t xml:space="preserve">查先出后入、错码、跨期和接口；先纠正业务单据，再重算成本</t>
  </si>
  <si>
    <t xml:space="preserve">负库存跨期影响毛利或有人绕过控制</t>
  </si>
  <si>
    <t xml:space="preserve">INV-C03</t>
  </si>
  <si>
    <t xml:space="preserve">原材料一年没有使用</t>
  </si>
  <si>
    <t xml:space="preserve">确认是否战略备件、专用料或已失去用途</t>
  </si>
  <si>
    <t xml:space="preserve">计划、采购、研发、生产</t>
  </si>
  <si>
    <t xml:space="preserve">取得未来订单/BOM/维修计划；制定退供、替代、消耗、出售或跌价方案</t>
  </si>
  <si>
    <t xml:space="preserve">业务拒绝承诺使用计划或金额重大</t>
  </si>
  <si>
    <t xml:space="preserve">INV-C04</t>
  </si>
  <si>
    <t xml:space="preserve">成品积压两年</t>
  </si>
  <si>
    <t xml:space="preserve">锁定库存，核对是否仍可售、售价和质量状态</t>
  </si>
  <si>
    <t xml:space="preserve">销售、产品、质量</t>
  </si>
  <si>
    <t xml:space="preserve">按SKU取得报价、销售计划和处置成本，测算NRV并建立Closure</t>
  </si>
  <si>
    <t xml:space="preserve">老板要求不计提且证据表明价值显著下降</t>
  </si>
  <si>
    <t xml:space="preserve">INV-C05</t>
  </si>
  <si>
    <t xml:space="preserve">生产领料比BOM高30%</t>
  </si>
  <si>
    <t xml:space="preserve">按工单冻结异常原因码，核对退料、补料和产量</t>
  </si>
  <si>
    <t xml:space="preserve">生产、工艺、质量、仓库</t>
  </si>
  <si>
    <t xml:space="preserve">拆分价格/用量差异；现场验证损耗、返工、替代料、错领或舞弊</t>
  </si>
  <si>
    <t xml:space="preserve">连续多期、集中班组或贵重料异常</t>
  </si>
  <si>
    <t xml:space="preserve">INV-C06</t>
  </si>
  <si>
    <t xml:space="preserve">系统有货但现场找不到</t>
  </si>
  <si>
    <t xml:space="preserve">执行卡到物复盘并查最后移动单据</t>
  </si>
  <si>
    <t xml:space="preserve">仓库、生产、物流</t>
  </si>
  <si>
    <t xml:space="preserve">查错库位、未过账出库、外借、在途、盗损；按事实更正或履行损失程序</t>
  </si>
  <si>
    <t xml:space="preserve">实物可能被转移或证据灭失</t>
  </si>
  <si>
    <t xml:space="preserve">INV-C07</t>
  </si>
  <si>
    <t xml:space="preserve">现场有货但系统没有</t>
  </si>
  <si>
    <t xml:space="preserve">隔离实物并禁止使用，查来源和权属</t>
  </si>
  <si>
    <t xml:space="preserve">仓库、采购、生产</t>
  </si>
  <si>
    <t xml:space="preserve">查未入库、退料未录、客户/供应商寄存、账外采购；确认权属后入账或退回</t>
  </si>
  <si>
    <t xml:space="preserve">来源不明、无合同或可能账外循环</t>
  </si>
  <si>
    <t xml:space="preserve">INV-C08</t>
  </si>
  <si>
    <t xml:space="preserve">同一物料有三个编码</t>
  </si>
  <si>
    <t xml:space="preserve">暂停新增编码，建立旧码到主码映射</t>
  </si>
  <si>
    <t xml:space="preserve">主数据、采购、研发、仓库</t>
  </si>
  <si>
    <t xml:space="preserve">核对规格、单位、批次和历史交易；审批合并并重算库龄，不直接抹掉历史</t>
  </si>
  <si>
    <t xml:space="preserve">影响成本、追溯或法规批次管理</t>
  </si>
  <si>
    <t xml:space="preserve">INV-C09</t>
  </si>
  <si>
    <t xml:space="preserve">在产品数量无法确认</t>
  </si>
  <si>
    <t xml:space="preserve">按工单和工序划区，确定基准时点并现场点验</t>
  </si>
  <si>
    <t xml:space="preserve">生产、计划、工艺、成本会计</t>
  </si>
  <si>
    <t xml:space="preserve">建立投入-完工-报废-期末WIP数量桥；无法精确时采用可验证估计并改进报工</t>
  </si>
  <si>
    <t xml:space="preserve">管理层仅给总金额、拒绝现场验证</t>
  </si>
  <si>
    <t xml:space="preserve">INV-C10</t>
  </si>
  <si>
    <t xml:space="preserve">产品停产但库存仍很多</t>
  </si>
  <si>
    <t xml:space="preserve">取得停产决议、替代产品和售后义务</t>
  </si>
  <si>
    <t xml:space="preserve">产品、销售、研发、采购</t>
  </si>
  <si>
    <t xml:space="preserve">区分可用于售后/替代/退供和不可用部分；制定处置与跌价测试</t>
  </si>
  <si>
    <t xml:space="preserve">停产后仍继续采购或隐瞒库存</t>
  </si>
  <si>
    <t xml:space="preserve">INV-C11</t>
  </si>
  <si>
    <t xml:space="preserve">销售下降但库存大幅增加</t>
  </si>
  <si>
    <t xml:space="preserve">做库存增长桥并与收入、产量、采购价格比较</t>
  </si>
  <si>
    <t xml:space="preserve">销售、计划、采购、生产</t>
  </si>
  <si>
    <t xml:space="preserve">识别提前备货、预测偏差、滞销、产线瓶颈和成本上涨；按责任设减量计划</t>
  </si>
  <si>
    <t xml:space="preserve">现金紧张仍持续无订单生产</t>
  </si>
  <si>
    <t xml:space="preserve">INV-C12</t>
  </si>
  <si>
    <t xml:space="preserve">大量报废品长期未处理</t>
  </si>
  <si>
    <t xml:space="preserve">物理隔离、封存并核对系统状态</t>
  </si>
  <si>
    <t xml:space="preserve">质量、生产、仓库、采购</t>
  </si>
  <si>
    <t xml:space="preserve">完成技术鉴定、审批、报废出库、税务证据和废料处置，不与良品混放</t>
  </si>
  <si>
    <t xml:space="preserve">存在二次流入或被私售风险</t>
  </si>
  <si>
    <t xml:space="preserve">INV-C13</t>
  </si>
  <si>
    <t xml:space="preserve">废料出售收入未入账</t>
  </si>
  <si>
    <t xml:space="preserve">控制废料区、称重单和出门权限，核对银行/现金</t>
  </si>
  <si>
    <t xml:space="preserve">生产、仓库、行政、资金、税务</t>
  </si>
  <si>
    <t xml:space="preserve">查历史数量、售价、买方和收款；补会计税务处理并整改竞价、双人监督和公司收款</t>
  </si>
  <si>
    <t xml:space="preserve">资金进入个人账户或采购仓库串通</t>
  </si>
  <si>
    <t xml:space="preserve">INV-C14</t>
  </si>
  <si>
    <t xml:space="preserve">客户退货一直放仓库</t>
  </si>
  <si>
    <t xml:space="preserve">隔离退货，核对退货授权、质检和所有权</t>
  </si>
  <si>
    <t xml:space="preserve">销售、质量、仓库、AR</t>
  </si>
  <si>
    <t xml:space="preserve">决定可修、可售、报废或退回客户；及时完成红字/收入成本和库存处理</t>
  </si>
  <si>
    <t xml:space="preserve">退货掩盖渠道压货或收入截止问题</t>
  </si>
  <si>
    <t xml:space="preserve">INV-C15</t>
  </si>
  <si>
    <t xml:space="preserve">老板不愿计提跌价</t>
  </si>
  <si>
    <t xml:space="preserve">提交逐SKU成本、NRV证据和敏感性分析，书面记录判断</t>
  </si>
  <si>
    <t xml:space="preserve">销售、产品、财务经理、审计委员会</t>
  </si>
  <si>
    <t xml:space="preserve">依据准则按成本与NRV孰低；业务计划只能作为有证据假设，不能代替计量</t>
  </si>
  <si>
    <t xml:space="preserve">要求做无依据零计提或隐瞒事实</t>
  </si>
  <si>
    <t xml:space="preserve">INV-C16</t>
  </si>
  <si>
    <t xml:space="preserve">月底突然出现大量入库</t>
  </si>
  <si>
    <t xml:space="preserve">核对实物到货、质检、门禁、GR创建人和时间戳</t>
  </si>
  <si>
    <t xml:space="preserve">采购、仓库、质量、AP</t>
  </si>
  <si>
    <t xml:space="preserve">检查截止、虚假入库、次月冲回和供应商对账；必要时撤销无事实单据</t>
  </si>
  <si>
    <t xml:space="preserve">集中同人操作、无实物或为满足业绩</t>
  </si>
  <si>
    <t xml:space="preserve">INV-C17</t>
  </si>
  <si>
    <t xml:space="preserve">年末盘点前集中调整库存</t>
  </si>
  <si>
    <t xml:space="preserve">保留调整前快照和日志，独立复核每笔依据</t>
  </si>
  <si>
    <t xml:space="preserve">仓库、IT、财务经理、内审</t>
  </si>
  <si>
    <t xml:space="preserve">区分正常清账和无依据调平；重盘高风险SKU并检查反向分录</t>
  </si>
  <si>
    <t xml:space="preserve">删除日志、倒签或管理层越权</t>
  </si>
  <si>
    <t xml:space="preserve">INV-C18</t>
  </si>
  <si>
    <t xml:space="preserve">仓库人员可自行删除出库单</t>
  </si>
  <si>
    <t xml:space="preserve">立即收回删除/反过账权限并审阅日志</t>
  </si>
  <si>
    <t xml:space="preserve">IT、仓库负责人、内审</t>
  </si>
  <si>
    <t xml:space="preserve">改为冲销单+审批+完整日志；复查历史删除和相关盘点差异</t>
  </si>
  <si>
    <t xml:space="preserve">日志缺失或发现资金/实物流失</t>
  </si>
  <si>
    <t xml:space="preserve">INV-C19</t>
  </si>
  <si>
    <t xml:space="preserve">外地仓库无法现场盘点</t>
  </si>
  <si>
    <t xml:space="preserve">锁定基准日库存并取得第三方库存清单</t>
  </si>
  <si>
    <t xml:space="preserve">3PL、物流、销售</t>
  </si>
  <si>
    <t xml:space="preserve">远程视频随机抽码、回函、物流流水和期后收发；重大风险安排人员或第三方现场</t>
  </si>
  <si>
    <t xml:space="preserve">第三方拒绝回函或库存长期不动</t>
  </si>
  <si>
    <t xml:space="preserve">INV-C20</t>
  </si>
  <si>
    <t xml:space="preserve">生产完工1000件但仓库只入950件</t>
  </si>
  <si>
    <t xml:space="preserve">冻结工单结算，核对报工、入库、检验、不良和线边库存</t>
  </si>
  <si>
    <t xml:space="preserve">生产、质量、仓库、成本会计</t>
  </si>
  <si>
    <t xml:space="preserve">建立数量桥：投入、良品、不良、返工、在制、入库；按事实补单或更正报工</t>
  </si>
  <si>
    <t xml:space="preserve">差异反复或涉及产量奖金</t>
  </si>
  <si>
    <t xml:space="preserve">INV-C21</t>
  </si>
  <si>
    <t xml:space="preserve">发货已确认收入但系统无出库</t>
  </si>
  <si>
    <t xml:space="preserve">查物流、签收、订单、仓库和接口日志</t>
  </si>
  <si>
    <t xml:space="preserve">销售、物流、仓库、AR</t>
  </si>
  <si>
    <t xml:space="preserve">确认真实履约与所有权；补正确出库/成本或更正收入，检查截止和毛利</t>
  </si>
  <si>
    <t xml:space="preserve">无物流实物仍确认收入</t>
  </si>
  <si>
    <t xml:space="preserve">INV-C22</t>
  </si>
  <si>
    <t xml:space="preserve">寄售客户仓库存货长期无回传</t>
  </si>
  <si>
    <t xml:space="preserve">核对寄售协议、消耗报告和客户库存</t>
  </si>
  <si>
    <t xml:space="preserve">销售、客户、法务</t>
  </si>
  <si>
    <t xml:space="preserve">建立企业自有库存台账、定期对账盘点；以控制转移判断收入，不以开票代替</t>
  </si>
  <si>
    <t xml:space="preserve">客户拒绝确认、库存丢失或权属不清</t>
  </si>
  <si>
    <t xml:space="preserve">INV-C23</t>
  </si>
  <si>
    <t xml:space="preserve">采购赠品未入账被仓库私用</t>
  </si>
  <si>
    <t xml:space="preserve">查合同、送货单、供应商对账和现场</t>
  </si>
  <si>
    <t xml:space="preserve">采购、仓库、内审</t>
  </si>
  <si>
    <t xml:space="preserve">按商业实质分摊采购成本或按政策管理零成本数量；纳入正常收发与盘点</t>
  </si>
  <si>
    <t xml:space="preserve">赠品被个人占有或转售</t>
  </si>
  <si>
    <t xml:space="preserve">INV-C24</t>
  </si>
  <si>
    <t xml:space="preserve">单位成本突然上涨20%</t>
  </si>
  <si>
    <t xml:space="preserve">做材料价格、单耗、人工、制造费用、产量和结构桥</t>
  </si>
  <si>
    <t xml:space="preserve">采购、生产、工艺、成本会计</t>
  </si>
  <si>
    <t xml:space="preserve">先验证数量和计价完整，再定位采购涨价、超耗、低产能和分摊；形成Owner和期限</t>
  </si>
  <si>
    <t xml:space="preserve">成本被手工修改或用于操纵毛利</t>
  </si>
  <si>
    <t xml:space="preserve">存货准则、内控和税务依据</t>
  </si>
  <si>
    <t xml:space="preserve">实际税务处理按事项发生日、原因和地区再次核对最新有效口径。</t>
  </si>
  <si>
    <t xml:space="preserve">文件号/机构</t>
  </si>
  <si>
    <t xml:space="preserve">关系</t>
  </si>
  <si>
    <t xml:space="preserve">官方链接</t>
  </si>
  <si>
    <t xml:space="preserve">企业会计准则第1号——存货</t>
  </si>
  <si>
    <t xml:space="preserve">财会〔2006〕3号</t>
  </si>
  <si>
    <t xml:space="preserve">确认、计量、成本结转、成本与可变现净值孰低</t>
  </si>
  <si>
    <t xml:space="preserve">https://kjs.mof.gov.cn/zt/kjzzss/kuaijizhunzeshishi/200806/t20080618_46216.htm</t>
  </si>
  <si>
    <t xml:space="preserve">企业内部控制应用指引第8号——资产管理</t>
  </si>
  <si>
    <t xml:space="preserve">财会〔2010〕11号</t>
  </si>
  <si>
    <t xml:space="preserve">存货验收、保管、领用、盘点、处置等控制</t>
  </si>
  <si>
    <t xml:space="preserve">https://kjs.mof.gov.cn/zhengcefabu/201005/P020230421440664863663.pdf</t>
  </si>
  <si>
    <t xml:space="preserve">《企业内部控制应用指引第8号——资产管理》解读</t>
  </si>
  <si>
    <t xml:space="preserve">财政部会计司</t>
  </si>
  <si>
    <t xml:space="preserve">存货取得、验收、仓储、生产、盘点和处置实务</t>
  </si>
  <si>
    <t xml:space="preserve">https://kjs.mof.gov.cn/zhengcejiedu/201006/t20100610_322244.htm</t>
  </si>
  <si>
    <t xml:space="preserve">企业资产损失所得税税前扣除管理办法</t>
  </si>
  <si>
    <t xml:space="preserve">国家税务总局公告2011年第25号（现行内容以税务法规库为准）</t>
  </si>
  <si>
    <t xml:space="preserve">存货盘亏、报废、毁损等损失证据</t>
  </si>
  <si>
    <t xml:space="preserve">https://fgk.chinatax.gov.cn/zcfgk/c100012/c5194226/content.html</t>
  </si>
  <si>
    <t xml:space="preserve">企业所得税资产损失资料留存备查事项</t>
  </si>
  <si>
    <t xml:space="preserve">国家税务总局公告2018年第15号</t>
  </si>
  <si>
    <t xml:space="preserve">资产损失申报资料由企业留存备查</t>
  </si>
  <si>
    <t xml:space="preserve">https://fgk.chinatax.gov.cn/zcfgk/c100012/c5194797/content.html</t>
  </si>
  <si>
    <t xml:space="preserve">中华人民共和国增值税法实施条例</t>
  </si>
  <si>
    <t xml:space="preserve">国务院令（2026年起施行）</t>
  </si>
  <si>
    <t xml:space="preserve">存货损失、非正常损失等事项需结合现行增值税规则判断</t>
  </si>
  <si>
    <t xml:space="preserve">https://fgk.chinatax.gov.cn/zcfgk/c100010/c5246349/content.html</t>
  </si>
  <si>
    <t xml:space="preserve">企业资产损失税前扣除政策问答：存货损失</t>
  </si>
  <si>
    <t xml:space="preserve">国家税务总局12366</t>
  </si>
  <si>
    <t xml:space="preserve">盘亏、报废、毁损存货损失证据提示</t>
  </si>
  <si>
    <t xml:space="preserve">https://12366.chinatax.gov.cn/bzds/062/062-5-3.html</t>
  </si>
  <si>
    <t xml:space="preserve">严格执行企业会计准则做好企业年报工作有关通知</t>
  </si>
  <si>
    <t xml:space="preserve">财政部</t>
  </si>
  <si>
    <t xml:space="preserve">强调可靠信息、存货可变现净值和及时计提跌价</t>
  </si>
  <si>
    <t xml:space="preserve">https://m.mof.gov.cn/czxw/202501/t20250106_3951168.htm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</si>
</sst>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¥#,##0"/>
    <numFmt numFmtId="166" formatCode="0.00\x"/>
    <numFmt numFmtId="167" formatCode="0.0"/>
    <numFmt numFmtId="168" formatCode="#,##0.00"/>
    <numFmt numFmtId="169" formatCode="yyyy\-mm\-dd"/>
    <numFmt numFmtId="170" formatCode="0"/>
    <numFmt numFmtId="171" formatCode="0%"/>
    <numFmt numFmtId="172" formatCode="0.0%"/>
    <numFmt numFmtId="173" formatCode="#,##0"/>
    <numFmt numFmtId="174" formatCode="\¥#,##0.00"/>
  </numFmts>
  <fonts count="10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name val="Calibri"/>
      <family val="0"/>
      <charset val="1"/>
    </font>
    <font>
      <b val="true"/>
      <sz val="16"/>
      <name val="Microsoft YaHei"/>
      <family val="0"/>
      <charset val="1"/>
    </font>
    <font>
      <i val="true"/>
      <sz val="9"/>
      <color rgb="FF666666"/>
      <name val="Microsoft YaHei"/>
      <family val="0"/>
      <charset val="1"/>
    </font>
    <font>
      <b val="true"/>
      <sz val="8"/>
      <color rgb="FFFFFFFF"/>
      <name val="Microsoft YaHei"/>
      <family val="0"/>
      <charset val="1"/>
    </font>
    <font>
      <sz val="8"/>
      <name val="Microsoft YaHei"/>
      <family val="0"/>
      <charset val="1"/>
    </font>
    <font>
      <sz val="11"/>
      <name val="Noto Sans SC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9">
    <dxf>
      <font>
        <b val="1"/>
        <color rgb="FFC00000"/>
      </font>
      <fill>
        <patternFill>
          <bgColor rgb="FFFCE4D6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ging" displayName="Aging" ref="A5:N23" headerRowCount="1" totalsRowCount="0" totalsRowShown="0">
  <tableColumns count="14">
    <tableColumn id="1" name="物料"/>
    <tableColumn id="2" name="名称"/>
    <tableColumn id="3" name="类别"/>
    <tableColumn id="4" name="仓库"/>
    <tableColumn id="5" name="数量"/>
    <tableColumn id="6" name="金额"/>
    <tableColumn id="7" name="最后移动日"/>
    <tableColumn id="8" name="库龄天数"/>
    <tableColumn id="9" name="0-30"/>
    <tableColumn id="10" name="31-90"/>
    <tableColumn id="11" name="91-180"/>
    <tableColumn id="12" name="181-365"/>
    <tableColumn id="13" name="&gt;365"/>
    <tableColumn id="14" name="业务说明"/>
  </tableColumns>
</table>
</file>

<file path=xl/tables/table2.xml><?xml version="1.0" encoding="utf-8"?>
<table xmlns="http://schemas.openxmlformats.org/spreadsheetml/2006/main" id="2" name="BlindCount" displayName="BlindCount" ref="A5:K23" headerRowCount="1" totalsRowCount="0" totalsRowShown="0">
  <tableColumns count="11">
    <tableColumn id="1" name="盘点ID"/>
    <tableColumn id="2" name="物料"/>
    <tableColumn id="3" name="名称"/>
    <tableColumn id="4" name="仓库/库位"/>
    <tableColumn id="5" name="单位"/>
    <tableColumn id="6" name="批次/序列"/>
    <tableColumn id="7" name="实盘数量"/>
    <tableColumn id="8" name="质量状态"/>
    <tableColumn id="9" name="盘点人"/>
    <tableColumn id="10" name="状态"/>
    <tableColumn id="11" name="备注"/>
  </tableColumns>
</table>
</file>

<file path=xl/tables/table3.xml><?xml version="1.0" encoding="utf-8"?>
<table xmlns="http://schemas.openxmlformats.org/spreadsheetml/2006/main" id="3" name="BOMVariance" displayName="BOMVariance" ref="A5:L45" headerRowCount="1" totalsRowCount="0" totalsRowShown="0">
  <tableColumns count="12">
    <tableColumn id="1" name="工单"/>
    <tableColumn id="2" name="产品"/>
    <tableColumn id="3" name="物料"/>
    <tableColumn id="4" name="完工数量"/>
    <tableColumn id="5" name="单位标准"/>
    <tableColumn id="6" name="标准用量"/>
    <tableColumn id="7" name="实际领料"/>
    <tableColumn id="8" name="差异数量"/>
    <tableColumn id="9" name="差异率"/>
    <tableColumn id="10" name="结论"/>
    <tableColumn id="11" name="原因/动作"/>
    <tableColumn id="12" name="复核"/>
  </tableColumns>
</table>
</file>

<file path=xl/tables/table4.xml><?xml version="1.0" encoding="utf-8"?>
<table xmlns="http://schemas.openxmlformats.org/spreadsheetml/2006/main" id="4" name="Cases" displayName="Cases" ref="A5:G29" headerRowCount="1" totalsRowCount="0" totalsRowShown="0">
  <tableColumns count="7">
    <tableColumn id="1" name="编号"/>
    <tableColumn id="2" name="场景"/>
    <tableColumn id="3" name="第一步"/>
    <tableColumn id="4" name="沟通对象"/>
    <tableColumn id="5" name="调查/处理"/>
    <tableColumn id="6" name="升级条件"/>
    <tableColumn id="7" name="我的回答"/>
  </tableColumns>
</table>
</file>

<file path=xl/tables/table5.xml><?xml version="1.0" encoding="utf-8"?>
<table xmlns="http://schemas.openxmlformats.org/spreadsheetml/2006/main" id="5" name="CloseChecklist" displayName="CloseChecklist" ref="A5:I26" headerRowCount="1" totalsRowCount="0" totalsRowShown="0">
  <tableColumns count="9">
    <tableColumn id="1" name="明确动作"/>
    <tableColumn id="2" name="责任人"/>
    <tableColumn id="3" name="期限"/>
    <tableColumn id="4" name="证据路径"/>
    <tableColumn id="5" name="异常金额"/>
    <tableColumn id="6" name="处理"/>
    <tableColumn id="7" name="状态"/>
    <tableColumn id="8" name="复核人"/>
    <tableColumn id="9" name="关闭日"/>
  </tableColumns>
</table>
</file>

<file path=xl/tables/table6.xml><?xml version="1.0" encoding="utf-8"?>
<table xmlns="http://schemas.openxmlformats.org/spreadsheetml/2006/main" id="6" name="Completion" displayName="Completion" ref="A5:K45" headerRowCount="1" totalsRowCount="0" totalsRowShown="0">
  <tableColumns count="11">
    <tableColumn id="1" name="工单"/>
    <tableColumn id="2" name="产品"/>
    <tableColumn id="3" name="报工数量"/>
    <tableColumn id="4" name="质检合格"/>
    <tableColumn id="5" name="仓库入库"/>
    <tableColumn id="6" name="差异"/>
    <tableColumn id="7" name="原因"/>
    <tableColumn id="8" name="Owner"/>
    <tableColumn id="9" name="截止日"/>
    <tableColumn id="10" name="状态"/>
    <tableColumn id="11" name="Closure"/>
  </tableColumns>
</table>
</file>

<file path=xl/tables/table7.xml><?xml version="1.0" encoding="utf-8"?>
<table xmlns="http://schemas.openxmlformats.org/spreadsheetml/2006/main" id="7" name="CountDiff" displayName="CountDiff" ref="A5:N45" headerRowCount="1" totalsRowCount="0" totalsRowShown="0">
  <tableColumns count="14">
    <tableColumn id="1" name="差异ID"/>
    <tableColumn id="2" name="物料"/>
    <tableColumn id="3" name="仓库"/>
    <tableColumn id="4" name="账面数"/>
    <tableColumn id="5" name="实盘数"/>
    <tableColumn id="6" name="差异数"/>
    <tableColumn id="7" name="单位成本"/>
    <tableColumn id="8" name="差异金额"/>
    <tableColumn id="9" name="原因"/>
    <tableColumn id="10" name="Owner"/>
    <tableColumn id="11" name="截止日"/>
    <tableColumn id="12" name="临时控制"/>
    <tableColumn id="13" name="状态"/>
    <tableColumn id="14" name="Closure证据"/>
  </tableColumns>
</table>
</file>

<file path=xl/tables/table8.xml><?xml version="1.0" encoding="utf-8"?>
<table xmlns="http://schemas.openxmlformats.org/spreadsheetml/2006/main" id="8" name="CountPlan" displayName="CountPlan" ref="A5:J7" headerRowCount="1" totalsRowCount="0" totalsRowShown="0">
  <tableColumns count="10">
    <tableColumn id="1" name="盘点"/>
    <tableColumn id="2" name="范围"/>
    <tableColumn id="3" name="基准日"/>
    <tableColumn id="4" name="时间"/>
    <tableColumn id="5" name="移动控制"/>
    <tableColumn id="6" name="负责人"/>
    <tableColumn id="7" name="独立监督"/>
    <tableColumn id="8" name="方法"/>
    <tableColumn id="9" name="状态"/>
    <tableColumn id="10" name="备注"/>
  </tableColumns>
</table>
</file>

<file path=xl/tables/table9.xml><?xml version="1.0" encoding="utf-8"?>
<table xmlns="http://schemas.openxmlformats.org/spreadsheetml/2006/main" id="9" name="InventoryDetail" displayName="InventoryDetail" ref="A5:M23" headerRowCount="1" totalsRowCount="0" totalsRowShown="0">
  <tableColumns count="13">
    <tableColumn id="1" name="物料编码"/>
    <tableColumn id="2" name="名称"/>
    <tableColumn id="3" name="类别"/>
    <tableColumn id="4" name="单位"/>
    <tableColumn id="5" name="仓库/库位"/>
    <tableColumn id="6" name="数量"/>
    <tableColumn id="7" name="单位成本"/>
    <tableColumn id="8" name="金额"/>
    <tableColumn id="9" name="最后移动日"/>
    <tableColumn id="10" name="库龄天数"/>
    <tableColumn id="11" name="状态"/>
    <tableColumn id="12" name="责任部门"/>
    <tableColumn id="13" name="处理计划"/>
  </tableColumns>
</table>
</file>

<file path=xl/tables/table10.xml><?xml version="1.0" encoding="utf-8"?>
<table xmlns="http://schemas.openxmlformats.org/spreadsheetml/2006/main" id="10" name="InvRACI" displayName="InvRACI" ref="A5:E18" headerRowCount="1" totalsRowCount="0" totalsRowShown="0">
  <tableColumns count="5">
    <tableColumn id="1" name="事项"/>
    <tableColumn id="2" name="R执行/牵头"/>
    <tableColumn id="3" name="财务角色"/>
    <tableColumn id="4" name="A最终负责"/>
    <tableColumn id="5" name="主要风险"/>
  </tableColumns>
</table>
</file>

<file path=xl/tables/table11.xml><?xml version="1.0" encoding="utf-8"?>
<table xmlns="http://schemas.openxmlformats.org/spreadsheetml/2006/main" id="11" name="IssueLog" displayName="IssueLog" ref="A5:K45" headerRowCount="1" totalsRowCount="0" totalsRowShown="0">
  <tableColumns count="11">
    <tableColumn id="1" name="Issue ID"/>
    <tableColumn id="2" name="问题"/>
    <tableColumn id="3" name="发现时间/方式"/>
    <tableColumn id="4" name="Owner"/>
    <tableColumn id="5" name="严重度"/>
    <tableColumn id="6" name="临时控制"/>
    <tableColumn id="7" name="截止日"/>
    <tableColumn id="8" name="处理方案"/>
    <tableColumn id="9" name="复核人"/>
    <tableColumn id="10" name="状态"/>
    <tableColumn id="11" name="Closure证据"/>
  </tableColumns>
</table>
</file>

<file path=xl/tables/table12.xml><?xml version="1.0" encoding="utf-8"?>
<table xmlns="http://schemas.openxmlformats.org/spreadsheetml/2006/main" id="12" name="ManagementReport" displayName="ManagementReport" ref="A5:D10" headerRowCount="1" totalsRowCount="0" totalsRowShown="0">
  <tableColumns count="4">
    <tableColumn id="1" name="区域"/>
    <tableColumn id="2" name="本月结果"/>
    <tableColumn id="3" name="关键分析"/>
    <tableColumn id="4" name="行动/决策请求"/>
  </tableColumns>
</table>
</file>

<file path=xl/tables/table13.xml><?xml version="1.0" encoding="utf-8"?>
<table xmlns="http://schemas.openxmlformats.org/spreadsheetml/2006/main" id="13" name="MasterData" displayName="MasterData" ref="A5:M23" headerRowCount="1" totalsRowCount="0" totalsRowShown="0">
  <tableColumns count="13">
    <tableColumn id="1" name="物料编码"/>
    <tableColumn id="2" name="名称"/>
    <tableColumn id="3" name="类别"/>
    <tableColumn id="4" name="基本单位"/>
    <tableColumn id="5" name="采购单位"/>
    <tableColumn id="6" name="转换系数"/>
    <tableColumn id="7" name="仓库"/>
    <tableColumn id="8" name="库位"/>
    <tableColumn id="9" name="状态/用途"/>
    <tableColumn id="10" name="主数据状态"/>
    <tableColumn id="11" name="重复/近似编码"/>
    <tableColumn id="12" name="最后审核日"/>
    <tableColumn id="13" name="复核意见"/>
  </tableColumns>
</table>
</file>

<file path=xl/tables/table14.xml><?xml version="1.0" encoding="utf-8"?>
<table xmlns="http://schemas.openxmlformats.org/spreadsheetml/2006/main" id="14" name="Metrics" displayName="Metrics" ref="A5:F17" headerRowCount="1" totalsRowCount="0" totalsRowShown="0">
  <tableColumns count="6">
    <tableColumn id="1" name="指标"/>
    <tableColumn id="2" name="公式/定义"/>
    <tableColumn id="3" name="管理意义"/>
    <tableColumn id="4" name="异常后查什么"/>
    <tableColumn id="5" name="主管动作"/>
    <tableColumn id="6" name="频率"/>
  </tableColumns>
</table>
</file>

<file path=xl/tables/table15.xml><?xml version="1.0" encoding="utf-8"?>
<table xmlns="http://schemas.openxmlformats.org/spreadsheetml/2006/main" id="15" name="Movements" displayName="Movements" ref="A5:M45" headerRowCount="1" totalsRowCount="0" totalsRowShown="0">
  <tableColumns count="13">
    <tableColumn id="1" name="交易ID"/>
    <tableColumn id="2" name="类型"/>
    <tableColumn id="3" name="物料"/>
    <tableColumn id="4" name="仓库"/>
    <tableColumn id="5" name="业务单号"/>
    <tableColumn id="6" name="操作人"/>
    <tableColumn id="7" name="数量"/>
    <tableColumn id="8" name="时间"/>
    <tableColumn id="9" name="反过账/删除"/>
    <tableColumn id="10" name="审批"/>
    <tableColumn id="11" name="异常说明"/>
    <tableColumn id="12" name="状态"/>
    <tableColumn id="13" name="复核"/>
  </tableColumns>
</table>
</file>

<file path=xl/tables/table16.xml><?xml version="1.0" encoding="utf-8"?>
<table xmlns="http://schemas.openxmlformats.org/spreadsheetml/2006/main" id="16" name="NRV" displayName="NRV" ref="A5:O23" headerRowCount="1" totalsRowCount="0" totalsRowShown="0">
  <tableColumns count="15">
    <tableColumn id="1" name="测试ID"/>
    <tableColumn id="2" name="物料"/>
    <tableColumn id="3" name="名称"/>
    <tableColumn id="4" name="类别"/>
    <tableColumn id="5" name="数量"/>
    <tableColumn id="6" name="单位成本"/>
    <tableColumn id="7" name="估计售价"/>
    <tableColumn id="8" name="至完工成本"/>
    <tableColumn id="9" name="销售费用"/>
    <tableColumn id="10" name="单位NRV"/>
    <tableColumn id="11" name="应计提单价"/>
    <tableColumn id="12" name="应计提金额"/>
    <tableColumn id="13" name="证据"/>
    <tableColumn id="14" name="结论"/>
    <tableColumn id="15" name="复核"/>
  </tableColumns>
</table>
</file>

<file path=xl/tables/table17.xml><?xml version="1.0" encoding="utf-8"?>
<table xmlns="http://schemas.openxmlformats.org/spreadsheetml/2006/main" id="17" name="Obsolete" displayName="Obsolete" ref="A5:O9" headerRowCount="1" totalsRowCount="0" totalsRowShown="0">
  <tableColumns count="15">
    <tableColumn id="1" name="ID"/>
    <tableColumn id="2" name="物料"/>
    <tableColumn id="3" name="名称"/>
    <tableColumn id="4" name="数量"/>
    <tableColumn id="5" name="金额"/>
    <tableColumn id="6" name="最后移动日"/>
    <tableColumn id="7" name="库龄"/>
    <tableColumn id="8" name="状态"/>
    <tableColumn id="9" name="形成原因"/>
    <tableColumn id="10" name="责任部门"/>
    <tableColumn id="11" name="处理方案"/>
    <tableColumn id="12" name="预计损失"/>
    <tableColumn id="13" name="预计完成日"/>
    <tableColumn id="14" name="状态2"/>
    <tableColumn id="15" name="Closure"/>
  </tableColumns>
</table>
</file>

<file path=xl/tables/table18.xml><?xml version="1.0" encoding="utf-8"?>
<table xmlns="http://schemas.openxmlformats.org/spreadsheetml/2006/main" id="18" name="Offsite" displayName="Offsite" ref="A5:K8" headerRowCount="1" totalsRowCount="0" totalsRowShown="0">
  <tableColumns count="11">
    <tableColumn id="1" name="ID"/>
    <tableColumn id="2" name="物料"/>
    <tableColumn id="3" name="保管方"/>
    <tableColumn id="4" name="地点/类型"/>
    <tableColumn id="5" name="数量"/>
    <tableColumn id="6" name="金额"/>
    <tableColumn id="7" name="对账日"/>
    <tableColumn id="8" name="验证方式"/>
    <tableColumn id="9" name="Owner"/>
    <tableColumn id="10" name="状态"/>
    <tableColumn id="11" name="差异/动作"/>
  </tableColumns>
</table>
</file>

<file path=xl/tables/table19.xml><?xml version="1.0" encoding="utf-8"?>
<table xmlns="http://schemas.openxmlformats.org/spreadsheetml/2006/main" id="19" name="ReceiptExceptions" displayName="ReceiptExceptions" ref="A5:N13" headerRowCount="1" totalsRowCount="0" totalsRowShown="0">
  <tableColumns count="14">
    <tableColumn id="1" name="异常ID"/>
    <tableColumn id="2" name="异常类型"/>
    <tableColumn id="3" name="PO/合同"/>
    <tableColumn id="4" name="GR"/>
    <tableColumn id="5" name="发票"/>
    <tableColumn id="6" name="物料"/>
    <tableColumn id="7" name="数量"/>
    <tableColumn id="8" name="金额"/>
    <tableColumn id="9" name="发生日"/>
    <tableColumn id="10" name="Owner"/>
    <tableColumn id="11" name="月末处理"/>
    <tableColumn id="12" name="风险"/>
    <tableColumn id="13" name="状态"/>
    <tableColumn id="14" name="Closure"/>
  </tableColumns>
</table>
</file>

<file path=xl/tables/table20.xml><?xml version="1.0" encoding="utf-8"?>
<table xmlns="http://schemas.openxmlformats.org/spreadsheetml/2006/main" id="20" name="Risks" displayName="Risks" ref="A5:C13" headerRowCount="1" totalsRowCount="0" totalsRowShown="0">
  <tableColumns count="3">
    <tableColumn id="1" name="风险"/>
    <tableColumn id="2" name="典型红旗"/>
    <tableColumn id="3" name="检查动作"/>
  </tableColumns>
</table>
</file>

<file path=xl/tables/table21.xml><?xml version="1.0" encoding="utf-8"?>
<table xmlns="http://schemas.openxmlformats.org/spreadsheetml/2006/main" id="21" name="Scrap" displayName="Scrap" ref="A5:P35" headerRowCount="1" totalsRowCount="0" totalsRowShown="0">
  <tableColumns count="16">
    <tableColumn id="1" name="申请ID"/>
    <tableColumn id="2" name="物料"/>
    <tableColumn id="3" name="批次"/>
    <tableColumn id="4" name="原因"/>
    <tableColumn id="5" name="数量"/>
    <tableColumn id="6" name="成本"/>
    <tableColumn id="7" name="鉴定"/>
    <tableColumn id="8" name="审批"/>
    <tableColumn id="9" name="实物位置"/>
    <tableColumn id="10" name="处置方式"/>
    <tableColumn id="11" name="见证人"/>
    <tableColumn id="12" name="系统出库"/>
    <tableColumn id="13" name="税务资料"/>
    <tableColumn id="14" name="责任"/>
    <tableColumn id="15" name="状态"/>
    <tableColumn id="16" name="Closure"/>
  </tableColumns>
</table>
</file>

<file path=xl/tables/table22.xml><?xml version="1.0" encoding="utf-8"?>
<table xmlns="http://schemas.openxmlformats.org/spreadsheetml/2006/main" id="22" name="Sources" displayName="Sources" ref="A5:D13" headerRowCount="1" totalsRowCount="0" totalsRowShown="0">
  <tableColumns count="4">
    <tableColumn id="1" name="名称"/>
    <tableColumn id="2" name="文件号/机构"/>
    <tableColumn id="3" name="关系"/>
    <tableColumn id="4" name="官方链接"/>
  </tableColumns>
</table>
</file>

<file path=xl/tables/table23.xml><?xml version="1.0" encoding="utf-8"?>
<table xmlns="http://schemas.openxmlformats.org/spreadsheetml/2006/main" id="23" name="Takeover" displayName="Takeover" ref="A5:E13" headerRowCount="1" totalsRowCount="0" totalsRowShown="0">
  <tableColumns count="5">
    <tableColumn id="1" name="阶段"/>
    <tableColumn id="2" name="事项"/>
    <tableColumn id="3" name="明确动作"/>
    <tableColumn id="4" name="发现/证据"/>
    <tableColumn id="5" name="状态"/>
  </tableColumns>
</table>
</file>

<file path=xl/tables/table24.xml><?xml version="1.0" encoding="utf-8"?>
<table xmlns="http://schemas.openxmlformats.org/spreadsheetml/2006/main" id="24" name="ThreeWay" displayName="ThreeWay" ref="A5:L45" headerRowCount="1" totalsRowCount="0" totalsRowShown="0">
  <tableColumns count="12">
    <tableColumn id="1" name="PO"/>
    <tableColumn id="2" name="物料"/>
    <tableColumn id="3" name="订单数量"/>
    <tableColumn id="4" name="订单单价"/>
    <tableColumn id="5" name="收货数量"/>
    <tableColumn id="6" name="收货单价"/>
    <tableColumn id="7" name="发票数量"/>
    <tableColumn id="8" name="发票单价"/>
    <tableColumn id="9" name="税率"/>
    <tableColumn id="10" name="匹配结果"/>
    <tableColumn id="11" name="处理"/>
    <tableColumn id="12" name="复核"/>
  </tableColumns>
</table>
</file>

<file path=xl/tables/table25.xml><?xml version="1.0" encoding="utf-8"?>
<table xmlns="http://schemas.openxmlformats.org/spreadsheetml/2006/main" id="25" name="Waste" displayName="Waste" ref="A5:N35" headerRowCount="1" totalsRowCount="0" totalsRowShown="0">
  <tableColumns count="14">
    <tableColumn id="1" name="处置ID"/>
    <tableColumn id="2" name="废料类型"/>
    <tableColumn id="3" name="期初数量"/>
    <tableColumn id="4" name="本期增加"/>
    <tableColumn id="5" name="出售/处置数量"/>
    <tableColumn id="6" name="称重单"/>
    <tableColumn id="7" name="买方"/>
    <tableColumn id="8" name="单价"/>
    <tableColumn id="9" name="价款"/>
    <tableColumn id="10" name="审批"/>
    <tableColumn id="11" name="出门单"/>
    <tableColumn id="12" name="发票"/>
    <tableColumn id="13" name="收款"/>
    <tableColumn id="14" name="差异"/>
  </tableColumns>
</table>
</file>

<file path=xl/tables/table26.xml><?xml version="1.0" encoding="utf-8"?>
<table xmlns="http://schemas.openxmlformats.org/spreadsheetml/2006/main" id="26" name="WIP" displayName="WIP" ref="A5:L45" headerRowCount="1" totalsRowCount="0" totalsRowShown="0">
  <tableColumns count="12">
    <tableColumn id="1" name="工单"/>
    <tableColumn id="2" name="产品"/>
    <tableColumn id="3" name="工序"/>
    <tableColumn id="4" name="期初WIP"/>
    <tableColumn id="5" name="本期投入"/>
    <tableColumn id="6" name="本期完工"/>
    <tableColumn id="7" name="报废"/>
    <tableColumn id="8" name="期末WIP"/>
    <tableColumn id="9" name="WIP成本"/>
    <tableColumn id="10" name="滞留天数"/>
    <tableColumn id="11" name="状态"/>
    <tableColumn id="12" name="调查/动作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1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18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21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25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table" Target="../tables/table23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table" Target="../tables/table20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table" Target="../tables/table2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5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5" customFormat="false" ht="34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</row>
    <row r="6" customFormat="false" ht="15" hidden="false" customHeight="false" outlineLevel="0" collapsed="false">
      <c r="A6" s="4" t="s">
        <v>6</v>
      </c>
      <c r="B6" s="5" t="n">
        <f aca="false">SUM('02-库存明细'!H6:H23)</f>
        <v>23271600</v>
      </c>
      <c r="C6" s="4" t="s">
        <v>7</v>
      </c>
      <c r="D6" s="4" t="s">
        <v>8</v>
      </c>
    </row>
    <row r="7" customFormat="false" ht="15" hidden="false" customHeight="false" outlineLevel="0" collapsed="false">
      <c r="A7" s="4" t="s">
        <v>9</v>
      </c>
      <c r="B7" s="5" t="n">
        <f aca="false">SUMIF('02-库存明细'!C6:C23,"原材料",'02-库存明细'!H6:H23)+SUMIF('02-库存明细'!C6:C23,"辅料",'02-库存明细'!H6:H23)+SUMIF('02-库存明细'!C6:C23,"包装物",'02-库存明细'!H6:H23)</f>
        <v>4182800</v>
      </c>
      <c r="C7" s="4" t="s">
        <v>10</v>
      </c>
      <c r="D7" s="4" t="s">
        <v>11</v>
      </c>
    </row>
    <row r="8" customFormat="false" ht="15" hidden="false" customHeight="false" outlineLevel="0" collapsed="false">
      <c r="A8" s="4" t="s">
        <v>12</v>
      </c>
      <c r="B8" s="5" t="n">
        <f aca="false">SUMIF('02-库存明细'!C6:C23,"在产品",'02-库存明细'!H6:H23)</f>
        <v>3640000</v>
      </c>
      <c r="C8" s="4" t="s">
        <v>13</v>
      </c>
      <c r="D8" s="4" t="s">
        <v>14</v>
      </c>
    </row>
    <row r="9" customFormat="false" ht="15" hidden="false" customHeight="false" outlineLevel="0" collapsed="false">
      <c r="A9" s="4" t="s">
        <v>15</v>
      </c>
      <c r="B9" s="5" t="n">
        <f aca="false">SUMIF('02-库存明细'!C6:C23,"产成品",'02-库存明细'!H6:H23)+SUMIF('02-库存明细'!C6:C23,"库存商品",'02-库存明细'!H6:H23)</f>
        <v>12748000</v>
      </c>
      <c r="C9" s="4" t="s">
        <v>16</v>
      </c>
      <c r="D9" s="4" t="s">
        <v>17</v>
      </c>
    </row>
    <row r="10" customFormat="false" ht="15" hidden="false" customHeight="false" outlineLevel="0" collapsed="false">
      <c r="A10" s="4" t="s">
        <v>18</v>
      </c>
      <c r="B10" s="5" t="n">
        <f aca="false">SUMIF('02-库存明细'!C6:C23,"发出商品",'02-库存明细'!H6:H23)+SUMIF('02-库存明细'!C6:C23,"委托加工物资",'02-库存明细'!H6:H23)</f>
        <v>1874000</v>
      </c>
      <c r="C10" s="4" t="s">
        <v>19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5" t="n">
        <f aca="false">COUNTIF('02-库存明细'!F6:F23,"&lt;0")</f>
        <v>1</v>
      </c>
      <c r="C11" s="4" t="n">
        <v>0</v>
      </c>
      <c r="D11" s="4" t="s">
        <v>22</v>
      </c>
    </row>
    <row r="12" customFormat="false" ht="15" hidden="false" customHeight="false" outlineLevel="0" collapsed="false">
      <c r="A12" s="4" t="s">
        <v>23</v>
      </c>
      <c r="B12" s="5" t="n">
        <f aca="false">SUMIF('02-库存明细'!F6:F23,"&lt;0",'02-库存明细'!H6:H23)</f>
        <v>-25800</v>
      </c>
      <c r="C12" s="4" t="n">
        <v>0</v>
      </c>
      <c r="D12" s="4" t="s">
        <v>24</v>
      </c>
    </row>
    <row r="13" customFormat="false" ht="15" hidden="false" customHeight="false" outlineLevel="0" collapsed="false">
      <c r="A13" s="4" t="s">
        <v>25</v>
      </c>
      <c r="B13" s="5" t="n">
        <f aca="false">SUMIF('02-库存明细'!J6:J23,"&gt;365",'02-库存明细'!H6:H23)</f>
        <v>2570000</v>
      </c>
      <c r="C13" s="4" t="n">
        <v>0</v>
      </c>
      <c r="D13" s="4" t="s">
        <v>26</v>
      </c>
    </row>
    <row r="14" customFormat="false" ht="15" hidden="false" customHeight="false" outlineLevel="0" collapsed="false">
      <c r="A14" s="4" t="s">
        <v>27</v>
      </c>
      <c r="B14" s="5" t="n">
        <f aca="false">'02-库存明细'!H9+'02-库存明细'!H18</f>
        <v>2354000</v>
      </c>
      <c r="C14" s="4" t="s">
        <v>28</v>
      </c>
      <c r="D14" s="4" t="s">
        <v>29</v>
      </c>
    </row>
    <row r="15" customFormat="false" ht="15" hidden="false" customHeight="false" outlineLevel="0" collapsed="false">
      <c r="A15" s="4" t="s">
        <v>30</v>
      </c>
      <c r="B15" s="6" t="n">
        <f aca="false">64200000/AVERAGE(22500000,23271600)*12/8</f>
        <v>4.20784940880371</v>
      </c>
      <c r="C15" s="4" t="s">
        <v>31</v>
      </c>
      <c r="D15" s="4" t="s">
        <v>32</v>
      </c>
    </row>
    <row r="16" customFormat="false" ht="15" hidden="false" customHeight="false" outlineLevel="0" collapsed="false">
      <c r="A16" s="4" t="s">
        <v>33</v>
      </c>
      <c r="B16" s="7" t="n">
        <f aca="false">365/B15</f>
        <v>86.7426479750779</v>
      </c>
      <c r="C16" s="4" t="s">
        <v>34</v>
      </c>
      <c r="D16" s="4" t="s">
        <v>35</v>
      </c>
    </row>
    <row r="17" customFormat="false" ht="15" hidden="false" customHeight="false" outlineLevel="0" collapsed="false">
      <c r="A17" s="4" t="s">
        <v>36</v>
      </c>
      <c r="B17" s="4" t="n">
        <f aca="false">COUNTIF('12-盘点差异'!M6:M45,"Open")</f>
        <v>2</v>
      </c>
      <c r="C17" s="4" t="n">
        <v>0</v>
      </c>
      <c r="D17" s="4" t="s">
        <v>37</v>
      </c>
    </row>
    <row r="18" customFormat="false" ht="15" hidden="false" customHeight="false" outlineLevel="0" collapsed="false">
      <c r="A18" s="4" t="s">
        <v>38</v>
      </c>
      <c r="B18" s="4" t="n">
        <f aca="false">COUNTIF('24-Issue Log'!E6:E45,"高")</f>
        <v>1</v>
      </c>
      <c r="C18" s="4" t="n">
        <v>0</v>
      </c>
      <c r="D18" s="4" t="s">
        <v>39</v>
      </c>
    </row>
  </sheetData>
  <mergeCells count="2">
    <mergeCell ref="A1:H1"/>
    <mergeCell ref="A2:H2"/>
  </mergeCells>
  <conditionalFormatting sqref="B11:B12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25"/>
    <col collapsed="false" customWidth="true" hidden="false" outlineLevel="0" max="4" min="4" style="0" width="22"/>
    <col collapsed="false" customWidth="true" hidden="false" outlineLevel="0" max="5" min="5" style="0" width="45"/>
  </cols>
  <sheetData>
    <row r="1" customFormat="false" ht="30" hidden="false" customHeight="true" outlineLevel="0" collapsed="false">
      <c r="A1" s="1" t="s">
        <v>40</v>
      </c>
      <c r="B1" s="1"/>
      <c r="C1" s="1"/>
      <c r="D1" s="1"/>
      <c r="E1" s="1"/>
    </row>
    <row r="2" customFormat="false" ht="28" hidden="false" customHeight="true" outlineLevel="0" collapsed="false">
      <c r="A2" s="2" t="s">
        <v>41</v>
      </c>
      <c r="B2" s="2"/>
      <c r="C2" s="2"/>
      <c r="D2" s="2"/>
      <c r="E2" s="2"/>
    </row>
    <row r="5" customFormat="false" ht="34" hidden="false" customHeight="true" outlineLevel="0" collapsed="false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</row>
    <row r="6" customFormat="false" ht="15" hidden="false" customHeight="false" outlineLevel="0" collapsed="false">
      <c r="A6" s="4" t="s">
        <v>47</v>
      </c>
      <c r="B6" s="4" t="s">
        <v>48</v>
      </c>
      <c r="C6" s="4" t="s">
        <v>49</v>
      </c>
      <c r="D6" s="4" t="s">
        <v>50</v>
      </c>
      <c r="E6" s="4" t="s">
        <v>51</v>
      </c>
    </row>
    <row r="7" customFormat="false" ht="15" hidden="false" customHeight="false" outlineLevel="0" collapsed="false">
      <c r="A7" s="4" t="s">
        <v>52</v>
      </c>
      <c r="B7" s="4" t="s">
        <v>53</v>
      </c>
      <c r="C7" s="4" t="s">
        <v>49</v>
      </c>
      <c r="D7" s="4" t="s">
        <v>50</v>
      </c>
      <c r="E7" s="4" t="s">
        <v>54</v>
      </c>
    </row>
    <row r="8" customFormat="false" ht="15" hidden="false" customHeight="false" outlineLevel="0" collapsed="false">
      <c r="A8" s="4" t="s">
        <v>55</v>
      </c>
      <c r="B8" s="4" t="s">
        <v>56</v>
      </c>
      <c r="C8" s="4" t="s">
        <v>49</v>
      </c>
      <c r="D8" s="4" t="s">
        <v>50</v>
      </c>
      <c r="E8" s="4" t="s">
        <v>57</v>
      </c>
    </row>
    <row r="9" customFormat="false" ht="15" hidden="false" customHeight="false" outlineLevel="0" collapsed="false">
      <c r="A9" s="4" t="s">
        <v>58</v>
      </c>
      <c r="B9" s="4" t="s">
        <v>59</v>
      </c>
      <c r="C9" s="4" t="s">
        <v>60</v>
      </c>
      <c r="D9" s="4" t="s">
        <v>50</v>
      </c>
      <c r="E9" s="4" t="s">
        <v>61</v>
      </c>
    </row>
    <row r="10" customFormat="false" ht="15" hidden="false" customHeight="false" outlineLevel="0" collapsed="false">
      <c r="A10" s="4" t="s">
        <v>62</v>
      </c>
      <c r="B10" s="4" t="s">
        <v>63</v>
      </c>
      <c r="C10" s="4" t="s">
        <v>49</v>
      </c>
      <c r="D10" s="4" t="s">
        <v>50</v>
      </c>
      <c r="E10" s="4" t="s">
        <v>64</v>
      </c>
    </row>
    <row r="11" customFormat="false" ht="15" hidden="false" customHeight="false" outlineLevel="0" collapsed="false">
      <c r="A11" s="4" t="s">
        <v>65</v>
      </c>
      <c r="B11" s="4" t="s">
        <v>66</v>
      </c>
      <c r="C11" s="4" t="s">
        <v>49</v>
      </c>
      <c r="D11" s="4" t="s">
        <v>50</v>
      </c>
      <c r="E11" s="4" t="s">
        <v>67</v>
      </c>
    </row>
    <row r="12" customFormat="false" ht="15" hidden="false" customHeight="false" outlineLevel="0" collapsed="false">
      <c r="A12" s="4" t="s">
        <v>68</v>
      </c>
      <c r="B12" s="4" t="s">
        <v>69</v>
      </c>
      <c r="C12" s="4" t="s">
        <v>49</v>
      </c>
      <c r="D12" s="4" t="s">
        <v>50</v>
      </c>
      <c r="E12" s="4" t="s">
        <v>70</v>
      </c>
    </row>
    <row r="13" customFormat="false" ht="15" hidden="false" customHeight="false" outlineLevel="0" collapsed="false">
      <c r="A13" s="4" t="s">
        <v>71</v>
      </c>
      <c r="B13" s="4" t="s">
        <v>72</v>
      </c>
      <c r="C13" s="4" t="s">
        <v>73</v>
      </c>
      <c r="D13" s="4" t="s">
        <v>74</v>
      </c>
      <c r="E13" s="4" t="s">
        <v>75</v>
      </c>
    </row>
    <row r="14" customFormat="false" ht="15" hidden="false" customHeight="false" outlineLevel="0" collapsed="false">
      <c r="A14" s="4" t="s">
        <v>76</v>
      </c>
      <c r="B14" s="4" t="s">
        <v>77</v>
      </c>
      <c r="C14" s="4" t="s">
        <v>78</v>
      </c>
      <c r="D14" s="4" t="s">
        <v>74</v>
      </c>
      <c r="E14" s="4" t="s">
        <v>79</v>
      </c>
    </row>
    <row r="15" customFormat="false" ht="15" hidden="false" customHeight="false" outlineLevel="0" collapsed="false">
      <c r="A15" s="4" t="s">
        <v>80</v>
      </c>
      <c r="B15" s="4" t="s">
        <v>81</v>
      </c>
      <c r="C15" s="4" t="s">
        <v>78</v>
      </c>
      <c r="D15" s="4" t="s">
        <v>74</v>
      </c>
      <c r="E15" s="4" t="s">
        <v>82</v>
      </c>
    </row>
    <row r="16" customFormat="false" ht="15" hidden="false" customHeight="false" outlineLevel="0" collapsed="false">
      <c r="A16" s="4" t="s">
        <v>83</v>
      </c>
      <c r="B16" s="4" t="s">
        <v>84</v>
      </c>
      <c r="C16" s="4" t="s">
        <v>73</v>
      </c>
      <c r="D16" s="4" t="s">
        <v>74</v>
      </c>
      <c r="E16" s="4" t="s">
        <v>85</v>
      </c>
    </row>
    <row r="17" customFormat="false" ht="15" hidden="false" customHeight="false" outlineLevel="0" collapsed="false">
      <c r="A17" s="4" t="s">
        <v>86</v>
      </c>
      <c r="B17" s="4" t="s">
        <v>87</v>
      </c>
      <c r="C17" s="4" t="s">
        <v>78</v>
      </c>
      <c r="D17" s="4" t="s">
        <v>74</v>
      </c>
      <c r="E17" s="4" t="s">
        <v>88</v>
      </c>
    </row>
    <row r="18" customFormat="false" ht="15" hidden="false" customHeight="false" outlineLevel="0" collapsed="false">
      <c r="A18" s="4" t="s">
        <v>89</v>
      </c>
      <c r="B18" s="4" t="s">
        <v>90</v>
      </c>
      <c r="C18" s="4" t="s">
        <v>78</v>
      </c>
      <c r="D18" s="4" t="s">
        <v>74</v>
      </c>
      <c r="E18" s="4" t="s">
        <v>91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46"/>
  </cols>
  <sheetData>
    <row r="1" customFormat="false" ht="30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8" hidden="false" customHeight="true" outlineLevel="0" collapsed="false">
      <c r="A2" s="2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customFormat="false" ht="34" hidden="false" customHeight="true" outlineLevel="0" collapsed="false">
      <c r="A5" s="3" t="s">
        <v>94</v>
      </c>
      <c r="B5" s="3" t="s">
        <v>95</v>
      </c>
      <c r="C5" s="3" t="s">
        <v>96</v>
      </c>
      <c r="D5" s="3" t="s">
        <v>97</v>
      </c>
      <c r="E5" s="3" t="s">
        <v>98</v>
      </c>
      <c r="F5" s="3" t="s">
        <v>99</v>
      </c>
      <c r="G5" s="3" t="s">
        <v>100</v>
      </c>
      <c r="H5" s="3" t="s">
        <v>101</v>
      </c>
      <c r="I5" s="3" t="s">
        <v>102</v>
      </c>
      <c r="J5" s="3" t="s">
        <v>103</v>
      </c>
      <c r="K5" s="3" t="s">
        <v>104</v>
      </c>
      <c r="L5" s="3" t="s">
        <v>105</v>
      </c>
      <c r="M5" s="3" t="s">
        <v>106</v>
      </c>
    </row>
    <row r="6" customFormat="false" ht="15" hidden="false" customHeight="false" outlineLevel="0" collapsed="false">
      <c r="A6" s="4" t="s">
        <v>107</v>
      </c>
      <c r="B6" s="4" t="s">
        <v>108</v>
      </c>
      <c r="C6" s="4" t="s">
        <v>109</v>
      </c>
      <c r="D6" s="4" t="s">
        <v>110</v>
      </c>
      <c r="E6" s="4" t="s">
        <v>111</v>
      </c>
      <c r="F6" s="8" t="n">
        <v>18000</v>
      </c>
      <c r="G6" s="8" t="n">
        <v>86</v>
      </c>
      <c r="H6" s="8" t="n">
        <v>1548000</v>
      </c>
      <c r="I6" s="9" t="n">
        <v>46260</v>
      </c>
      <c r="J6" s="10" t="n">
        <v>6</v>
      </c>
      <c r="K6" s="11" t="s">
        <v>112</v>
      </c>
      <c r="L6" s="11" t="s">
        <v>113</v>
      </c>
      <c r="M6" s="11"/>
    </row>
    <row r="7" customFormat="false" ht="15" hidden="false" customHeight="false" outlineLevel="0" collapsed="false">
      <c r="A7" s="4" t="s">
        <v>114</v>
      </c>
      <c r="B7" s="4" t="s">
        <v>115</v>
      </c>
      <c r="C7" s="4" t="s">
        <v>109</v>
      </c>
      <c r="D7" s="4" t="s">
        <v>110</v>
      </c>
      <c r="E7" s="4" t="s">
        <v>116</v>
      </c>
      <c r="F7" s="8" t="n">
        <v>10500</v>
      </c>
      <c r="G7" s="8" t="n">
        <v>52</v>
      </c>
      <c r="H7" s="8" t="n">
        <v>546000</v>
      </c>
      <c r="I7" s="9" t="n">
        <v>46256</v>
      </c>
      <c r="J7" s="10" t="n">
        <v>10</v>
      </c>
      <c r="K7" s="11" t="s">
        <v>112</v>
      </c>
      <c r="L7" s="11" t="s">
        <v>113</v>
      </c>
      <c r="M7" s="11"/>
    </row>
    <row r="8" customFormat="false" ht="15" hidden="false" customHeight="false" outlineLevel="0" collapsed="false">
      <c r="A8" s="4" t="s">
        <v>117</v>
      </c>
      <c r="B8" s="4" t="s">
        <v>118</v>
      </c>
      <c r="C8" s="4" t="s">
        <v>109</v>
      </c>
      <c r="D8" s="4" t="s">
        <v>110</v>
      </c>
      <c r="E8" s="4" t="s">
        <v>119</v>
      </c>
      <c r="F8" s="8" t="n">
        <v>7200</v>
      </c>
      <c r="G8" s="8" t="n">
        <v>118</v>
      </c>
      <c r="H8" s="8" t="n">
        <v>849600</v>
      </c>
      <c r="I8" s="9" t="n">
        <v>46152</v>
      </c>
      <c r="J8" s="10" t="n">
        <v>114</v>
      </c>
      <c r="K8" s="11" t="s">
        <v>120</v>
      </c>
      <c r="L8" s="11" t="s">
        <v>121</v>
      </c>
      <c r="M8" s="11"/>
    </row>
    <row r="9" customFormat="false" ht="15" hidden="false" customHeight="false" outlineLevel="0" collapsed="false">
      <c r="A9" s="4" t="s">
        <v>122</v>
      </c>
      <c r="B9" s="4" t="s">
        <v>123</v>
      </c>
      <c r="C9" s="4" t="s">
        <v>109</v>
      </c>
      <c r="D9" s="4" t="s">
        <v>110</v>
      </c>
      <c r="E9" s="4" t="s">
        <v>124</v>
      </c>
      <c r="F9" s="8" t="n">
        <v>4200</v>
      </c>
      <c r="G9" s="8" t="n">
        <v>210</v>
      </c>
      <c r="H9" s="8" t="n">
        <v>882000</v>
      </c>
      <c r="I9" s="9" t="n">
        <v>45823</v>
      </c>
      <c r="J9" s="10" t="n">
        <v>443</v>
      </c>
      <c r="K9" s="11" t="s">
        <v>125</v>
      </c>
      <c r="L9" s="11" t="s">
        <v>126</v>
      </c>
      <c r="M9" s="11"/>
    </row>
    <row r="10" customFormat="false" ht="15" hidden="false" customHeight="false" outlineLevel="0" collapsed="false">
      <c r="A10" s="4" t="s">
        <v>127</v>
      </c>
      <c r="B10" s="4" t="s">
        <v>128</v>
      </c>
      <c r="C10" s="4" t="s">
        <v>129</v>
      </c>
      <c r="D10" s="4" t="s">
        <v>110</v>
      </c>
      <c r="E10" s="4" t="s">
        <v>130</v>
      </c>
      <c r="F10" s="8" t="n">
        <v>30000</v>
      </c>
      <c r="G10" s="8" t="n">
        <v>8</v>
      </c>
      <c r="H10" s="8" t="n">
        <v>240000</v>
      </c>
      <c r="I10" s="9" t="n">
        <v>46262</v>
      </c>
      <c r="J10" s="10" t="n">
        <v>4</v>
      </c>
      <c r="K10" s="11" t="s">
        <v>112</v>
      </c>
      <c r="L10" s="11" t="s">
        <v>113</v>
      </c>
      <c r="M10" s="11"/>
    </row>
    <row r="11" customFormat="false" ht="15" hidden="false" customHeight="false" outlineLevel="0" collapsed="false">
      <c r="A11" s="4" t="s">
        <v>131</v>
      </c>
      <c r="B11" s="4" t="s">
        <v>132</v>
      </c>
      <c r="C11" s="4" t="s">
        <v>133</v>
      </c>
      <c r="D11" s="4" t="s">
        <v>110</v>
      </c>
      <c r="E11" s="4" t="s">
        <v>134</v>
      </c>
      <c r="F11" s="8" t="n">
        <v>26000</v>
      </c>
      <c r="G11" s="8" t="n">
        <v>5.5</v>
      </c>
      <c r="H11" s="8" t="n">
        <v>143000</v>
      </c>
      <c r="I11" s="9" t="n">
        <v>46218</v>
      </c>
      <c r="J11" s="10" t="n">
        <v>48</v>
      </c>
      <c r="K11" s="11" t="s">
        <v>112</v>
      </c>
      <c r="L11" s="11" t="s">
        <v>135</v>
      </c>
      <c r="M11" s="11"/>
    </row>
    <row r="12" customFormat="false" ht="15" hidden="false" customHeight="false" outlineLevel="0" collapsed="false">
      <c r="A12" s="4" t="s">
        <v>136</v>
      </c>
      <c r="B12" s="4" t="s">
        <v>137</v>
      </c>
      <c r="C12" s="4" t="s">
        <v>138</v>
      </c>
      <c r="D12" s="4" t="s">
        <v>110</v>
      </c>
      <c r="E12" s="4" t="s">
        <v>139</v>
      </c>
      <c r="F12" s="8" t="n">
        <v>12</v>
      </c>
      <c r="G12" s="8" t="n">
        <v>18000</v>
      </c>
      <c r="H12" s="8" t="n">
        <v>216000</v>
      </c>
      <c r="I12" s="9" t="n">
        <v>45627</v>
      </c>
      <c r="J12" s="10" t="n">
        <v>609</v>
      </c>
      <c r="K12" s="11" t="s">
        <v>140</v>
      </c>
      <c r="L12" s="11" t="s">
        <v>141</v>
      </c>
      <c r="M12" s="11"/>
    </row>
    <row r="13" customFormat="false" ht="15" hidden="false" customHeight="false" outlineLevel="0" collapsed="false">
      <c r="A13" s="4" t="s">
        <v>142</v>
      </c>
      <c r="B13" s="4" t="s">
        <v>143</v>
      </c>
      <c r="C13" s="4" t="s">
        <v>12</v>
      </c>
      <c r="D13" s="4" t="s">
        <v>144</v>
      </c>
      <c r="E13" s="4" t="s">
        <v>145</v>
      </c>
      <c r="F13" s="8" t="n">
        <v>1</v>
      </c>
      <c r="G13" s="8" t="n">
        <v>2360000</v>
      </c>
      <c r="H13" s="8" t="n">
        <v>2360000</v>
      </c>
      <c r="I13" s="9" t="n">
        <v>46265</v>
      </c>
      <c r="J13" s="10" t="n">
        <v>1</v>
      </c>
      <c r="K13" s="11" t="s">
        <v>146</v>
      </c>
      <c r="L13" s="11" t="s">
        <v>113</v>
      </c>
      <c r="M13" s="11"/>
    </row>
    <row r="14" customFormat="false" ht="15" hidden="false" customHeight="false" outlineLevel="0" collapsed="false">
      <c r="A14" s="4" t="s">
        <v>147</v>
      </c>
      <c r="B14" s="4" t="s">
        <v>148</v>
      </c>
      <c r="C14" s="4" t="s">
        <v>12</v>
      </c>
      <c r="D14" s="4" t="s">
        <v>144</v>
      </c>
      <c r="E14" s="4" t="s">
        <v>149</v>
      </c>
      <c r="F14" s="8" t="n">
        <v>1</v>
      </c>
      <c r="G14" s="8" t="n">
        <v>1280000</v>
      </c>
      <c r="H14" s="8" t="n">
        <v>1280000</v>
      </c>
      <c r="I14" s="9" t="n">
        <v>46265</v>
      </c>
      <c r="J14" s="10" t="n">
        <v>1</v>
      </c>
      <c r="K14" s="11" t="s">
        <v>146</v>
      </c>
      <c r="L14" s="11" t="s">
        <v>150</v>
      </c>
      <c r="M14" s="11"/>
    </row>
    <row r="15" customFormat="false" ht="15" hidden="false" customHeight="false" outlineLevel="0" collapsed="false">
      <c r="A15" s="4" t="s">
        <v>151</v>
      </c>
      <c r="B15" s="4" t="s">
        <v>152</v>
      </c>
      <c r="C15" s="4" t="s">
        <v>153</v>
      </c>
      <c r="D15" s="4" t="s">
        <v>110</v>
      </c>
      <c r="E15" s="4" t="s">
        <v>154</v>
      </c>
      <c r="F15" s="8" t="n">
        <v>3600</v>
      </c>
      <c r="G15" s="8" t="n">
        <v>165</v>
      </c>
      <c r="H15" s="8" t="n">
        <v>594000</v>
      </c>
      <c r="I15" s="9" t="n">
        <v>46254</v>
      </c>
      <c r="J15" s="10" t="n">
        <v>12</v>
      </c>
      <c r="K15" s="11" t="s">
        <v>112</v>
      </c>
      <c r="L15" s="11" t="s">
        <v>150</v>
      </c>
      <c r="M15" s="11"/>
    </row>
    <row r="16" customFormat="false" ht="15" hidden="false" customHeight="false" outlineLevel="0" collapsed="false">
      <c r="A16" s="4" t="s">
        <v>155</v>
      </c>
      <c r="B16" s="4" t="s">
        <v>156</v>
      </c>
      <c r="C16" s="4" t="s">
        <v>157</v>
      </c>
      <c r="D16" s="4" t="s">
        <v>110</v>
      </c>
      <c r="E16" s="4" t="s">
        <v>158</v>
      </c>
      <c r="F16" s="8" t="n">
        <v>9200</v>
      </c>
      <c r="G16" s="8" t="n">
        <v>680</v>
      </c>
      <c r="H16" s="8" t="n">
        <v>6256000</v>
      </c>
      <c r="I16" s="9" t="n">
        <v>46263</v>
      </c>
      <c r="J16" s="10" t="n">
        <v>3</v>
      </c>
      <c r="K16" s="11" t="s">
        <v>112</v>
      </c>
      <c r="L16" s="11" t="s">
        <v>159</v>
      </c>
      <c r="M16" s="11"/>
    </row>
    <row r="17" customFormat="false" ht="15" hidden="false" customHeight="false" outlineLevel="0" collapsed="false">
      <c r="A17" s="4" t="s">
        <v>160</v>
      </c>
      <c r="B17" s="4" t="s">
        <v>161</v>
      </c>
      <c r="C17" s="4" t="s">
        <v>157</v>
      </c>
      <c r="D17" s="4" t="s">
        <v>110</v>
      </c>
      <c r="E17" s="4" t="s">
        <v>162</v>
      </c>
      <c r="F17" s="8" t="n">
        <v>3200</v>
      </c>
      <c r="G17" s="8" t="n">
        <v>1250</v>
      </c>
      <c r="H17" s="8" t="n">
        <v>4000000</v>
      </c>
      <c r="I17" s="9" t="n">
        <v>46071</v>
      </c>
      <c r="J17" s="10" t="n">
        <v>195</v>
      </c>
      <c r="K17" s="11" t="s">
        <v>120</v>
      </c>
      <c r="L17" s="11" t="s">
        <v>159</v>
      </c>
      <c r="M17" s="11"/>
    </row>
    <row r="18" customFormat="false" ht="15" hidden="false" customHeight="false" outlineLevel="0" collapsed="false">
      <c r="A18" s="4" t="s">
        <v>163</v>
      </c>
      <c r="B18" s="4" t="s">
        <v>164</v>
      </c>
      <c r="C18" s="4" t="s">
        <v>157</v>
      </c>
      <c r="D18" s="4" t="s">
        <v>110</v>
      </c>
      <c r="E18" s="4" t="s">
        <v>165</v>
      </c>
      <c r="F18" s="8" t="n">
        <v>1600</v>
      </c>
      <c r="G18" s="8" t="n">
        <v>920</v>
      </c>
      <c r="H18" s="8" t="n">
        <v>1472000</v>
      </c>
      <c r="I18" s="9" t="n">
        <v>45474</v>
      </c>
      <c r="J18" s="10" t="n">
        <v>792</v>
      </c>
      <c r="K18" s="11" t="s">
        <v>166</v>
      </c>
      <c r="L18" s="11" t="s">
        <v>126</v>
      </c>
      <c r="M18" s="11"/>
    </row>
    <row r="19" customFormat="false" ht="15" hidden="false" customHeight="false" outlineLevel="0" collapsed="false">
      <c r="A19" s="4" t="s">
        <v>167</v>
      </c>
      <c r="B19" s="4" t="s">
        <v>168</v>
      </c>
      <c r="C19" s="4" t="s">
        <v>169</v>
      </c>
      <c r="D19" s="4" t="s">
        <v>110</v>
      </c>
      <c r="E19" s="4" t="s">
        <v>170</v>
      </c>
      <c r="F19" s="8" t="n">
        <v>5000</v>
      </c>
      <c r="G19" s="8" t="n">
        <v>130</v>
      </c>
      <c r="H19" s="8" t="n">
        <v>650000</v>
      </c>
      <c r="I19" s="9" t="n">
        <v>46252</v>
      </c>
      <c r="J19" s="10" t="n">
        <v>14</v>
      </c>
      <c r="K19" s="11" t="s">
        <v>171</v>
      </c>
      <c r="L19" s="11" t="s">
        <v>121</v>
      </c>
      <c r="M19" s="11"/>
    </row>
    <row r="20" customFormat="false" ht="15" hidden="false" customHeight="false" outlineLevel="0" collapsed="false">
      <c r="A20" s="4" t="s">
        <v>172</v>
      </c>
      <c r="B20" s="4" t="s">
        <v>173</v>
      </c>
      <c r="C20" s="4" t="s">
        <v>174</v>
      </c>
      <c r="D20" s="4" t="s">
        <v>110</v>
      </c>
      <c r="E20" s="4" t="s">
        <v>175</v>
      </c>
      <c r="F20" s="8" t="n">
        <v>1800</v>
      </c>
      <c r="G20" s="8" t="n">
        <v>680</v>
      </c>
      <c r="H20" s="8" t="n">
        <v>1224000</v>
      </c>
      <c r="I20" s="9" t="n">
        <v>46264</v>
      </c>
      <c r="J20" s="10" t="n">
        <v>2</v>
      </c>
      <c r="K20" s="11" t="s">
        <v>176</v>
      </c>
      <c r="L20" s="11" t="s">
        <v>159</v>
      </c>
      <c r="M20" s="11"/>
    </row>
    <row r="21" customFormat="false" ht="15" hidden="false" customHeight="false" outlineLevel="0" collapsed="false">
      <c r="A21" s="4" t="s">
        <v>177</v>
      </c>
      <c r="B21" s="4" t="s">
        <v>178</v>
      </c>
      <c r="C21" s="4" t="s">
        <v>179</v>
      </c>
      <c r="D21" s="4" t="s">
        <v>110</v>
      </c>
      <c r="E21" s="4" t="s">
        <v>180</v>
      </c>
      <c r="F21" s="8" t="n">
        <v>1500</v>
      </c>
      <c r="G21" s="8" t="n">
        <v>680</v>
      </c>
      <c r="H21" s="8" t="n">
        <v>1020000</v>
      </c>
      <c r="I21" s="9" t="n">
        <v>46259</v>
      </c>
      <c r="J21" s="10" t="n">
        <v>7</v>
      </c>
      <c r="K21" s="11" t="s">
        <v>171</v>
      </c>
      <c r="L21" s="11" t="s">
        <v>181</v>
      </c>
      <c r="M21" s="11"/>
    </row>
    <row r="22" customFormat="false" ht="15" hidden="false" customHeight="false" outlineLevel="0" collapsed="false">
      <c r="A22" s="4" t="s">
        <v>182</v>
      </c>
      <c r="B22" s="4" t="s">
        <v>183</v>
      </c>
      <c r="C22" s="4" t="s">
        <v>109</v>
      </c>
      <c r="D22" s="4" t="s">
        <v>110</v>
      </c>
      <c r="E22" s="4" t="s">
        <v>184</v>
      </c>
      <c r="F22" s="8" t="n">
        <v>-300</v>
      </c>
      <c r="G22" s="8" t="n">
        <v>86</v>
      </c>
      <c r="H22" s="8" t="n">
        <v>-25800</v>
      </c>
      <c r="I22" s="9" t="n">
        <v>46265</v>
      </c>
      <c r="J22" s="10" t="n">
        <v>1</v>
      </c>
      <c r="K22" s="11" t="s">
        <v>185</v>
      </c>
      <c r="L22" s="11" t="s">
        <v>113</v>
      </c>
      <c r="M22" s="11"/>
    </row>
    <row r="23" customFormat="false" ht="15" hidden="false" customHeight="false" outlineLevel="0" collapsed="false">
      <c r="A23" s="4" t="s">
        <v>186</v>
      </c>
      <c r="B23" s="4" t="s">
        <v>187</v>
      </c>
      <c r="C23" s="4" t="s">
        <v>188</v>
      </c>
      <c r="D23" s="4" t="s">
        <v>189</v>
      </c>
      <c r="E23" s="4" t="s">
        <v>190</v>
      </c>
      <c r="F23" s="8" t="n">
        <v>2800</v>
      </c>
      <c r="G23" s="8" t="n">
        <v>6</v>
      </c>
      <c r="H23" s="8" t="n">
        <v>16800</v>
      </c>
      <c r="I23" s="9" t="n">
        <v>46246</v>
      </c>
      <c r="J23" s="10" t="n">
        <v>20</v>
      </c>
      <c r="K23" s="11" t="s">
        <v>191</v>
      </c>
      <c r="L23" s="11" t="s">
        <v>192</v>
      </c>
      <c r="M23" s="11"/>
    </row>
  </sheetData>
  <mergeCells count="2">
    <mergeCell ref="A1:M1"/>
    <mergeCell ref="A2:M2"/>
  </mergeCells>
  <conditionalFormatting sqref="F6:F23">
    <cfRule type="cellIs" priority="2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30"/>
    <col collapsed="false" customWidth="true" hidden="false" outlineLevel="0" max="12" min="12" style="0" width="15"/>
    <col collapsed="false" customWidth="true" hidden="false" outlineLevel="0" max="13" min="13" style="0" width="42"/>
  </cols>
  <sheetData>
    <row r="1" customFormat="false" ht="30" hidden="false" customHeight="true" outlineLevel="0" collapsed="false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8" hidden="false" customHeight="true" outlineLevel="0" collapsed="false">
      <c r="A2" s="2" t="s">
        <v>194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customFormat="false" ht="34" hidden="false" customHeight="true" outlineLevel="0" collapsed="false">
      <c r="A5" s="3" t="s">
        <v>94</v>
      </c>
      <c r="B5" s="3" t="s">
        <v>95</v>
      </c>
      <c r="C5" s="3" t="s">
        <v>96</v>
      </c>
      <c r="D5" s="3" t="s">
        <v>195</v>
      </c>
      <c r="E5" s="3" t="s">
        <v>196</v>
      </c>
      <c r="F5" s="3" t="s">
        <v>197</v>
      </c>
      <c r="G5" s="3" t="s">
        <v>59</v>
      </c>
      <c r="H5" s="3" t="s">
        <v>198</v>
      </c>
      <c r="I5" s="3" t="s">
        <v>199</v>
      </c>
      <c r="J5" s="3" t="s">
        <v>200</v>
      </c>
      <c r="K5" s="3" t="s">
        <v>201</v>
      </c>
      <c r="L5" s="3" t="s">
        <v>202</v>
      </c>
      <c r="M5" s="3" t="s">
        <v>203</v>
      </c>
    </row>
    <row r="6" customFormat="false" ht="15" hidden="false" customHeight="false" outlineLevel="0" collapsed="false">
      <c r="A6" s="4" t="s">
        <v>107</v>
      </c>
      <c r="B6" s="4" t="s">
        <v>108</v>
      </c>
      <c r="C6" s="4" t="s">
        <v>109</v>
      </c>
      <c r="D6" s="4" t="s">
        <v>110</v>
      </c>
      <c r="E6" s="11"/>
      <c r="F6" s="11"/>
      <c r="G6" s="11" t="s">
        <v>204</v>
      </c>
      <c r="H6" s="11" t="s">
        <v>111</v>
      </c>
      <c r="I6" s="11" t="s">
        <v>112</v>
      </c>
      <c r="J6" s="11" t="s">
        <v>205</v>
      </c>
      <c r="K6" s="11"/>
      <c r="L6" s="11"/>
      <c r="M6" s="11"/>
    </row>
    <row r="7" customFormat="false" ht="15" hidden="false" customHeight="false" outlineLevel="0" collapsed="false">
      <c r="A7" s="4" t="s">
        <v>114</v>
      </c>
      <c r="B7" s="4" t="s">
        <v>115</v>
      </c>
      <c r="C7" s="4" t="s">
        <v>109</v>
      </c>
      <c r="D7" s="4" t="s">
        <v>110</v>
      </c>
      <c r="E7" s="11"/>
      <c r="F7" s="11"/>
      <c r="G7" s="11" t="s">
        <v>204</v>
      </c>
      <c r="H7" s="11" t="s">
        <v>116</v>
      </c>
      <c r="I7" s="11" t="s">
        <v>112</v>
      </c>
      <c r="J7" s="11" t="s">
        <v>205</v>
      </c>
      <c r="K7" s="11"/>
      <c r="L7" s="11"/>
      <c r="M7" s="11"/>
    </row>
    <row r="8" customFormat="false" ht="15" hidden="false" customHeight="false" outlineLevel="0" collapsed="false">
      <c r="A8" s="4" t="s">
        <v>117</v>
      </c>
      <c r="B8" s="4" t="s">
        <v>118</v>
      </c>
      <c r="C8" s="4" t="s">
        <v>109</v>
      </c>
      <c r="D8" s="4" t="s">
        <v>110</v>
      </c>
      <c r="E8" s="11"/>
      <c r="F8" s="11"/>
      <c r="G8" s="11" t="s">
        <v>204</v>
      </c>
      <c r="H8" s="11" t="s">
        <v>119</v>
      </c>
      <c r="I8" s="11" t="s">
        <v>120</v>
      </c>
      <c r="J8" s="11" t="s">
        <v>205</v>
      </c>
      <c r="K8" s="11"/>
      <c r="L8" s="11"/>
      <c r="M8" s="11"/>
    </row>
    <row r="9" customFormat="false" ht="15" hidden="false" customHeight="false" outlineLevel="0" collapsed="false">
      <c r="A9" s="4" t="s">
        <v>122</v>
      </c>
      <c r="B9" s="4" t="s">
        <v>123</v>
      </c>
      <c r="C9" s="4" t="s">
        <v>109</v>
      </c>
      <c r="D9" s="4" t="s">
        <v>110</v>
      </c>
      <c r="E9" s="11"/>
      <c r="F9" s="11"/>
      <c r="G9" s="11" t="s">
        <v>204</v>
      </c>
      <c r="H9" s="11" t="s">
        <v>124</v>
      </c>
      <c r="I9" s="11" t="s">
        <v>125</v>
      </c>
      <c r="J9" s="11" t="s">
        <v>205</v>
      </c>
      <c r="K9" s="11"/>
      <c r="L9" s="11"/>
      <c r="M9" s="11"/>
    </row>
    <row r="10" customFormat="false" ht="15" hidden="false" customHeight="false" outlineLevel="0" collapsed="false">
      <c r="A10" s="4" t="s">
        <v>127</v>
      </c>
      <c r="B10" s="4" t="s">
        <v>128</v>
      </c>
      <c r="C10" s="4" t="s">
        <v>129</v>
      </c>
      <c r="D10" s="4" t="s">
        <v>110</v>
      </c>
      <c r="E10" s="11"/>
      <c r="F10" s="11"/>
      <c r="G10" s="11" t="s">
        <v>204</v>
      </c>
      <c r="H10" s="11" t="s">
        <v>130</v>
      </c>
      <c r="I10" s="11" t="s">
        <v>112</v>
      </c>
      <c r="J10" s="11" t="s">
        <v>205</v>
      </c>
      <c r="K10" s="11"/>
      <c r="L10" s="11"/>
      <c r="M10" s="11"/>
    </row>
    <row r="11" customFormat="false" ht="15" hidden="false" customHeight="false" outlineLevel="0" collapsed="false">
      <c r="A11" s="4" t="s">
        <v>131</v>
      </c>
      <c r="B11" s="4" t="s">
        <v>132</v>
      </c>
      <c r="C11" s="4" t="s">
        <v>133</v>
      </c>
      <c r="D11" s="4" t="s">
        <v>110</v>
      </c>
      <c r="E11" s="11"/>
      <c r="F11" s="11"/>
      <c r="G11" s="11" t="s">
        <v>206</v>
      </c>
      <c r="H11" s="11" t="s">
        <v>134</v>
      </c>
      <c r="I11" s="11" t="s">
        <v>112</v>
      </c>
      <c r="J11" s="11" t="s">
        <v>205</v>
      </c>
      <c r="K11" s="11"/>
      <c r="L11" s="11"/>
      <c r="M11" s="11"/>
    </row>
    <row r="12" customFormat="false" ht="15" hidden="false" customHeight="false" outlineLevel="0" collapsed="false">
      <c r="A12" s="4" t="s">
        <v>136</v>
      </c>
      <c r="B12" s="4" t="s">
        <v>137</v>
      </c>
      <c r="C12" s="4" t="s">
        <v>138</v>
      </c>
      <c r="D12" s="4" t="s">
        <v>110</v>
      </c>
      <c r="E12" s="11"/>
      <c r="F12" s="11"/>
      <c r="G12" s="11" t="s">
        <v>207</v>
      </c>
      <c r="H12" s="11" t="s">
        <v>139</v>
      </c>
      <c r="I12" s="11" t="s">
        <v>140</v>
      </c>
      <c r="J12" s="11" t="s">
        <v>205</v>
      </c>
      <c r="K12" s="11"/>
      <c r="L12" s="11"/>
      <c r="M12" s="11"/>
    </row>
    <row r="13" customFormat="false" ht="15" hidden="false" customHeight="false" outlineLevel="0" collapsed="false">
      <c r="A13" s="4" t="s">
        <v>142</v>
      </c>
      <c r="B13" s="4" t="s">
        <v>143</v>
      </c>
      <c r="C13" s="4" t="s">
        <v>12</v>
      </c>
      <c r="D13" s="4" t="s">
        <v>144</v>
      </c>
      <c r="E13" s="11"/>
      <c r="F13" s="11"/>
      <c r="G13" s="11" t="s">
        <v>145</v>
      </c>
      <c r="H13" s="11" t="s">
        <v>145</v>
      </c>
      <c r="I13" s="11" t="s">
        <v>146</v>
      </c>
      <c r="J13" s="11" t="s">
        <v>205</v>
      </c>
      <c r="K13" s="11"/>
      <c r="L13" s="11"/>
      <c r="M13" s="11"/>
    </row>
    <row r="14" customFormat="false" ht="15" hidden="false" customHeight="false" outlineLevel="0" collapsed="false">
      <c r="A14" s="4" t="s">
        <v>147</v>
      </c>
      <c r="B14" s="4" t="s">
        <v>148</v>
      </c>
      <c r="C14" s="4" t="s">
        <v>12</v>
      </c>
      <c r="D14" s="4" t="s">
        <v>144</v>
      </c>
      <c r="E14" s="11"/>
      <c r="F14" s="11"/>
      <c r="G14" s="11" t="s">
        <v>149</v>
      </c>
      <c r="H14" s="11" t="s">
        <v>149</v>
      </c>
      <c r="I14" s="11" t="s">
        <v>146</v>
      </c>
      <c r="J14" s="11" t="s">
        <v>205</v>
      </c>
      <c r="K14" s="11"/>
      <c r="L14" s="11"/>
      <c r="M14" s="11"/>
    </row>
    <row r="15" customFormat="false" ht="15" hidden="false" customHeight="false" outlineLevel="0" collapsed="false">
      <c r="A15" s="4" t="s">
        <v>151</v>
      </c>
      <c r="B15" s="4" t="s">
        <v>152</v>
      </c>
      <c r="C15" s="4" t="s">
        <v>153</v>
      </c>
      <c r="D15" s="4" t="s">
        <v>110</v>
      </c>
      <c r="E15" s="11"/>
      <c r="F15" s="11"/>
      <c r="G15" s="11" t="s">
        <v>154</v>
      </c>
      <c r="H15" s="11" t="s">
        <v>154</v>
      </c>
      <c r="I15" s="11" t="s">
        <v>112</v>
      </c>
      <c r="J15" s="11" t="s">
        <v>205</v>
      </c>
      <c r="K15" s="11"/>
      <c r="L15" s="11"/>
      <c r="M15" s="11"/>
    </row>
    <row r="16" customFormat="false" ht="15" hidden="false" customHeight="false" outlineLevel="0" collapsed="false">
      <c r="A16" s="4" t="s">
        <v>155</v>
      </c>
      <c r="B16" s="4" t="s">
        <v>156</v>
      </c>
      <c r="C16" s="4" t="s">
        <v>157</v>
      </c>
      <c r="D16" s="4" t="s">
        <v>110</v>
      </c>
      <c r="E16" s="11"/>
      <c r="F16" s="11"/>
      <c r="G16" s="11" t="s">
        <v>208</v>
      </c>
      <c r="H16" s="11" t="s">
        <v>158</v>
      </c>
      <c r="I16" s="11" t="s">
        <v>112</v>
      </c>
      <c r="J16" s="11" t="s">
        <v>205</v>
      </c>
      <c r="K16" s="11"/>
      <c r="L16" s="11"/>
      <c r="M16" s="11"/>
    </row>
    <row r="17" customFormat="false" ht="15" hidden="false" customHeight="false" outlineLevel="0" collapsed="false">
      <c r="A17" s="4" t="s">
        <v>160</v>
      </c>
      <c r="B17" s="4" t="s">
        <v>161</v>
      </c>
      <c r="C17" s="4" t="s">
        <v>157</v>
      </c>
      <c r="D17" s="4" t="s">
        <v>110</v>
      </c>
      <c r="E17" s="11"/>
      <c r="F17" s="11"/>
      <c r="G17" s="11" t="s">
        <v>208</v>
      </c>
      <c r="H17" s="11" t="s">
        <v>162</v>
      </c>
      <c r="I17" s="11" t="s">
        <v>120</v>
      </c>
      <c r="J17" s="11" t="s">
        <v>205</v>
      </c>
      <c r="K17" s="11"/>
      <c r="L17" s="11"/>
      <c r="M17" s="11"/>
    </row>
    <row r="18" customFormat="false" ht="15" hidden="false" customHeight="false" outlineLevel="0" collapsed="false">
      <c r="A18" s="4" t="s">
        <v>163</v>
      </c>
      <c r="B18" s="4" t="s">
        <v>164</v>
      </c>
      <c r="C18" s="4" t="s">
        <v>157</v>
      </c>
      <c r="D18" s="4" t="s">
        <v>110</v>
      </c>
      <c r="E18" s="11"/>
      <c r="F18" s="11"/>
      <c r="G18" s="11" t="s">
        <v>208</v>
      </c>
      <c r="H18" s="11" t="s">
        <v>165</v>
      </c>
      <c r="I18" s="11" t="s">
        <v>166</v>
      </c>
      <c r="J18" s="11" t="s">
        <v>205</v>
      </c>
      <c r="K18" s="11"/>
      <c r="L18" s="11"/>
      <c r="M18" s="11"/>
    </row>
    <row r="19" customFormat="false" ht="15" hidden="false" customHeight="false" outlineLevel="0" collapsed="false">
      <c r="A19" s="4" t="s">
        <v>167</v>
      </c>
      <c r="B19" s="4" t="s">
        <v>168</v>
      </c>
      <c r="C19" s="4" t="s">
        <v>169</v>
      </c>
      <c r="D19" s="4" t="s">
        <v>110</v>
      </c>
      <c r="E19" s="11"/>
      <c r="F19" s="11"/>
      <c r="G19" s="11" t="s">
        <v>170</v>
      </c>
      <c r="H19" s="11" t="s">
        <v>170</v>
      </c>
      <c r="I19" s="11" t="s">
        <v>171</v>
      </c>
      <c r="J19" s="11" t="s">
        <v>205</v>
      </c>
      <c r="K19" s="11"/>
      <c r="L19" s="11"/>
      <c r="M19" s="11"/>
    </row>
    <row r="20" customFormat="false" ht="15" hidden="false" customHeight="false" outlineLevel="0" collapsed="false">
      <c r="A20" s="4" t="s">
        <v>172</v>
      </c>
      <c r="B20" s="4" t="s">
        <v>173</v>
      </c>
      <c r="C20" s="4" t="s">
        <v>174</v>
      </c>
      <c r="D20" s="4" t="s">
        <v>110</v>
      </c>
      <c r="E20" s="11"/>
      <c r="F20" s="11"/>
      <c r="G20" s="11" t="s">
        <v>175</v>
      </c>
      <c r="H20" s="11" t="s">
        <v>175</v>
      </c>
      <c r="I20" s="11" t="s">
        <v>176</v>
      </c>
      <c r="J20" s="11" t="s">
        <v>205</v>
      </c>
      <c r="K20" s="11"/>
      <c r="L20" s="11"/>
      <c r="M20" s="11"/>
    </row>
    <row r="21" customFormat="false" ht="15" hidden="false" customHeight="false" outlineLevel="0" collapsed="false">
      <c r="A21" s="4" t="s">
        <v>177</v>
      </c>
      <c r="B21" s="4" t="s">
        <v>178</v>
      </c>
      <c r="C21" s="4" t="s">
        <v>179</v>
      </c>
      <c r="D21" s="4" t="s">
        <v>110</v>
      </c>
      <c r="E21" s="11"/>
      <c r="F21" s="11"/>
      <c r="G21" s="11" t="s">
        <v>180</v>
      </c>
      <c r="H21" s="11" t="s">
        <v>180</v>
      </c>
      <c r="I21" s="11" t="s">
        <v>171</v>
      </c>
      <c r="J21" s="11" t="s">
        <v>205</v>
      </c>
      <c r="K21" s="11"/>
      <c r="L21" s="11"/>
      <c r="M21" s="11"/>
    </row>
    <row r="22" customFormat="false" ht="15" hidden="false" customHeight="false" outlineLevel="0" collapsed="false">
      <c r="A22" s="4" t="s">
        <v>182</v>
      </c>
      <c r="B22" s="4" t="s">
        <v>183</v>
      </c>
      <c r="C22" s="4" t="s">
        <v>109</v>
      </c>
      <c r="D22" s="4" t="s">
        <v>110</v>
      </c>
      <c r="E22" s="11"/>
      <c r="F22" s="11"/>
      <c r="G22" s="11" t="s">
        <v>209</v>
      </c>
      <c r="H22" s="11" t="s">
        <v>184</v>
      </c>
      <c r="I22" s="11" t="s">
        <v>185</v>
      </c>
      <c r="J22" s="11" t="s">
        <v>205</v>
      </c>
      <c r="K22" s="11"/>
      <c r="L22" s="11"/>
      <c r="M22" s="11"/>
    </row>
    <row r="23" customFormat="false" ht="15" hidden="false" customHeight="false" outlineLevel="0" collapsed="false">
      <c r="A23" s="4" t="s">
        <v>186</v>
      </c>
      <c r="B23" s="4" t="s">
        <v>187</v>
      </c>
      <c r="C23" s="4" t="s">
        <v>188</v>
      </c>
      <c r="D23" s="4" t="s">
        <v>189</v>
      </c>
      <c r="E23" s="11"/>
      <c r="F23" s="11"/>
      <c r="G23" s="11" t="s">
        <v>190</v>
      </c>
      <c r="H23" s="11" t="s">
        <v>190</v>
      </c>
      <c r="I23" s="11" t="s">
        <v>191</v>
      </c>
      <c r="J23" s="11" t="s">
        <v>205</v>
      </c>
      <c r="K23" s="11"/>
      <c r="L23" s="11"/>
      <c r="M23" s="11"/>
    </row>
  </sheetData>
  <mergeCells count="2">
    <mergeCell ref="A1:M1"/>
    <mergeCell ref="A2: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8" min="3" style="0" width="14"/>
    <col collapsed="false" customWidth="true" hidden="false" outlineLevel="0" max="9" min="9" style="0" width="11"/>
    <col collapsed="false" customWidth="true" hidden="false" outlineLevel="0" max="10" min="10" style="0" width="20"/>
    <col collapsed="false" customWidth="true" hidden="false" outlineLevel="0" max="11" min="11" style="0" width="38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" t="s">
        <v>210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8" hidden="false" customHeight="true" outlineLevel="0" collapsed="false">
      <c r="A2" s="2" t="s">
        <v>211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customFormat="false" ht="34" hidden="false" customHeight="true" outlineLevel="0" collapsed="false">
      <c r="A5" s="3" t="s">
        <v>212</v>
      </c>
      <c r="B5" s="3" t="s">
        <v>213</v>
      </c>
      <c r="C5" s="3" t="s">
        <v>214</v>
      </c>
      <c r="D5" s="3" t="s">
        <v>215</v>
      </c>
      <c r="E5" s="3" t="s">
        <v>216</v>
      </c>
      <c r="F5" s="3" t="s">
        <v>217</v>
      </c>
      <c r="G5" s="3" t="s">
        <v>218</v>
      </c>
      <c r="H5" s="3" t="s">
        <v>219</v>
      </c>
      <c r="I5" s="3" t="s">
        <v>220</v>
      </c>
      <c r="J5" s="3" t="s">
        <v>221</v>
      </c>
      <c r="K5" s="3" t="s">
        <v>222</v>
      </c>
      <c r="L5" s="3" t="s">
        <v>223</v>
      </c>
    </row>
    <row r="6" customFormat="false" ht="15" hidden="false" customHeight="false" outlineLevel="0" collapsed="false">
      <c r="A6" s="4" t="s">
        <v>224</v>
      </c>
      <c r="B6" s="4" t="s">
        <v>107</v>
      </c>
      <c r="C6" s="8" t="n">
        <v>20000</v>
      </c>
      <c r="D6" s="8" t="n">
        <v>86</v>
      </c>
      <c r="E6" s="8" t="n">
        <v>18000</v>
      </c>
      <c r="F6" s="8" t="n">
        <v>86</v>
      </c>
      <c r="G6" s="8" t="n">
        <v>18000</v>
      </c>
      <c r="H6" s="8" t="n">
        <v>86</v>
      </c>
      <c r="I6" s="12" t="n">
        <v>0.13</v>
      </c>
      <c r="J6" s="11" t="s">
        <v>225</v>
      </c>
      <c r="K6" s="11"/>
      <c r="L6" s="11"/>
    </row>
    <row r="7" customFormat="false" ht="15" hidden="false" customHeight="false" outlineLevel="0" collapsed="false">
      <c r="A7" s="4" t="s">
        <v>226</v>
      </c>
      <c r="B7" s="4" t="s">
        <v>122</v>
      </c>
      <c r="C7" s="8" t="n">
        <v>5000</v>
      </c>
      <c r="D7" s="8" t="n">
        <v>208</v>
      </c>
      <c r="E7" s="8" t="n">
        <v>4200</v>
      </c>
      <c r="F7" s="8" t="n">
        <v>210</v>
      </c>
      <c r="G7" s="8" t="n">
        <v>5000</v>
      </c>
      <c r="H7" s="8" t="n">
        <v>208</v>
      </c>
      <c r="I7" s="12" t="n">
        <v>0.13</v>
      </c>
      <c r="J7" s="11" t="s">
        <v>227</v>
      </c>
      <c r="K7" s="11" t="s">
        <v>228</v>
      </c>
      <c r="L7" s="11"/>
    </row>
    <row r="8" customFormat="false" ht="15" hidden="false" customHeight="false" outlineLevel="0" collapsed="false">
      <c r="A8" s="4" t="s">
        <v>229</v>
      </c>
      <c r="B8" s="4" t="s">
        <v>117</v>
      </c>
      <c r="C8" s="8" t="n">
        <v>8000</v>
      </c>
      <c r="D8" s="8" t="n">
        <v>118</v>
      </c>
      <c r="E8" s="8" t="n">
        <v>7200</v>
      </c>
      <c r="F8" s="8" t="n">
        <v>118</v>
      </c>
      <c r="G8" s="8" t="n">
        <v>0</v>
      </c>
      <c r="H8" s="8" t="n">
        <v>0</v>
      </c>
      <c r="I8" s="12" t="n">
        <v>0.13</v>
      </c>
      <c r="J8" s="11" t="s">
        <v>230</v>
      </c>
      <c r="K8" s="11" t="s">
        <v>231</v>
      </c>
      <c r="L8" s="11"/>
    </row>
    <row r="9" customFormat="false" ht="15" hidden="false" customHeight="false" outlineLevel="0" collapsed="false">
      <c r="A9" s="4" t="s">
        <v>232</v>
      </c>
      <c r="B9" s="4"/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12" t="n">
        <v>0</v>
      </c>
      <c r="J9" s="11"/>
      <c r="K9" s="11"/>
      <c r="L9" s="11"/>
    </row>
    <row r="10" customFormat="false" ht="15" hidden="false" customHeight="false" outlineLevel="0" collapsed="false">
      <c r="A10" s="4" t="s">
        <v>233</v>
      </c>
      <c r="B10" s="4"/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12" t="n">
        <v>0</v>
      </c>
      <c r="J10" s="11"/>
      <c r="K10" s="11"/>
      <c r="L10" s="11"/>
    </row>
    <row r="11" customFormat="false" ht="15" hidden="false" customHeight="false" outlineLevel="0" collapsed="false">
      <c r="A11" s="4" t="s">
        <v>234</v>
      </c>
      <c r="B11" s="4"/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12" t="n">
        <v>0</v>
      </c>
      <c r="J11" s="11"/>
      <c r="K11" s="11"/>
      <c r="L11" s="11"/>
    </row>
    <row r="12" customFormat="false" ht="15" hidden="false" customHeight="false" outlineLevel="0" collapsed="false">
      <c r="A12" s="4" t="s">
        <v>235</v>
      </c>
      <c r="B12" s="4"/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12" t="n">
        <v>0</v>
      </c>
      <c r="J12" s="11"/>
      <c r="K12" s="11"/>
      <c r="L12" s="11"/>
    </row>
    <row r="13" customFormat="false" ht="15" hidden="false" customHeight="false" outlineLevel="0" collapsed="false">
      <c r="A13" s="4" t="s">
        <v>236</v>
      </c>
      <c r="B13" s="4"/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12" t="n">
        <v>0</v>
      </c>
      <c r="J13" s="11"/>
      <c r="K13" s="11"/>
      <c r="L13" s="11"/>
    </row>
    <row r="14" customFormat="false" ht="15" hidden="false" customHeight="false" outlineLevel="0" collapsed="false">
      <c r="A14" s="4" t="s">
        <v>237</v>
      </c>
      <c r="B14" s="4"/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12" t="n">
        <v>0</v>
      </c>
      <c r="J14" s="11"/>
      <c r="K14" s="11"/>
      <c r="L14" s="11"/>
    </row>
    <row r="15" customFormat="false" ht="15" hidden="false" customHeight="false" outlineLevel="0" collapsed="false">
      <c r="A15" s="4" t="s">
        <v>238</v>
      </c>
      <c r="B15" s="4"/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12" t="n">
        <v>0</v>
      </c>
      <c r="J15" s="11"/>
      <c r="K15" s="11"/>
      <c r="L15" s="11"/>
    </row>
    <row r="16" customFormat="false" ht="15" hidden="false" customHeight="false" outlineLevel="0" collapsed="false">
      <c r="A16" s="4" t="s">
        <v>239</v>
      </c>
      <c r="B16" s="4"/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12" t="n">
        <v>0</v>
      </c>
      <c r="J16" s="11"/>
      <c r="K16" s="11"/>
      <c r="L16" s="11"/>
    </row>
    <row r="17" customFormat="false" ht="15" hidden="false" customHeight="false" outlineLevel="0" collapsed="false">
      <c r="A17" s="4" t="s">
        <v>240</v>
      </c>
      <c r="B17" s="4"/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12" t="n">
        <v>0</v>
      </c>
      <c r="J17" s="11"/>
      <c r="K17" s="11"/>
      <c r="L17" s="11"/>
    </row>
    <row r="18" customFormat="false" ht="15" hidden="false" customHeight="false" outlineLevel="0" collapsed="false">
      <c r="A18" s="4" t="s">
        <v>241</v>
      </c>
      <c r="B18" s="4"/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12" t="n">
        <v>0</v>
      </c>
      <c r="J18" s="11"/>
      <c r="K18" s="11"/>
      <c r="L18" s="11"/>
    </row>
    <row r="19" customFormat="false" ht="15" hidden="false" customHeight="false" outlineLevel="0" collapsed="false">
      <c r="A19" s="4" t="s">
        <v>242</v>
      </c>
      <c r="B19" s="4"/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12" t="n">
        <v>0</v>
      </c>
      <c r="J19" s="11"/>
      <c r="K19" s="11"/>
      <c r="L19" s="11"/>
    </row>
    <row r="20" customFormat="false" ht="15" hidden="false" customHeight="false" outlineLevel="0" collapsed="false">
      <c r="A20" s="4" t="s">
        <v>243</v>
      </c>
      <c r="B20" s="4"/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12" t="n">
        <v>0</v>
      </c>
      <c r="J20" s="11"/>
      <c r="K20" s="11"/>
      <c r="L20" s="11"/>
    </row>
    <row r="21" customFormat="false" ht="15" hidden="false" customHeight="false" outlineLevel="0" collapsed="false">
      <c r="A21" s="4" t="s">
        <v>244</v>
      </c>
      <c r="B21" s="4"/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12" t="n">
        <v>0</v>
      </c>
      <c r="J21" s="11"/>
      <c r="K21" s="11"/>
      <c r="L21" s="11"/>
    </row>
    <row r="22" customFormat="false" ht="15" hidden="false" customHeight="false" outlineLevel="0" collapsed="false">
      <c r="A22" s="4" t="s">
        <v>245</v>
      </c>
      <c r="B22" s="4"/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12" t="n">
        <v>0</v>
      </c>
      <c r="J22" s="11"/>
      <c r="K22" s="11"/>
      <c r="L22" s="11"/>
    </row>
    <row r="23" customFormat="false" ht="15" hidden="false" customHeight="false" outlineLevel="0" collapsed="false">
      <c r="A23" s="4" t="s">
        <v>246</v>
      </c>
      <c r="B23" s="4"/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12" t="n">
        <v>0</v>
      </c>
      <c r="J23" s="11"/>
      <c r="K23" s="11"/>
      <c r="L23" s="11"/>
    </row>
    <row r="24" customFormat="false" ht="15" hidden="false" customHeight="false" outlineLevel="0" collapsed="false">
      <c r="A24" s="4" t="s">
        <v>247</v>
      </c>
      <c r="B24" s="4"/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12" t="n">
        <v>0</v>
      </c>
      <c r="J24" s="11"/>
      <c r="K24" s="11"/>
      <c r="L24" s="11"/>
    </row>
    <row r="25" customFormat="false" ht="15" hidden="false" customHeight="false" outlineLevel="0" collapsed="false">
      <c r="A25" s="4" t="s">
        <v>248</v>
      </c>
      <c r="B25" s="4"/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12" t="n">
        <v>0</v>
      </c>
      <c r="J25" s="11"/>
      <c r="K25" s="11"/>
      <c r="L25" s="11"/>
    </row>
    <row r="26" customFormat="false" ht="15" hidden="false" customHeight="false" outlineLevel="0" collapsed="false">
      <c r="A26" s="4" t="s">
        <v>249</v>
      </c>
      <c r="B26" s="4"/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12" t="n">
        <v>0</v>
      </c>
      <c r="J26" s="11"/>
      <c r="K26" s="11"/>
      <c r="L26" s="11"/>
    </row>
    <row r="27" customFormat="false" ht="15" hidden="false" customHeight="false" outlineLevel="0" collapsed="false">
      <c r="A27" s="4" t="s">
        <v>250</v>
      </c>
      <c r="B27" s="4"/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12" t="n">
        <v>0</v>
      </c>
      <c r="J27" s="11"/>
      <c r="K27" s="11"/>
      <c r="L27" s="11"/>
    </row>
    <row r="28" customFormat="false" ht="15" hidden="false" customHeight="false" outlineLevel="0" collapsed="false">
      <c r="A28" s="4" t="s">
        <v>251</v>
      </c>
      <c r="B28" s="4"/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12" t="n">
        <v>0</v>
      </c>
      <c r="J28" s="11"/>
      <c r="K28" s="11"/>
      <c r="L28" s="11"/>
    </row>
    <row r="29" customFormat="false" ht="15" hidden="false" customHeight="false" outlineLevel="0" collapsed="false">
      <c r="A29" s="4" t="s">
        <v>252</v>
      </c>
      <c r="B29" s="4"/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12" t="n">
        <v>0</v>
      </c>
      <c r="J29" s="11"/>
      <c r="K29" s="11"/>
      <c r="L29" s="11"/>
    </row>
    <row r="30" customFormat="false" ht="15" hidden="false" customHeight="false" outlineLevel="0" collapsed="false">
      <c r="A30" s="4" t="s">
        <v>253</v>
      </c>
      <c r="B30" s="4"/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12" t="n">
        <v>0</v>
      </c>
      <c r="J30" s="11"/>
      <c r="K30" s="11"/>
      <c r="L30" s="11"/>
    </row>
    <row r="31" customFormat="false" ht="15" hidden="false" customHeight="false" outlineLevel="0" collapsed="false">
      <c r="A31" s="4" t="s">
        <v>254</v>
      </c>
      <c r="B31" s="4"/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12" t="n">
        <v>0</v>
      </c>
      <c r="J31" s="11"/>
      <c r="K31" s="11"/>
      <c r="L31" s="11"/>
    </row>
    <row r="32" customFormat="false" ht="15" hidden="false" customHeight="false" outlineLevel="0" collapsed="false">
      <c r="A32" s="4" t="s">
        <v>255</v>
      </c>
      <c r="B32" s="4"/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12" t="n">
        <v>0</v>
      </c>
      <c r="J32" s="11"/>
      <c r="K32" s="11"/>
      <c r="L32" s="11"/>
    </row>
    <row r="33" customFormat="false" ht="15" hidden="false" customHeight="false" outlineLevel="0" collapsed="false">
      <c r="A33" s="4" t="s">
        <v>256</v>
      </c>
      <c r="B33" s="4"/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12" t="n">
        <v>0</v>
      </c>
      <c r="J33" s="11"/>
      <c r="K33" s="11"/>
      <c r="L33" s="11"/>
    </row>
    <row r="34" customFormat="false" ht="15" hidden="false" customHeight="false" outlineLevel="0" collapsed="false">
      <c r="A34" s="4" t="s">
        <v>257</v>
      </c>
      <c r="B34" s="4"/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12" t="n">
        <v>0</v>
      </c>
      <c r="J34" s="11"/>
      <c r="K34" s="11"/>
      <c r="L34" s="11"/>
    </row>
    <row r="35" customFormat="false" ht="15" hidden="false" customHeight="false" outlineLevel="0" collapsed="false">
      <c r="A35" s="4" t="s">
        <v>258</v>
      </c>
      <c r="B35" s="4"/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12" t="n">
        <v>0</v>
      </c>
      <c r="J35" s="11"/>
      <c r="K35" s="11"/>
      <c r="L35" s="11"/>
    </row>
    <row r="36" customFormat="false" ht="15" hidden="false" customHeight="false" outlineLevel="0" collapsed="false">
      <c r="A36" s="4" t="s">
        <v>259</v>
      </c>
      <c r="B36" s="4"/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12" t="n">
        <v>0</v>
      </c>
      <c r="J36" s="11"/>
      <c r="K36" s="11"/>
      <c r="L36" s="11"/>
    </row>
    <row r="37" customFormat="false" ht="15" hidden="false" customHeight="false" outlineLevel="0" collapsed="false">
      <c r="A37" s="4" t="s">
        <v>260</v>
      </c>
      <c r="B37" s="4"/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12" t="n">
        <v>0</v>
      </c>
      <c r="J37" s="11"/>
      <c r="K37" s="11"/>
      <c r="L37" s="11"/>
    </row>
    <row r="38" customFormat="false" ht="15" hidden="false" customHeight="false" outlineLevel="0" collapsed="false">
      <c r="A38" s="4" t="s">
        <v>261</v>
      </c>
      <c r="B38" s="4"/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12" t="n">
        <v>0</v>
      </c>
      <c r="J38" s="11"/>
      <c r="K38" s="11"/>
      <c r="L38" s="11"/>
    </row>
    <row r="39" customFormat="false" ht="15" hidden="false" customHeight="false" outlineLevel="0" collapsed="false">
      <c r="A39" s="4" t="s">
        <v>262</v>
      </c>
      <c r="B39" s="4"/>
      <c r="C39" s="8" t="n">
        <v>0</v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12" t="n">
        <v>0</v>
      </c>
      <c r="J39" s="11"/>
      <c r="K39" s="11"/>
      <c r="L39" s="11"/>
    </row>
    <row r="40" customFormat="false" ht="15" hidden="false" customHeight="false" outlineLevel="0" collapsed="false">
      <c r="A40" s="4" t="s">
        <v>263</v>
      </c>
      <c r="B40" s="4"/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12" t="n">
        <v>0</v>
      </c>
      <c r="J40" s="11"/>
      <c r="K40" s="11"/>
      <c r="L40" s="11"/>
    </row>
    <row r="41" customFormat="false" ht="15" hidden="false" customHeight="false" outlineLevel="0" collapsed="false">
      <c r="A41" s="4" t="s">
        <v>264</v>
      </c>
      <c r="B41" s="4"/>
      <c r="C41" s="8" t="n">
        <v>0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12" t="n">
        <v>0</v>
      </c>
      <c r="J41" s="11"/>
      <c r="K41" s="11"/>
      <c r="L41" s="11"/>
    </row>
    <row r="42" customFormat="false" ht="15" hidden="false" customHeight="false" outlineLevel="0" collapsed="false">
      <c r="A42" s="4" t="s">
        <v>265</v>
      </c>
      <c r="B42" s="4"/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12" t="n">
        <v>0</v>
      </c>
      <c r="J42" s="11"/>
      <c r="K42" s="11"/>
      <c r="L42" s="11"/>
    </row>
    <row r="43" customFormat="false" ht="15" hidden="false" customHeight="false" outlineLevel="0" collapsed="false">
      <c r="A43" s="4" t="s">
        <v>266</v>
      </c>
      <c r="B43" s="4"/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12" t="n">
        <v>0</v>
      </c>
      <c r="J43" s="11"/>
      <c r="K43" s="11"/>
      <c r="L43" s="11"/>
    </row>
    <row r="44" customFormat="false" ht="15" hidden="false" customHeight="false" outlineLevel="0" collapsed="false">
      <c r="A44" s="4" t="s">
        <v>267</v>
      </c>
      <c r="B44" s="4"/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12" t="n">
        <v>0</v>
      </c>
      <c r="J44" s="11"/>
      <c r="K44" s="11"/>
      <c r="L44" s="11"/>
    </row>
    <row r="45" customFormat="false" ht="15" hidden="false" customHeight="false" outlineLevel="0" collapsed="false">
      <c r="A45" s="4" t="s">
        <v>268</v>
      </c>
      <c r="B45" s="4"/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12" t="n">
        <v>0</v>
      </c>
      <c r="J45" s="11"/>
      <c r="K45" s="11"/>
      <c r="L45" s="11"/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1" min="11" style="0" width="40"/>
    <col collapsed="false" customWidth="true" hidden="false" outlineLevel="0" max="12" min="12" style="0" width="30"/>
    <col collapsed="false" customWidth="true" hidden="false" outlineLevel="0" max="13" min="13" style="0" width="13"/>
    <col collapsed="false" customWidth="true" hidden="false" outlineLevel="0" max="14" min="14" style="0" width="40"/>
  </cols>
  <sheetData>
    <row r="1" customFormat="false" ht="30" hidden="false" customHeight="true" outlineLevel="0" collapsed="false">
      <c r="A1" s="1" t="s">
        <v>269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8" hidden="false" customHeight="true" outlineLevel="0" collapsed="false">
      <c r="A2" s="2" t="s">
        <v>270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5" customFormat="false" ht="34" hidden="false" customHeight="true" outlineLevel="0" collapsed="false">
      <c r="A5" s="3" t="s">
        <v>271</v>
      </c>
      <c r="B5" s="3" t="s">
        <v>272</v>
      </c>
      <c r="C5" s="3" t="s">
        <v>273</v>
      </c>
      <c r="D5" s="3" t="s">
        <v>274</v>
      </c>
      <c r="E5" s="3" t="s">
        <v>275</v>
      </c>
      <c r="F5" s="3" t="s">
        <v>213</v>
      </c>
      <c r="G5" s="3" t="s">
        <v>99</v>
      </c>
      <c r="H5" s="3" t="s">
        <v>101</v>
      </c>
      <c r="I5" s="3" t="s">
        <v>276</v>
      </c>
      <c r="J5" s="3" t="s">
        <v>277</v>
      </c>
      <c r="K5" s="3" t="s">
        <v>278</v>
      </c>
      <c r="L5" s="3" t="s">
        <v>279</v>
      </c>
      <c r="M5" s="3" t="s">
        <v>104</v>
      </c>
      <c r="N5" s="3" t="s">
        <v>280</v>
      </c>
    </row>
    <row r="6" customFormat="false" ht="15" hidden="false" customHeight="false" outlineLevel="0" collapsed="false">
      <c r="A6" s="4" t="s">
        <v>281</v>
      </c>
      <c r="B6" s="4" t="s">
        <v>282</v>
      </c>
      <c r="C6" s="11"/>
      <c r="D6" s="11"/>
      <c r="E6" s="11"/>
      <c r="F6" s="11"/>
      <c r="G6" s="11" t="n">
        <v>0</v>
      </c>
      <c r="H6" s="13" t="n">
        <v>0</v>
      </c>
      <c r="I6" s="14"/>
      <c r="J6" s="11"/>
      <c r="K6" s="11"/>
      <c r="L6" s="11"/>
      <c r="M6" s="11" t="s">
        <v>283</v>
      </c>
      <c r="N6" s="11"/>
    </row>
    <row r="7" customFormat="false" ht="15" hidden="false" customHeight="false" outlineLevel="0" collapsed="false">
      <c r="A7" s="4" t="s">
        <v>284</v>
      </c>
      <c r="B7" s="4" t="s">
        <v>285</v>
      </c>
      <c r="C7" s="11"/>
      <c r="D7" s="11"/>
      <c r="E7" s="11"/>
      <c r="F7" s="11"/>
      <c r="G7" s="11" t="n">
        <v>0</v>
      </c>
      <c r="H7" s="13" t="n">
        <v>0</v>
      </c>
      <c r="I7" s="14"/>
      <c r="J7" s="11"/>
      <c r="K7" s="11"/>
      <c r="L7" s="11"/>
      <c r="M7" s="11" t="s">
        <v>283</v>
      </c>
      <c r="N7" s="11"/>
    </row>
    <row r="8" customFormat="false" ht="15" hidden="false" customHeight="false" outlineLevel="0" collapsed="false">
      <c r="A8" s="4" t="s">
        <v>286</v>
      </c>
      <c r="B8" s="4" t="s">
        <v>287</v>
      </c>
      <c r="C8" s="11"/>
      <c r="D8" s="11"/>
      <c r="E8" s="11"/>
      <c r="F8" s="11"/>
      <c r="G8" s="11" t="n">
        <v>0</v>
      </c>
      <c r="H8" s="13" t="n">
        <v>0</v>
      </c>
      <c r="I8" s="14"/>
      <c r="J8" s="11"/>
      <c r="K8" s="11"/>
      <c r="L8" s="11"/>
      <c r="M8" s="11" t="s">
        <v>283</v>
      </c>
      <c r="N8" s="11"/>
    </row>
    <row r="9" customFormat="false" ht="15" hidden="false" customHeight="false" outlineLevel="0" collapsed="false">
      <c r="A9" s="4" t="s">
        <v>288</v>
      </c>
      <c r="B9" s="4" t="s">
        <v>289</v>
      </c>
      <c r="C9" s="11"/>
      <c r="D9" s="11"/>
      <c r="E9" s="11"/>
      <c r="F9" s="11"/>
      <c r="G9" s="11" t="n">
        <v>0</v>
      </c>
      <c r="H9" s="13" t="n">
        <v>0</v>
      </c>
      <c r="I9" s="14"/>
      <c r="J9" s="11"/>
      <c r="K9" s="11"/>
      <c r="L9" s="11"/>
      <c r="M9" s="11" t="s">
        <v>283</v>
      </c>
      <c r="N9" s="11"/>
    </row>
    <row r="10" customFormat="false" ht="15" hidden="false" customHeight="false" outlineLevel="0" collapsed="false">
      <c r="A10" s="4" t="s">
        <v>290</v>
      </c>
      <c r="B10" s="4" t="s">
        <v>291</v>
      </c>
      <c r="C10" s="11"/>
      <c r="D10" s="11"/>
      <c r="E10" s="11"/>
      <c r="F10" s="11"/>
      <c r="G10" s="11" t="n">
        <v>0</v>
      </c>
      <c r="H10" s="13" t="n">
        <v>0</v>
      </c>
      <c r="I10" s="14"/>
      <c r="J10" s="11"/>
      <c r="K10" s="11"/>
      <c r="L10" s="11"/>
      <c r="M10" s="11" t="s">
        <v>283</v>
      </c>
      <c r="N10" s="11"/>
    </row>
    <row r="11" customFormat="false" ht="15" hidden="false" customHeight="false" outlineLevel="0" collapsed="false">
      <c r="A11" s="4" t="s">
        <v>292</v>
      </c>
      <c r="B11" s="4" t="s">
        <v>293</v>
      </c>
      <c r="C11" s="11"/>
      <c r="D11" s="11"/>
      <c r="E11" s="11"/>
      <c r="F11" s="11"/>
      <c r="G11" s="11" t="n">
        <v>0</v>
      </c>
      <c r="H11" s="13" t="n">
        <v>0</v>
      </c>
      <c r="I11" s="14"/>
      <c r="J11" s="11"/>
      <c r="K11" s="11"/>
      <c r="L11" s="11"/>
      <c r="M11" s="11" t="s">
        <v>283</v>
      </c>
      <c r="N11" s="11"/>
    </row>
    <row r="12" customFormat="false" ht="15" hidden="false" customHeight="false" outlineLevel="0" collapsed="false">
      <c r="A12" s="4" t="s">
        <v>294</v>
      </c>
      <c r="B12" s="4" t="s">
        <v>295</v>
      </c>
      <c r="C12" s="11"/>
      <c r="D12" s="11"/>
      <c r="E12" s="11"/>
      <c r="F12" s="11"/>
      <c r="G12" s="11" t="n">
        <v>0</v>
      </c>
      <c r="H12" s="13" t="n">
        <v>0</v>
      </c>
      <c r="I12" s="14"/>
      <c r="J12" s="11"/>
      <c r="K12" s="11"/>
      <c r="L12" s="11"/>
      <c r="M12" s="11" t="s">
        <v>283</v>
      </c>
      <c r="N12" s="11"/>
    </row>
    <row r="13" customFormat="false" ht="15" hidden="false" customHeight="false" outlineLevel="0" collapsed="false">
      <c r="A13" s="4" t="s">
        <v>296</v>
      </c>
      <c r="B13" s="4" t="s">
        <v>297</v>
      </c>
      <c r="C13" s="11"/>
      <c r="D13" s="11"/>
      <c r="E13" s="11"/>
      <c r="F13" s="11"/>
      <c r="G13" s="11" t="n">
        <v>0</v>
      </c>
      <c r="H13" s="13" t="n">
        <v>0</v>
      </c>
      <c r="I13" s="14"/>
      <c r="J13" s="11"/>
      <c r="K13" s="11"/>
      <c r="L13" s="11"/>
      <c r="M13" s="11" t="s">
        <v>283</v>
      </c>
      <c r="N13" s="11"/>
    </row>
  </sheetData>
  <mergeCells count="2">
    <mergeCell ref="A1:N1"/>
    <mergeCell ref="A2:N2"/>
  </mergeCells>
  <conditionalFormatting sqref="M6:M13">
    <cfRule type="containsText" priority="2" operator="containsText" aboveAverage="0" equalAverage="0" bottom="0" percent="0" rank="0" text="已完成" dxfId="8">
      <formula>NOT(ISERROR(SEARCH("已完成",M6)))</formula>
    </cfRule>
    <cfRule type="containsText" priority="3" operator="containsText" aboveAverage="0" equalAverage="0" bottom="0" percent="0" rank="0" text="高" dxfId="9">
      <formula>NOT(ISERROR(SEARCH("高",M6)))</formula>
    </cfRule>
  </conditionalFormatting>
  <dataValidations count="1">
    <dataValidation allowBlank="false" errorStyle="stop" operator="between" showDropDown="false" showErrorMessage="false" showInputMessage="false" sqref="M6:M13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40"/>
    <col collapsed="false" customWidth="true" hidden="false" outlineLevel="0" max="12" min="12" style="0" width="14"/>
    <col collapsed="false" customWidth="true" hidden="false" outlineLevel="0" max="13" min="13" style="0" width="32"/>
  </cols>
  <sheetData>
    <row r="1" customFormat="false" ht="30" hidden="false" customHeight="true" outlineLevel="0" collapsed="false">
      <c r="A1" s="1" t="s">
        <v>298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8" hidden="false" customHeight="true" outlineLevel="0" collapsed="false">
      <c r="A2" s="2" t="s">
        <v>299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customFormat="false" ht="34" hidden="false" customHeight="true" outlineLevel="0" collapsed="false">
      <c r="A5" s="3" t="s">
        <v>300</v>
      </c>
      <c r="B5" s="3" t="s">
        <v>301</v>
      </c>
      <c r="C5" s="3" t="s">
        <v>213</v>
      </c>
      <c r="D5" s="3" t="s">
        <v>59</v>
      </c>
      <c r="E5" s="3" t="s">
        <v>302</v>
      </c>
      <c r="F5" s="3" t="s">
        <v>303</v>
      </c>
      <c r="G5" s="3" t="s">
        <v>99</v>
      </c>
      <c r="H5" s="3" t="s">
        <v>304</v>
      </c>
      <c r="I5" s="3" t="s">
        <v>305</v>
      </c>
      <c r="J5" s="3" t="s">
        <v>306</v>
      </c>
      <c r="K5" s="3" t="s">
        <v>307</v>
      </c>
      <c r="L5" s="3" t="s">
        <v>104</v>
      </c>
      <c r="M5" s="3" t="s">
        <v>223</v>
      </c>
    </row>
    <row r="6" customFormat="false" ht="15" hidden="false" customHeight="false" outlineLevel="0" collapsed="false">
      <c r="A6" s="4" t="s">
        <v>308</v>
      </c>
      <c r="B6" s="11"/>
      <c r="C6" s="11"/>
      <c r="D6" s="11"/>
      <c r="E6" s="11"/>
      <c r="F6" s="11"/>
      <c r="G6" s="11" t="n">
        <v>0</v>
      </c>
      <c r="H6" s="11"/>
      <c r="I6" s="11"/>
      <c r="J6" s="11"/>
      <c r="K6" s="11"/>
      <c r="L6" s="11" t="s">
        <v>309</v>
      </c>
      <c r="M6" s="11"/>
    </row>
    <row r="7" customFormat="false" ht="15" hidden="false" customHeight="false" outlineLevel="0" collapsed="false">
      <c r="A7" s="4" t="s">
        <v>310</v>
      </c>
      <c r="B7" s="11"/>
      <c r="C7" s="11"/>
      <c r="D7" s="11"/>
      <c r="E7" s="11"/>
      <c r="F7" s="11"/>
      <c r="G7" s="11" t="n">
        <v>0</v>
      </c>
      <c r="H7" s="11"/>
      <c r="I7" s="11"/>
      <c r="J7" s="11"/>
      <c r="K7" s="11"/>
      <c r="L7" s="11" t="s">
        <v>309</v>
      </c>
      <c r="M7" s="11"/>
    </row>
    <row r="8" customFormat="false" ht="15" hidden="false" customHeight="false" outlineLevel="0" collapsed="false">
      <c r="A8" s="4" t="s">
        <v>311</v>
      </c>
      <c r="B8" s="11"/>
      <c r="C8" s="11"/>
      <c r="D8" s="11"/>
      <c r="E8" s="11"/>
      <c r="F8" s="11"/>
      <c r="G8" s="11" t="n">
        <v>0</v>
      </c>
      <c r="H8" s="11"/>
      <c r="I8" s="11"/>
      <c r="J8" s="11"/>
      <c r="K8" s="11"/>
      <c r="L8" s="11" t="s">
        <v>309</v>
      </c>
      <c r="M8" s="11"/>
    </row>
    <row r="9" customFormat="false" ht="15" hidden="false" customHeight="false" outlineLevel="0" collapsed="false">
      <c r="A9" s="4" t="s">
        <v>312</v>
      </c>
      <c r="B9" s="11"/>
      <c r="C9" s="11"/>
      <c r="D9" s="11"/>
      <c r="E9" s="11"/>
      <c r="F9" s="11"/>
      <c r="G9" s="11" t="n">
        <v>0</v>
      </c>
      <c r="H9" s="11"/>
      <c r="I9" s="11"/>
      <c r="J9" s="11"/>
      <c r="K9" s="11"/>
      <c r="L9" s="11" t="s">
        <v>309</v>
      </c>
      <c r="M9" s="11"/>
    </row>
    <row r="10" customFormat="false" ht="15" hidden="false" customHeight="false" outlineLevel="0" collapsed="false">
      <c r="A10" s="4" t="s">
        <v>313</v>
      </c>
      <c r="B10" s="11"/>
      <c r="C10" s="11"/>
      <c r="D10" s="11"/>
      <c r="E10" s="11"/>
      <c r="F10" s="11"/>
      <c r="G10" s="11" t="n">
        <v>0</v>
      </c>
      <c r="H10" s="11"/>
      <c r="I10" s="11"/>
      <c r="J10" s="11"/>
      <c r="K10" s="11"/>
      <c r="L10" s="11" t="s">
        <v>309</v>
      </c>
      <c r="M10" s="11"/>
    </row>
    <row r="11" customFormat="false" ht="15" hidden="false" customHeight="false" outlineLevel="0" collapsed="false">
      <c r="A11" s="4" t="s">
        <v>314</v>
      </c>
      <c r="B11" s="11"/>
      <c r="C11" s="11"/>
      <c r="D11" s="11"/>
      <c r="E11" s="11"/>
      <c r="F11" s="11"/>
      <c r="G11" s="11" t="n">
        <v>0</v>
      </c>
      <c r="H11" s="11"/>
      <c r="I11" s="11"/>
      <c r="J11" s="11"/>
      <c r="K11" s="11"/>
      <c r="L11" s="11" t="s">
        <v>309</v>
      </c>
      <c r="M11" s="11"/>
    </row>
    <row r="12" customFormat="false" ht="15" hidden="false" customHeight="false" outlineLevel="0" collapsed="false">
      <c r="A12" s="4" t="s">
        <v>315</v>
      </c>
      <c r="B12" s="11"/>
      <c r="C12" s="11"/>
      <c r="D12" s="11"/>
      <c r="E12" s="11"/>
      <c r="F12" s="11"/>
      <c r="G12" s="11" t="n">
        <v>0</v>
      </c>
      <c r="H12" s="11"/>
      <c r="I12" s="11"/>
      <c r="J12" s="11"/>
      <c r="K12" s="11"/>
      <c r="L12" s="11" t="s">
        <v>309</v>
      </c>
      <c r="M12" s="11"/>
    </row>
    <row r="13" customFormat="false" ht="15" hidden="false" customHeight="false" outlineLevel="0" collapsed="false">
      <c r="A13" s="4" t="s">
        <v>316</v>
      </c>
      <c r="B13" s="11"/>
      <c r="C13" s="11"/>
      <c r="D13" s="11"/>
      <c r="E13" s="11"/>
      <c r="F13" s="11"/>
      <c r="G13" s="11" t="n">
        <v>0</v>
      </c>
      <c r="H13" s="11"/>
      <c r="I13" s="11"/>
      <c r="J13" s="11"/>
      <c r="K13" s="11"/>
      <c r="L13" s="11" t="s">
        <v>309</v>
      </c>
      <c r="M13" s="11"/>
    </row>
    <row r="14" customFormat="false" ht="15" hidden="false" customHeight="false" outlineLevel="0" collapsed="false">
      <c r="A14" s="4" t="s">
        <v>317</v>
      </c>
      <c r="B14" s="11"/>
      <c r="C14" s="11"/>
      <c r="D14" s="11"/>
      <c r="E14" s="11"/>
      <c r="F14" s="11"/>
      <c r="G14" s="11" t="n">
        <v>0</v>
      </c>
      <c r="H14" s="11"/>
      <c r="I14" s="11"/>
      <c r="J14" s="11"/>
      <c r="K14" s="11"/>
      <c r="L14" s="11" t="s">
        <v>309</v>
      </c>
      <c r="M14" s="11"/>
    </row>
    <row r="15" customFormat="false" ht="15" hidden="false" customHeight="false" outlineLevel="0" collapsed="false">
      <c r="A15" s="4" t="s">
        <v>318</v>
      </c>
      <c r="B15" s="11"/>
      <c r="C15" s="11"/>
      <c r="D15" s="11"/>
      <c r="E15" s="11"/>
      <c r="F15" s="11"/>
      <c r="G15" s="11" t="n">
        <v>0</v>
      </c>
      <c r="H15" s="11"/>
      <c r="I15" s="11"/>
      <c r="J15" s="11"/>
      <c r="K15" s="11"/>
      <c r="L15" s="11" t="s">
        <v>309</v>
      </c>
      <c r="M15" s="11"/>
    </row>
    <row r="16" customFormat="false" ht="15" hidden="false" customHeight="false" outlineLevel="0" collapsed="false">
      <c r="A16" s="4" t="s">
        <v>319</v>
      </c>
      <c r="B16" s="11"/>
      <c r="C16" s="11"/>
      <c r="D16" s="11"/>
      <c r="E16" s="11"/>
      <c r="F16" s="11"/>
      <c r="G16" s="11" t="n">
        <v>0</v>
      </c>
      <c r="H16" s="11"/>
      <c r="I16" s="11"/>
      <c r="J16" s="11"/>
      <c r="K16" s="11"/>
      <c r="L16" s="11" t="s">
        <v>309</v>
      </c>
      <c r="M16" s="11"/>
    </row>
    <row r="17" customFormat="false" ht="15" hidden="false" customHeight="false" outlineLevel="0" collapsed="false">
      <c r="A17" s="4" t="s">
        <v>320</v>
      </c>
      <c r="B17" s="11"/>
      <c r="C17" s="11"/>
      <c r="D17" s="11"/>
      <c r="E17" s="11"/>
      <c r="F17" s="11"/>
      <c r="G17" s="11" t="n">
        <v>0</v>
      </c>
      <c r="H17" s="11"/>
      <c r="I17" s="11"/>
      <c r="J17" s="11"/>
      <c r="K17" s="11"/>
      <c r="L17" s="11" t="s">
        <v>309</v>
      </c>
      <c r="M17" s="11"/>
    </row>
    <row r="18" customFormat="false" ht="15" hidden="false" customHeight="false" outlineLevel="0" collapsed="false">
      <c r="A18" s="4" t="s">
        <v>321</v>
      </c>
      <c r="B18" s="11"/>
      <c r="C18" s="11"/>
      <c r="D18" s="11"/>
      <c r="E18" s="11"/>
      <c r="F18" s="11"/>
      <c r="G18" s="11" t="n">
        <v>0</v>
      </c>
      <c r="H18" s="11"/>
      <c r="I18" s="11"/>
      <c r="J18" s="11"/>
      <c r="K18" s="11"/>
      <c r="L18" s="11" t="s">
        <v>309</v>
      </c>
      <c r="M18" s="11"/>
    </row>
    <row r="19" customFormat="false" ht="15" hidden="false" customHeight="false" outlineLevel="0" collapsed="false">
      <c r="A19" s="4" t="s">
        <v>322</v>
      </c>
      <c r="B19" s="11"/>
      <c r="C19" s="11"/>
      <c r="D19" s="11"/>
      <c r="E19" s="11"/>
      <c r="F19" s="11"/>
      <c r="G19" s="11" t="n">
        <v>0</v>
      </c>
      <c r="H19" s="11"/>
      <c r="I19" s="11"/>
      <c r="J19" s="11"/>
      <c r="K19" s="11"/>
      <c r="L19" s="11" t="s">
        <v>309</v>
      </c>
      <c r="M19" s="11"/>
    </row>
    <row r="20" customFormat="false" ht="15" hidden="false" customHeight="false" outlineLevel="0" collapsed="false">
      <c r="A20" s="4" t="s">
        <v>323</v>
      </c>
      <c r="B20" s="11"/>
      <c r="C20" s="11"/>
      <c r="D20" s="11"/>
      <c r="E20" s="11"/>
      <c r="F20" s="11"/>
      <c r="G20" s="11" t="n">
        <v>0</v>
      </c>
      <c r="H20" s="11"/>
      <c r="I20" s="11"/>
      <c r="J20" s="11"/>
      <c r="K20" s="11"/>
      <c r="L20" s="11" t="s">
        <v>309</v>
      </c>
      <c r="M20" s="11"/>
    </row>
    <row r="21" customFormat="false" ht="15" hidden="false" customHeight="false" outlineLevel="0" collapsed="false">
      <c r="A21" s="4" t="s">
        <v>324</v>
      </c>
      <c r="B21" s="11"/>
      <c r="C21" s="11"/>
      <c r="D21" s="11"/>
      <c r="E21" s="11"/>
      <c r="F21" s="11"/>
      <c r="G21" s="11" t="n">
        <v>0</v>
      </c>
      <c r="H21" s="11"/>
      <c r="I21" s="11"/>
      <c r="J21" s="11"/>
      <c r="K21" s="11"/>
      <c r="L21" s="11" t="s">
        <v>309</v>
      </c>
      <c r="M21" s="11"/>
    </row>
    <row r="22" customFormat="false" ht="15" hidden="false" customHeight="false" outlineLevel="0" collapsed="false">
      <c r="A22" s="4" t="s">
        <v>325</v>
      </c>
      <c r="B22" s="11"/>
      <c r="C22" s="11"/>
      <c r="D22" s="11"/>
      <c r="E22" s="11"/>
      <c r="F22" s="11"/>
      <c r="G22" s="11" t="n">
        <v>0</v>
      </c>
      <c r="H22" s="11"/>
      <c r="I22" s="11"/>
      <c r="J22" s="11"/>
      <c r="K22" s="11"/>
      <c r="L22" s="11" t="s">
        <v>309</v>
      </c>
      <c r="M22" s="11"/>
    </row>
    <row r="23" customFormat="false" ht="15" hidden="false" customHeight="false" outlineLevel="0" collapsed="false">
      <c r="A23" s="4" t="s">
        <v>326</v>
      </c>
      <c r="B23" s="11"/>
      <c r="C23" s="11"/>
      <c r="D23" s="11"/>
      <c r="E23" s="11"/>
      <c r="F23" s="11"/>
      <c r="G23" s="11" t="n">
        <v>0</v>
      </c>
      <c r="H23" s="11"/>
      <c r="I23" s="11"/>
      <c r="J23" s="11"/>
      <c r="K23" s="11"/>
      <c r="L23" s="11" t="s">
        <v>309</v>
      </c>
      <c r="M23" s="11"/>
    </row>
    <row r="24" customFormat="false" ht="15" hidden="false" customHeight="false" outlineLevel="0" collapsed="false">
      <c r="A24" s="4" t="s">
        <v>327</v>
      </c>
      <c r="B24" s="11"/>
      <c r="C24" s="11"/>
      <c r="D24" s="11"/>
      <c r="E24" s="11"/>
      <c r="F24" s="11"/>
      <c r="G24" s="11" t="n">
        <v>0</v>
      </c>
      <c r="H24" s="11"/>
      <c r="I24" s="11"/>
      <c r="J24" s="11"/>
      <c r="K24" s="11"/>
      <c r="L24" s="11" t="s">
        <v>309</v>
      </c>
      <c r="M24" s="11"/>
    </row>
    <row r="25" customFormat="false" ht="15" hidden="false" customHeight="false" outlineLevel="0" collapsed="false">
      <c r="A25" s="4" t="s">
        <v>328</v>
      </c>
      <c r="B25" s="11"/>
      <c r="C25" s="11"/>
      <c r="D25" s="11"/>
      <c r="E25" s="11"/>
      <c r="F25" s="11"/>
      <c r="G25" s="11" t="n">
        <v>0</v>
      </c>
      <c r="H25" s="11"/>
      <c r="I25" s="11"/>
      <c r="J25" s="11"/>
      <c r="K25" s="11"/>
      <c r="L25" s="11" t="s">
        <v>309</v>
      </c>
      <c r="M25" s="11"/>
    </row>
    <row r="26" customFormat="false" ht="15" hidden="false" customHeight="false" outlineLevel="0" collapsed="false">
      <c r="A26" s="4" t="s">
        <v>329</v>
      </c>
      <c r="B26" s="11"/>
      <c r="C26" s="11"/>
      <c r="D26" s="11"/>
      <c r="E26" s="11"/>
      <c r="F26" s="11"/>
      <c r="G26" s="11" t="n">
        <v>0</v>
      </c>
      <c r="H26" s="11"/>
      <c r="I26" s="11"/>
      <c r="J26" s="11"/>
      <c r="K26" s="11"/>
      <c r="L26" s="11" t="s">
        <v>309</v>
      </c>
      <c r="M26" s="11"/>
    </row>
    <row r="27" customFormat="false" ht="15" hidden="false" customHeight="false" outlineLevel="0" collapsed="false">
      <c r="A27" s="4" t="s">
        <v>330</v>
      </c>
      <c r="B27" s="11"/>
      <c r="C27" s="11"/>
      <c r="D27" s="11"/>
      <c r="E27" s="11"/>
      <c r="F27" s="11"/>
      <c r="G27" s="11" t="n">
        <v>0</v>
      </c>
      <c r="H27" s="11"/>
      <c r="I27" s="11"/>
      <c r="J27" s="11"/>
      <c r="K27" s="11"/>
      <c r="L27" s="11" t="s">
        <v>309</v>
      </c>
      <c r="M27" s="11"/>
    </row>
    <row r="28" customFormat="false" ht="15" hidden="false" customHeight="false" outlineLevel="0" collapsed="false">
      <c r="A28" s="4" t="s">
        <v>331</v>
      </c>
      <c r="B28" s="11"/>
      <c r="C28" s="11"/>
      <c r="D28" s="11"/>
      <c r="E28" s="11"/>
      <c r="F28" s="11"/>
      <c r="G28" s="11" t="n">
        <v>0</v>
      </c>
      <c r="H28" s="11"/>
      <c r="I28" s="11"/>
      <c r="J28" s="11"/>
      <c r="K28" s="11"/>
      <c r="L28" s="11" t="s">
        <v>309</v>
      </c>
      <c r="M28" s="11"/>
    </row>
    <row r="29" customFormat="false" ht="15" hidden="false" customHeight="false" outlineLevel="0" collapsed="false">
      <c r="A29" s="4" t="s">
        <v>332</v>
      </c>
      <c r="B29" s="11"/>
      <c r="C29" s="11"/>
      <c r="D29" s="11"/>
      <c r="E29" s="11"/>
      <c r="F29" s="11"/>
      <c r="G29" s="11" t="n">
        <v>0</v>
      </c>
      <c r="H29" s="11"/>
      <c r="I29" s="11"/>
      <c r="J29" s="11"/>
      <c r="K29" s="11"/>
      <c r="L29" s="11" t="s">
        <v>309</v>
      </c>
      <c r="M29" s="11"/>
    </row>
    <row r="30" customFormat="false" ht="15" hidden="false" customHeight="false" outlineLevel="0" collapsed="false">
      <c r="A30" s="4" t="s">
        <v>333</v>
      </c>
      <c r="B30" s="11"/>
      <c r="C30" s="11"/>
      <c r="D30" s="11"/>
      <c r="E30" s="11"/>
      <c r="F30" s="11"/>
      <c r="G30" s="11" t="n">
        <v>0</v>
      </c>
      <c r="H30" s="11"/>
      <c r="I30" s="11"/>
      <c r="J30" s="11"/>
      <c r="K30" s="11"/>
      <c r="L30" s="11" t="s">
        <v>309</v>
      </c>
      <c r="M30" s="11"/>
    </row>
    <row r="31" customFormat="false" ht="15" hidden="false" customHeight="false" outlineLevel="0" collapsed="false">
      <c r="A31" s="4" t="s">
        <v>334</v>
      </c>
      <c r="B31" s="11"/>
      <c r="C31" s="11"/>
      <c r="D31" s="11"/>
      <c r="E31" s="11"/>
      <c r="F31" s="11"/>
      <c r="G31" s="11" t="n">
        <v>0</v>
      </c>
      <c r="H31" s="11"/>
      <c r="I31" s="11"/>
      <c r="J31" s="11"/>
      <c r="K31" s="11"/>
      <c r="L31" s="11" t="s">
        <v>309</v>
      </c>
      <c r="M31" s="11"/>
    </row>
    <row r="32" customFormat="false" ht="15" hidden="false" customHeight="false" outlineLevel="0" collapsed="false">
      <c r="A32" s="4" t="s">
        <v>335</v>
      </c>
      <c r="B32" s="11"/>
      <c r="C32" s="11"/>
      <c r="D32" s="11"/>
      <c r="E32" s="11"/>
      <c r="F32" s="11"/>
      <c r="G32" s="11" t="n">
        <v>0</v>
      </c>
      <c r="H32" s="11"/>
      <c r="I32" s="11"/>
      <c r="J32" s="11"/>
      <c r="K32" s="11"/>
      <c r="L32" s="11" t="s">
        <v>309</v>
      </c>
      <c r="M32" s="11"/>
    </row>
    <row r="33" customFormat="false" ht="15" hidden="false" customHeight="false" outlineLevel="0" collapsed="false">
      <c r="A33" s="4" t="s">
        <v>336</v>
      </c>
      <c r="B33" s="11"/>
      <c r="C33" s="11"/>
      <c r="D33" s="11"/>
      <c r="E33" s="11"/>
      <c r="F33" s="11"/>
      <c r="G33" s="11" t="n">
        <v>0</v>
      </c>
      <c r="H33" s="11"/>
      <c r="I33" s="11"/>
      <c r="J33" s="11"/>
      <c r="K33" s="11"/>
      <c r="L33" s="11" t="s">
        <v>309</v>
      </c>
      <c r="M33" s="11"/>
    </row>
    <row r="34" customFormat="false" ht="15" hidden="false" customHeight="false" outlineLevel="0" collapsed="false">
      <c r="A34" s="4" t="s">
        <v>337</v>
      </c>
      <c r="B34" s="11"/>
      <c r="C34" s="11"/>
      <c r="D34" s="11"/>
      <c r="E34" s="11"/>
      <c r="F34" s="11"/>
      <c r="G34" s="11" t="n">
        <v>0</v>
      </c>
      <c r="H34" s="11"/>
      <c r="I34" s="11"/>
      <c r="J34" s="11"/>
      <c r="K34" s="11"/>
      <c r="L34" s="11" t="s">
        <v>309</v>
      </c>
      <c r="M34" s="11"/>
    </row>
    <row r="35" customFormat="false" ht="15" hidden="false" customHeight="false" outlineLevel="0" collapsed="false">
      <c r="A35" s="4" t="s">
        <v>338</v>
      </c>
      <c r="B35" s="11"/>
      <c r="C35" s="11"/>
      <c r="D35" s="11"/>
      <c r="E35" s="11"/>
      <c r="F35" s="11"/>
      <c r="G35" s="11" t="n">
        <v>0</v>
      </c>
      <c r="H35" s="11"/>
      <c r="I35" s="11"/>
      <c r="J35" s="11"/>
      <c r="K35" s="11"/>
      <c r="L35" s="11" t="s">
        <v>309</v>
      </c>
      <c r="M35" s="11"/>
    </row>
    <row r="36" customFormat="false" ht="15" hidden="false" customHeight="false" outlineLevel="0" collapsed="false">
      <c r="A36" s="4" t="s">
        <v>339</v>
      </c>
      <c r="B36" s="11"/>
      <c r="C36" s="11"/>
      <c r="D36" s="11"/>
      <c r="E36" s="11"/>
      <c r="F36" s="11"/>
      <c r="G36" s="11" t="n">
        <v>0</v>
      </c>
      <c r="H36" s="11"/>
      <c r="I36" s="11"/>
      <c r="J36" s="11"/>
      <c r="K36" s="11"/>
      <c r="L36" s="11" t="s">
        <v>309</v>
      </c>
      <c r="M36" s="11"/>
    </row>
    <row r="37" customFormat="false" ht="15" hidden="false" customHeight="false" outlineLevel="0" collapsed="false">
      <c r="A37" s="4" t="s">
        <v>340</v>
      </c>
      <c r="B37" s="11"/>
      <c r="C37" s="11"/>
      <c r="D37" s="11"/>
      <c r="E37" s="11"/>
      <c r="F37" s="11"/>
      <c r="G37" s="11" t="n">
        <v>0</v>
      </c>
      <c r="H37" s="11"/>
      <c r="I37" s="11"/>
      <c r="J37" s="11"/>
      <c r="K37" s="11"/>
      <c r="L37" s="11" t="s">
        <v>309</v>
      </c>
      <c r="M37" s="11"/>
    </row>
    <row r="38" customFormat="false" ht="15" hidden="false" customHeight="false" outlineLevel="0" collapsed="false">
      <c r="A38" s="4" t="s">
        <v>341</v>
      </c>
      <c r="B38" s="11"/>
      <c r="C38" s="11"/>
      <c r="D38" s="11"/>
      <c r="E38" s="11"/>
      <c r="F38" s="11"/>
      <c r="G38" s="11" t="n">
        <v>0</v>
      </c>
      <c r="H38" s="11"/>
      <c r="I38" s="11"/>
      <c r="J38" s="11"/>
      <c r="K38" s="11"/>
      <c r="L38" s="11" t="s">
        <v>309</v>
      </c>
      <c r="M38" s="11"/>
    </row>
    <row r="39" customFormat="false" ht="15" hidden="false" customHeight="false" outlineLevel="0" collapsed="false">
      <c r="A39" s="4" t="s">
        <v>342</v>
      </c>
      <c r="B39" s="11"/>
      <c r="C39" s="11"/>
      <c r="D39" s="11"/>
      <c r="E39" s="11"/>
      <c r="F39" s="11"/>
      <c r="G39" s="11" t="n">
        <v>0</v>
      </c>
      <c r="H39" s="11"/>
      <c r="I39" s="11"/>
      <c r="J39" s="11"/>
      <c r="K39" s="11"/>
      <c r="L39" s="11" t="s">
        <v>309</v>
      </c>
      <c r="M39" s="11"/>
    </row>
    <row r="40" customFormat="false" ht="15" hidden="false" customHeight="false" outlineLevel="0" collapsed="false">
      <c r="A40" s="4" t="s">
        <v>343</v>
      </c>
      <c r="B40" s="11"/>
      <c r="C40" s="11"/>
      <c r="D40" s="11"/>
      <c r="E40" s="11"/>
      <c r="F40" s="11"/>
      <c r="G40" s="11" t="n">
        <v>0</v>
      </c>
      <c r="H40" s="11"/>
      <c r="I40" s="11"/>
      <c r="J40" s="11"/>
      <c r="K40" s="11"/>
      <c r="L40" s="11" t="s">
        <v>309</v>
      </c>
      <c r="M40" s="11"/>
    </row>
    <row r="41" customFormat="false" ht="15" hidden="false" customHeight="false" outlineLevel="0" collapsed="false">
      <c r="A41" s="4" t="s">
        <v>344</v>
      </c>
      <c r="B41" s="11"/>
      <c r="C41" s="11"/>
      <c r="D41" s="11"/>
      <c r="E41" s="11"/>
      <c r="F41" s="11"/>
      <c r="G41" s="11" t="n">
        <v>0</v>
      </c>
      <c r="H41" s="11"/>
      <c r="I41" s="11"/>
      <c r="J41" s="11"/>
      <c r="K41" s="11"/>
      <c r="L41" s="11" t="s">
        <v>309</v>
      </c>
      <c r="M41" s="11"/>
    </row>
    <row r="42" customFormat="false" ht="15" hidden="false" customHeight="false" outlineLevel="0" collapsed="false">
      <c r="A42" s="4" t="s">
        <v>345</v>
      </c>
      <c r="B42" s="11"/>
      <c r="C42" s="11"/>
      <c r="D42" s="11"/>
      <c r="E42" s="11"/>
      <c r="F42" s="11"/>
      <c r="G42" s="11" t="n">
        <v>0</v>
      </c>
      <c r="H42" s="11"/>
      <c r="I42" s="11"/>
      <c r="J42" s="11"/>
      <c r="K42" s="11"/>
      <c r="L42" s="11" t="s">
        <v>309</v>
      </c>
      <c r="M42" s="11"/>
    </row>
    <row r="43" customFormat="false" ht="15" hidden="false" customHeight="false" outlineLevel="0" collapsed="false">
      <c r="A43" s="4" t="s">
        <v>346</v>
      </c>
      <c r="B43" s="11"/>
      <c r="C43" s="11"/>
      <c r="D43" s="11"/>
      <c r="E43" s="11"/>
      <c r="F43" s="11"/>
      <c r="G43" s="11" t="n">
        <v>0</v>
      </c>
      <c r="H43" s="11"/>
      <c r="I43" s="11"/>
      <c r="J43" s="11"/>
      <c r="K43" s="11"/>
      <c r="L43" s="11" t="s">
        <v>309</v>
      </c>
      <c r="M43" s="11"/>
    </row>
    <row r="44" customFormat="false" ht="15" hidden="false" customHeight="false" outlineLevel="0" collapsed="false">
      <c r="A44" s="4" t="s">
        <v>347</v>
      </c>
      <c r="B44" s="11"/>
      <c r="C44" s="11"/>
      <c r="D44" s="11"/>
      <c r="E44" s="11"/>
      <c r="F44" s="11"/>
      <c r="G44" s="11" t="n">
        <v>0</v>
      </c>
      <c r="H44" s="11"/>
      <c r="I44" s="11"/>
      <c r="J44" s="11"/>
      <c r="K44" s="11"/>
      <c r="L44" s="11" t="s">
        <v>309</v>
      </c>
      <c r="M44" s="11"/>
    </row>
    <row r="45" customFormat="false" ht="15" hidden="false" customHeight="false" outlineLevel="0" collapsed="false">
      <c r="A45" s="4" t="s">
        <v>348</v>
      </c>
      <c r="B45" s="11"/>
      <c r="C45" s="11"/>
      <c r="D45" s="11"/>
      <c r="E45" s="11"/>
      <c r="F45" s="11"/>
      <c r="G45" s="11" t="n">
        <v>0</v>
      </c>
      <c r="H45" s="11"/>
      <c r="I45" s="11"/>
      <c r="J45" s="11"/>
      <c r="K45" s="11"/>
      <c r="L45" s="11" t="s">
        <v>309</v>
      </c>
      <c r="M45" s="11"/>
    </row>
  </sheetData>
  <mergeCells count="2">
    <mergeCell ref="A1:M1"/>
    <mergeCell ref="A2: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6"/>
    <col collapsed="false" customWidth="true" hidden="false" outlineLevel="0" max="8" min="4" style="0" width="1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44"/>
    <col collapsed="false" customWidth="true" hidden="false" outlineLevel="0" max="12" min="12" style="0" width="28"/>
  </cols>
  <sheetData>
    <row r="1" customFormat="false" ht="30" hidden="false" customHeight="true" outlineLevel="0" collapsed="false">
      <c r="A1" s="1" t="s">
        <v>349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8" hidden="false" customHeight="true" outlineLevel="0" collapsed="false">
      <c r="A2" s="2" t="s">
        <v>350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customFormat="false" ht="34" hidden="false" customHeight="true" outlineLevel="0" collapsed="false">
      <c r="A5" s="3" t="s">
        <v>351</v>
      </c>
      <c r="B5" s="3" t="s">
        <v>352</v>
      </c>
      <c r="C5" s="3" t="s">
        <v>213</v>
      </c>
      <c r="D5" s="3" t="s">
        <v>353</v>
      </c>
      <c r="E5" s="3" t="s">
        <v>354</v>
      </c>
      <c r="F5" s="3" t="s">
        <v>355</v>
      </c>
      <c r="G5" s="3" t="s">
        <v>356</v>
      </c>
      <c r="H5" s="3" t="s">
        <v>357</v>
      </c>
      <c r="I5" s="3" t="s">
        <v>358</v>
      </c>
      <c r="J5" s="3" t="s">
        <v>359</v>
      </c>
      <c r="K5" s="3" t="s">
        <v>360</v>
      </c>
      <c r="L5" s="3" t="s">
        <v>223</v>
      </c>
    </row>
    <row r="6" customFormat="false" ht="15" hidden="false" customHeight="false" outlineLevel="0" collapsed="false">
      <c r="A6" s="4" t="s">
        <v>361</v>
      </c>
      <c r="B6" s="4" t="s">
        <v>155</v>
      </c>
      <c r="C6" s="4" t="s">
        <v>107</v>
      </c>
      <c r="D6" s="8" t="n">
        <v>10000</v>
      </c>
      <c r="E6" s="8" t="n">
        <v>1</v>
      </c>
      <c r="F6" s="8" t="n">
        <v>10000</v>
      </c>
      <c r="G6" s="8" t="n">
        <v>13000</v>
      </c>
      <c r="H6" s="8" t="n">
        <v>3000</v>
      </c>
      <c r="I6" s="15" t="n">
        <v>0.3</v>
      </c>
      <c r="J6" s="11" t="s">
        <v>362</v>
      </c>
      <c r="K6" s="11" t="s">
        <v>363</v>
      </c>
      <c r="L6" s="11"/>
    </row>
    <row r="7" customFormat="false" ht="15" hidden="false" customHeight="false" outlineLevel="0" collapsed="false">
      <c r="A7" s="4" t="s">
        <v>364</v>
      </c>
      <c r="B7" s="4" t="s">
        <v>160</v>
      </c>
      <c r="C7" s="4" t="s">
        <v>114</v>
      </c>
      <c r="D7" s="8" t="n">
        <v>3000</v>
      </c>
      <c r="E7" s="8" t="n">
        <v>1</v>
      </c>
      <c r="F7" s="8" t="n">
        <v>3000</v>
      </c>
      <c r="G7" s="8" t="n">
        <v>3120</v>
      </c>
      <c r="H7" s="8" t="n">
        <v>120</v>
      </c>
      <c r="I7" s="15" t="n">
        <v>0.04</v>
      </c>
      <c r="J7" s="11" t="s">
        <v>365</v>
      </c>
      <c r="K7" s="11"/>
      <c r="L7" s="11"/>
    </row>
    <row r="8" customFormat="false" ht="15" hidden="false" customHeight="false" outlineLevel="0" collapsed="false">
      <c r="A8" s="4" t="s">
        <v>366</v>
      </c>
      <c r="B8" s="4"/>
      <c r="C8" s="4"/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15" t="n">
        <v>0</v>
      </c>
      <c r="J8" s="11"/>
      <c r="K8" s="11"/>
      <c r="L8" s="11"/>
    </row>
    <row r="9" customFormat="false" ht="15" hidden="false" customHeight="false" outlineLevel="0" collapsed="false">
      <c r="A9" s="4" t="s">
        <v>367</v>
      </c>
      <c r="B9" s="4"/>
      <c r="C9" s="4"/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15" t="n">
        <v>0</v>
      </c>
      <c r="J9" s="11"/>
      <c r="K9" s="11"/>
      <c r="L9" s="11"/>
    </row>
    <row r="10" customFormat="false" ht="15" hidden="false" customHeight="false" outlineLevel="0" collapsed="false">
      <c r="A10" s="4" t="s">
        <v>368</v>
      </c>
      <c r="B10" s="4"/>
      <c r="C10" s="4"/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15" t="n">
        <v>0</v>
      </c>
      <c r="J10" s="11"/>
      <c r="K10" s="11"/>
      <c r="L10" s="11"/>
    </row>
    <row r="11" customFormat="false" ht="15" hidden="false" customHeight="false" outlineLevel="0" collapsed="false">
      <c r="A11" s="4" t="s">
        <v>369</v>
      </c>
      <c r="B11" s="4"/>
      <c r="C11" s="4"/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15" t="n">
        <v>0</v>
      </c>
      <c r="J11" s="11"/>
      <c r="K11" s="11"/>
      <c r="L11" s="11"/>
    </row>
    <row r="12" customFormat="false" ht="15" hidden="false" customHeight="false" outlineLevel="0" collapsed="false">
      <c r="A12" s="4" t="s">
        <v>370</v>
      </c>
      <c r="B12" s="4"/>
      <c r="C12" s="4"/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15" t="n">
        <v>0</v>
      </c>
      <c r="J12" s="11"/>
      <c r="K12" s="11"/>
      <c r="L12" s="11"/>
    </row>
    <row r="13" customFormat="false" ht="15" hidden="false" customHeight="false" outlineLevel="0" collapsed="false">
      <c r="A13" s="4" t="s">
        <v>371</v>
      </c>
      <c r="B13" s="4"/>
      <c r="C13" s="4"/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15" t="n">
        <v>0</v>
      </c>
      <c r="J13" s="11"/>
      <c r="K13" s="11"/>
      <c r="L13" s="11"/>
    </row>
    <row r="14" customFormat="false" ht="15" hidden="false" customHeight="false" outlineLevel="0" collapsed="false">
      <c r="A14" s="4" t="s">
        <v>372</v>
      </c>
      <c r="B14" s="4"/>
      <c r="C14" s="4"/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15" t="n">
        <v>0</v>
      </c>
      <c r="J14" s="11"/>
      <c r="K14" s="11"/>
      <c r="L14" s="11"/>
    </row>
    <row r="15" customFormat="false" ht="15" hidden="false" customHeight="false" outlineLevel="0" collapsed="false">
      <c r="A15" s="4" t="s">
        <v>373</v>
      </c>
      <c r="B15" s="4"/>
      <c r="C15" s="4"/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15" t="n">
        <v>0</v>
      </c>
      <c r="J15" s="11"/>
      <c r="K15" s="11"/>
      <c r="L15" s="11"/>
    </row>
    <row r="16" customFormat="false" ht="15" hidden="false" customHeight="false" outlineLevel="0" collapsed="false">
      <c r="A16" s="4" t="s">
        <v>374</v>
      </c>
      <c r="B16" s="4"/>
      <c r="C16" s="4"/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15" t="n">
        <v>0</v>
      </c>
      <c r="J16" s="11"/>
      <c r="K16" s="11"/>
      <c r="L16" s="11"/>
    </row>
    <row r="17" customFormat="false" ht="15" hidden="false" customHeight="false" outlineLevel="0" collapsed="false">
      <c r="A17" s="4" t="s">
        <v>375</v>
      </c>
      <c r="B17" s="4"/>
      <c r="C17" s="4"/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15" t="n">
        <v>0</v>
      </c>
      <c r="J17" s="11"/>
      <c r="K17" s="11"/>
      <c r="L17" s="11"/>
    </row>
    <row r="18" customFormat="false" ht="15" hidden="false" customHeight="false" outlineLevel="0" collapsed="false">
      <c r="A18" s="4" t="s">
        <v>376</v>
      </c>
      <c r="B18" s="4"/>
      <c r="C18" s="4"/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15" t="n">
        <v>0</v>
      </c>
      <c r="J18" s="11"/>
      <c r="K18" s="11"/>
      <c r="L18" s="11"/>
    </row>
    <row r="19" customFormat="false" ht="15" hidden="false" customHeight="false" outlineLevel="0" collapsed="false">
      <c r="A19" s="4" t="s">
        <v>377</v>
      </c>
      <c r="B19" s="4"/>
      <c r="C19" s="4"/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15" t="n">
        <v>0</v>
      </c>
      <c r="J19" s="11"/>
      <c r="K19" s="11"/>
      <c r="L19" s="11"/>
    </row>
    <row r="20" customFormat="false" ht="15" hidden="false" customHeight="false" outlineLevel="0" collapsed="false">
      <c r="A20" s="4" t="s">
        <v>378</v>
      </c>
      <c r="B20" s="4"/>
      <c r="C20" s="4"/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15" t="n">
        <v>0</v>
      </c>
      <c r="J20" s="11"/>
      <c r="K20" s="11"/>
      <c r="L20" s="11"/>
    </row>
    <row r="21" customFormat="false" ht="15" hidden="false" customHeight="false" outlineLevel="0" collapsed="false">
      <c r="A21" s="4" t="s">
        <v>379</v>
      </c>
      <c r="B21" s="4"/>
      <c r="C21" s="4"/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15" t="n">
        <v>0</v>
      </c>
      <c r="J21" s="11"/>
      <c r="K21" s="11"/>
      <c r="L21" s="11"/>
    </row>
    <row r="22" customFormat="false" ht="15" hidden="false" customHeight="false" outlineLevel="0" collapsed="false">
      <c r="A22" s="4" t="s">
        <v>380</v>
      </c>
      <c r="B22" s="4"/>
      <c r="C22" s="4"/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15" t="n">
        <v>0</v>
      </c>
      <c r="J22" s="11"/>
      <c r="K22" s="11"/>
      <c r="L22" s="11"/>
    </row>
    <row r="23" customFormat="false" ht="15" hidden="false" customHeight="false" outlineLevel="0" collapsed="false">
      <c r="A23" s="4" t="s">
        <v>381</v>
      </c>
      <c r="B23" s="4"/>
      <c r="C23" s="4"/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15" t="n">
        <v>0</v>
      </c>
      <c r="J23" s="11"/>
      <c r="K23" s="11"/>
      <c r="L23" s="11"/>
    </row>
    <row r="24" customFormat="false" ht="15" hidden="false" customHeight="false" outlineLevel="0" collapsed="false">
      <c r="A24" s="4" t="s">
        <v>382</v>
      </c>
      <c r="B24" s="4"/>
      <c r="C24" s="4"/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15" t="n">
        <v>0</v>
      </c>
      <c r="J24" s="11"/>
      <c r="K24" s="11"/>
      <c r="L24" s="11"/>
    </row>
    <row r="25" customFormat="false" ht="15" hidden="false" customHeight="false" outlineLevel="0" collapsed="false">
      <c r="A25" s="4" t="s">
        <v>383</v>
      </c>
      <c r="B25" s="4"/>
      <c r="C25" s="4"/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15" t="n">
        <v>0</v>
      </c>
      <c r="J25" s="11"/>
      <c r="K25" s="11"/>
      <c r="L25" s="11"/>
    </row>
    <row r="26" customFormat="false" ht="15" hidden="false" customHeight="false" outlineLevel="0" collapsed="false">
      <c r="A26" s="4" t="s">
        <v>384</v>
      </c>
      <c r="B26" s="4"/>
      <c r="C26" s="4"/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15" t="n">
        <v>0</v>
      </c>
      <c r="J26" s="11"/>
      <c r="K26" s="11"/>
      <c r="L26" s="11"/>
    </row>
    <row r="27" customFormat="false" ht="15" hidden="false" customHeight="false" outlineLevel="0" collapsed="false">
      <c r="A27" s="4" t="s">
        <v>385</v>
      </c>
      <c r="B27" s="4"/>
      <c r="C27" s="4"/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15" t="n">
        <v>0</v>
      </c>
      <c r="J27" s="11"/>
      <c r="K27" s="11"/>
      <c r="L27" s="11"/>
    </row>
    <row r="28" customFormat="false" ht="15" hidden="false" customHeight="false" outlineLevel="0" collapsed="false">
      <c r="A28" s="4" t="s">
        <v>386</v>
      </c>
      <c r="B28" s="4"/>
      <c r="C28" s="4"/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15" t="n">
        <v>0</v>
      </c>
      <c r="J28" s="11"/>
      <c r="K28" s="11"/>
      <c r="L28" s="11"/>
    </row>
    <row r="29" customFormat="false" ht="15" hidden="false" customHeight="false" outlineLevel="0" collapsed="false">
      <c r="A29" s="4" t="s">
        <v>387</v>
      </c>
      <c r="B29" s="4"/>
      <c r="C29" s="4"/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15" t="n">
        <v>0</v>
      </c>
      <c r="J29" s="11"/>
      <c r="K29" s="11"/>
      <c r="L29" s="11"/>
    </row>
    <row r="30" customFormat="false" ht="15" hidden="false" customHeight="false" outlineLevel="0" collapsed="false">
      <c r="A30" s="4" t="s">
        <v>388</v>
      </c>
      <c r="B30" s="4"/>
      <c r="C30" s="4"/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15" t="n">
        <v>0</v>
      </c>
      <c r="J30" s="11"/>
      <c r="K30" s="11"/>
      <c r="L30" s="11"/>
    </row>
    <row r="31" customFormat="false" ht="15" hidden="false" customHeight="false" outlineLevel="0" collapsed="false">
      <c r="A31" s="4" t="s">
        <v>389</v>
      </c>
      <c r="B31" s="4"/>
      <c r="C31" s="4"/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15" t="n">
        <v>0</v>
      </c>
      <c r="J31" s="11"/>
      <c r="K31" s="11"/>
      <c r="L31" s="11"/>
    </row>
    <row r="32" customFormat="false" ht="15" hidden="false" customHeight="false" outlineLevel="0" collapsed="false">
      <c r="A32" s="4" t="s">
        <v>390</v>
      </c>
      <c r="B32" s="4"/>
      <c r="C32" s="4"/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15" t="n">
        <v>0</v>
      </c>
      <c r="J32" s="11"/>
      <c r="K32" s="11"/>
      <c r="L32" s="11"/>
    </row>
    <row r="33" customFormat="false" ht="15" hidden="false" customHeight="false" outlineLevel="0" collapsed="false">
      <c r="A33" s="4" t="s">
        <v>391</v>
      </c>
      <c r="B33" s="4"/>
      <c r="C33" s="4"/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15" t="n">
        <v>0</v>
      </c>
      <c r="J33" s="11"/>
      <c r="K33" s="11"/>
      <c r="L33" s="11"/>
    </row>
    <row r="34" customFormat="false" ht="15" hidden="false" customHeight="false" outlineLevel="0" collapsed="false">
      <c r="A34" s="4" t="s">
        <v>392</v>
      </c>
      <c r="B34" s="4"/>
      <c r="C34" s="4"/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15" t="n">
        <v>0</v>
      </c>
      <c r="J34" s="11"/>
      <c r="K34" s="11"/>
      <c r="L34" s="11"/>
    </row>
    <row r="35" customFormat="false" ht="15" hidden="false" customHeight="false" outlineLevel="0" collapsed="false">
      <c r="A35" s="4" t="s">
        <v>393</v>
      </c>
      <c r="B35" s="4"/>
      <c r="C35" s="4"/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15" t="n">
        <v>0</v>
      </c>
      <c r="J35" s="11"/>
      <c r="K35" s="11"/>
      <c r="L35" s="11"/>
    </row>
    <row r="36" customFormat="false" ht="15" hidden="false" customHeight="false" outlineLevel="0" collapsed="false">
      <c r="A36" s="4" t="s">
        <v>394</v>
      </c>
      <c r="B36" s="4"/>
      <c r="C36" s="4"/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15" t="n">
        <v>0</v>
      </c>
      <c r="J36" s="11"/>
      <c r="K36" s="11"/>
      <c r="L36" s="11"/>
    </row>
    <row r="37" customFormat="false" ht="15" hidden="false" customHeight="false" outlineLevel="0" collapsed="false">
      <c r="A37" s="4" t="s">
        <v>395</v>
      </c>
      <c r="B37" s="4"/>
      <c r="C37" s="4"/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15" t="n">
        <v>0</v>
      </c>
      <c r="J37" s="11"/>
      <c r="K37" s="11"/>
      <c r="L37" s="11"/>
    </row>
    <row r="38" customFormat="false" ht="15" hidden="false" customHeight="false" outlineLevel="0" collapsed="false">
      <c r="A38" s="4" t="s">
        <v>396</v>
      </c>
      <c r="B38" s="4"/>
      <c r="C38" s="4"/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15" t="n">
        <v>0</v>
      </c>
      <c r="J38" s="11"/>
      <c r="K38" s="11"/>
      <c r="L38" s="11"/>
    </row>
    <row r="39" customFormat="false" ht="15" hidden="false" customHeight="false" outlineLevel="0" collapsed="false">
      <c r="A39" s="4" t="s">
        <v>397</v>
      </c>
      <c r="B39" s="4"/>
      <c r="C39" s="4"/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15" t="n">
        <v>0</v>
      </c>
      <c r="J39" s="11"/>
      <c r="K39" s="11"/>
      <c r="L39" s="11"/>
    </row>
    <row r="40" customFormat="false" ht="15" hidden="false" customHeight="false" outlineLevel="0" collapsed="false">
      <c r="A40" s="4" t="s">
        <v>398</v>
      </c>
      <c r="B40" s="4"/>
      <c r="C40" s="4"/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15" t="n">
        <v>0</v>
      </c>
      <c r="J40" s="11"/>
      <c r="K40" s="11"/>
      <c r="L40" s="11"/>
    </row>
    <row r="41" customFormat="false" ht="15" hidden="false" customHeight="false" outlineLevel="0" collapsed="false">
      <c r="A41" s="4" t="s">
        <v>399</v>
      </c>
      <c r="B41" s="4"/>
      <c r="C41" s="4"/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15" t="n">
        <v>0</v>
      </c>
      <c r="J41" s="11"/>
      <c r="K41" s="11"/>
      <c r="L41" s="11"/>
    </row>
    <row r="42" customFormat="false" ht="15" hidden="false" customHeight="false" outlineLevel="0" collapsed="false">
      <c r="A42" s="4" t="s">
        <v>400</v>
      </c>
      <c r="B42" s="4"/>
      <c r="C42" s="4"/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15" t="n">
        <v>0</v>
      </c>
      <c r="J42" s="11"/>
      <c r="K42" s="11"/>
      <c r="L42" s="11"/>
    </row>
    <row r="43" customFormat="false" ht="15" hidden="false" customHeight="false" outlineLevel="0" collapsed="false">
      <c r="A43" s="4" t="s">
        <v>401</v>
      </c>
      <c r="B43" s="4"/>
      <c r="C43" s="4"/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15" t="n">
        <v>0</v>
      </c>
      <c r="J43" s="11"/>
      <c r="K43" s="11"/>
      <c r="L43" s="11"/>
    </row>
    <row r="44" customFormat="false" ht="15" hidden="false" customHeight="false" outlineLevel="0" collapsed="false">
      <c r="A44" s="4" t="s">
        <v>402</v>
      </c>
      <c r="B44" s="4"/>
      <c r="C44" s="4"/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15" t="n">
        <v>0</v>
      </c>
      <c r="J44" s="11"/>
      <c r="K44" s="11"/>
      <c r="L44" s="11"/>
    </row>
    <row r="45" customFormat="false" ht="15" hidden="false" customHeight="false" outlineLevel="0" collapsed="false">
      <c r="A45" s="4" t="s">
        <v>403</v>
      </c>
      <c r="B45" s="4"/>
      <c r="C45" s="4"/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15" t="n">
        <v>0</v>
      </c>
      <c r="J45" s="11"/>
      <c r="K45" s="11"/>
      <c r="L45" s="11"/>
    </row>
  </sheetData>
  <mergeCells count="2">
    <mergeCell ref="A1:L1"/>
    <mergeCell ref="A2:L2"/>
  </mergeCells>
  <conditionalFormatting sqref="I6:I45">
    <cfRule type="cellIs" priority="2" operator="greaterThan" aboveAverage="0" equalAverage="0" bottom="0" percent="0" rank="0" text="" dxfId="10">
      <formula>0.1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6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44"/>
  </cols>
  <sheetData>
    <row r="1" customFormat="false" ht="30" hidden="false" customHeight="true" outlineLevel="0" collapsed="false">
      <c r="A1" s="1" t="s">
        <v>404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8" hidden="false" customHeight="true" outlineLevel="0" collapsed="false">
      <c r="A2" s="2" t="s">
        <v>405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customFormat="false" ht="34" hidden="false" customHeight="true" outlineLevel="0" collapsed="false">
      <c r="A5" s="3" t="s">
        <v>351</v>
      </c>
      <c r="B5" s="3" t="s">
        <v>352</v>
      </c>
      <c r="C5" s="3" t="s">
        <v>406</v>
      </c>
      <c r="D5" s="3" t="s">
        <v>407</v>
      </c>
      <c r="E5" s="3" t="s">
        <v>408</v>
      </c>
      <c r="F5" s="3" t="s">
        <v>409</v>
      </c>
      <c r="G5" s="3" t="s">
        <v>410</v>
      </c>
      <c r="H5" s="3" t="s">
        <v>411</v>
      </c>
      <c r="I5" s="3" t="s">
        <v>412</v>
      </c>
      <c r="J5" s="3" t="s">
        <v>413</v>
      </c>
      <c r="K5" s="3" t="s">
        <v>104</v>
      </c>
      <c r="L5" s="3" t="s">
        <v>414</v>
      </c>
    </row>
    <row r="6" customFormat="false" ht="15" hidden="false" customHeight="false" outlineLevel="0" collapsed="false">
      <c r="A6" s="4" t="s">
        <v>361</v>
      </c>
      <c r="B6" s="4" t="s">
        <v>155</v>
      </c>
      <c r="C6" s="4" t="s">
        <v>415</v>
      </c>
      <c r="D6" s="8" t="n">
        <v>8000</v>
      </c>
      <c r="E6" s="8" t="n">
        <v>10000</v>
      </c>
      <c r="F6" s="8" t="n">
        <v>9500</v>
      </c>
      <c r="G6" s="8" t="n">
        <v>100</v>
      </c>
      <c r="H6" s="8" t="n">
        <v>2400</v>
      </c>
      <c r="I6" s="8" t="n">
        <v>2360000</v>
      </c>
      <c r="J6" s="4" t="n">
        <v>12</v>
      </c>
      <c r="K6" s="11" t="s">
        <v>112</v>
      </c>
      <c r="L6" s="11"/>
    </row>
    <row r="7" customFormat="false" ht="15" hidden="false" customHeight="false" outlineLevel="0" collapsed="false">
      <c r="A7" s="4" t="s">
        <v>364</v>
      </c>
      <c r="B7" s="4" t="s">
        <v>160</v>
      </c>
      <c r="C7" s="4" t="s">
        <v>416</v>
      </c>
      <c r="D7" s="8" t="n">
        <v>3500</v>
      </c>
      <c r="E7" s="8" t="n">
        <v>3000</v>
      </c>
      <c r="F7" s="8" t="n">
        <v>2800</v>
      </c>
      <c r="G7" s="8" t="n">
        <v>50</v>
      </c>
      <c r="H7" s="8" t="n">
        <v>650</v>
      </c>
      <c r="I7" s="8" t="n">
        <v>1280000</v>
      </c>
      <c r="J7" s="4" t="n">
        <v>25</v>
      </c>
      <c r="K7" s="11" t="s">
        <v>120</v>
      </c>
      <c r="L7" s="11"/>
    </row>
    <row r="8" customFormat="false" ht="15" hidden="false" customHeight="false" outlineLevel="0" collapsed="false">
      <c r="A8" s="4" t="s">
        <v>366</v>
      </c>
      <c r="B8" s="4"/>
      <c r="C8" s="4"/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4" t="n">
        <v>0</v>
      </c>
      <c r="K8" s="11"/>
      <c r="L8" s="11"/>
    </row>
    <row r="9" customFormat="false" ht="15" hidden="false" customHeight="false" outlineLevel="0" collapsed="false">
      <c r="A9" s="4" t="s">
        <v>367</v>
      </c>
      <c r="B9" s="4"/>
      <c r="C9" s="4"/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4" t="n">
        <v>0</v>
      </c>
      <c r="K9" s="11"/>
      <c r="L9" s="11"/>
    </row>
    <row r="10" customFormat="false" ht="15" hidden="false" customHeight="false" outlineLevel="0" collapsed="false">
      <c r="A10" s="4" t="s">
        <v>368</v>
      </c>
      <c r="B10" s="4"/>
      <c r="C10" s="4"/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4" t="n">
        <v>0</v>
      </c>
      <c r="K10" s="11"/>
      <c r="L10" s="11"/>
    </row>
    <row r="11" customFormat="false" ht="15" hidden="false" customHeight="false" outlineLevel="0" collapsed="false">
      <c r="A11" s="4" t="s">
        <v>369</v>
      </c>
      <c r="B11" s="4"/>
      <c r="C11" s="4"/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4" t="n">
        <v>0</v>
      </c>
      <c r="K11" s="11"/>
      <c r="L11" s="11"/>
    </row>
    <row r="12" customFormat="false" ht="15" hidden="false" customHeight="false" outlineLevel="0" collapsed="false">
      <c r="A12" s="4" t="s">
        <v>370</v>
      </c>
      <c r="B12" s="4"/>
      <c r="C12" s="4"/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4" t="n">
        <v>0</v>
      </c>
      <c r="K12" s="11"/>
      <c r="L12" s="11"/>
    </row>
    <row r="13" customFormat="false" ht="15" hidden="false" customHeight="false" outlineLevel="0" collapsed="false">
      <c r="A13" s="4" t="s">
        <v>371</v>
      </c>
      <c r="B13" s="4"/>
      <c r="C13" s="4"/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4" t="n">
        <v>0</v>
      </c>
      <c r="K13" s="11"/>
      <c r="L13" s="11"/>
    </row>
    <row r="14" customFormat="false" ht="15" hidden="false" customHeight="false" outlineLevel="0" collapsed="false">
      <c r="A14" s="4" t="s">
        <v>372</v>
      </c>
      <c r="B14" s="4"/>
      <c r="C14" s="4"/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4" t="n">
        <v>0</v>
      </c>
      <c r="K14" s="11"/>
      <c r="L14" s="11"/>
    </row>
    <row r="15" customFormat="false" ht="15" hidden="false" customHeight="false" outlineLevel="0" collapsed="false">
      <c r="A15" s="4" t="s">
        <v>373</v>
      </c>
      <c r="B15" s="4"/>
      <c r="C15" s="4"/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4" t="n">
        <v>0</v>
      </c>
      <c r="K15" s="11"/>
      <c r="L15" s="11"/>
    </row>
    <row r="16" customFormat="false" ht="15" hidden="false" customHeight="false" outlineLevel="0" collapsed="false">
      <c r="A16" s="4" t="s">
        <v>374</v>
      </c>
      <c r="B16" s="4"/>
      <c r="C16" s="4"/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4" t="n">
        <v>0</v>
      </c>
      <c r="K16" s="11"/>
      <c r="L16" s="11"/>
    </row>
    <row r="17" customFormat="false" ht="15" hidden="false" customHeight="false" outlineLevel="0" collapsed="false">
      <c r="A17" s="4" t="s">
        <v>375</v>
      </c>
      <c r="B17" s="4"/>
      <c r="C17" s="4"/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4" t="n">
        <v>0</v>
      </c>
      <c r="K17" s="11"/>
      <c r="L17" s="11"/>
    </row>
    <row r="18" customFormat="false" ht="15" hidden="false" customHeight="false" outlineLevel="0" collapsed="false">
      <c r="A18" s="4" t="s">
        <v>376</v>
      </c>
      <c r="B18" s="4"/>
      <c r="C18" s="4"/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4" t="n">
        <v>0</v>
      </c>
      <c r="K18" s="11"/>
      <c r="L18" s="11"/>
    </row>
    <row r="19" customFormat="false" ht="15" hidden="false" customHeight="false" outlineLevel="0" collapsed="false">
      <c r="A19" s="4" t="s">
        <v>377</v>
      </c>
      <c r="B19" s="4"/>
      <c r="C19" s="4"/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4" t="n">
        <v>0</v>
      </c>
      <c r="K19" s="11"/>
      <c r="L19" s="11"/>
    </row>
    <row r="20" customFormat="false" ht="15" hidden="false" customHeight="false" outlineLevel="0" collapsed="false">
      <c r="A20" s="4" t="s">
        <v>378</v>
      </c>
      <c r="B20" s="4"/>
      <c r="C20" s="4"/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4" t="n">
        <v>0</v>
      </c>
      <c r="K20" s="11"/>
      <c r="L20" s="11"/>
    </row>
    <row r="21" customFormat="false" ht="15" hidden="false" customHeight="false" outlineLevel="0" collapsed="false">
      <c r="A21" s="4" t="s">
        <v>379</v>
      </c>
      <c r="B21" s="4"/>
      <c r="C21" s="4"/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4" t="n">
        <v>0</v>
      </c>
      <c r="K21" s="11"/>
      <c r="L21" s="11"/>
    </row>
    <row r="22" customFormat="false" ht="15" hidden="false" customHeight="false" outlineLevel="0" collapsed="false">
      <c r="A22" s="4" t="s">
        <v>380</v>
      </c>
      <c r="B22" s="4"/>
      <c r="C22" s="4"/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4" t="n">
        <v>0</v>
      </c>
      <c r="K22" s="11"/>
      <c r="L22" s="11"/>
    </row>
    <row r="23" customFormat="false" ht="15" hidden="false" customHeight="false" outlineLevel="0" collapsed="false">
      <c r="A23" s="4" t="s">
        <v>381</v>
      </c>
      <c r="B23" s="4"/>
      <c r="C23" s="4"/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4" t="n">
        <v>0</v>
      </c>
      <c r="K23" s="11"/>
      <c r="L23" s="11"/>
    </row>
    <row r="24" customFormat="false" ht="15" hidden="false" customHeight="false" outlineLevel="0" collapsed="false">
      <c r="A24" s="4" t="s">
        <v>382</v>
      </c>
      <c r="B24" s="4"/>
      <c r="C24" s="4"/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4" t="n">
        <v>0</v>
      </c>
      <c r="K24" s="11"/>
      <c r="L24" s="11"/>
    </row>
    <row r="25" customFormat="false" ht="15" hidden="false" customHeight="false" outlineLevel="0" collapsed="false">
      <c r="A25" s="4" t="s">
        <v>383</v>
      </c>
      <c r="B25" s="4"/>
      <c r="C25" s="4"/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4" t="n">
        <v>0</v>
      </c>
      <c r="K25" s="11"/>
      <c r="L25" s="11"/>
    </row>
    <row r="26" customFormat="false" ht="15" hidden="false" customHeight="false" outlineLevel="0" collapsed="false">
      <c r="A26" s="4" t="s">
        <v>384</v>
      </c>
      <c r="B26" s="4"/>
      <c r="C26" s="4"/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4" t="n">
        <v>0</v>
      </c>
      <c r="K26" s="11"/>
      <c r="L26" s="11"/>
    </row>
    <row r="27" customFormat="false" ht="15" hidden="false" customHeight="false" outlineLevel="0" collapsed="false">
      <c r="A27" s="4" t="s">
        <v>385</v>
      </c>
      <c r="B27" s="4"/>
      <c r="C27" s="4"/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4" t="n">
        <v>0</v>
      </c>
      <c r="K27" s="11"/>
      <c r="L27" s="11"/>
    </row>
    <row r="28" customFormat="false" ht="15" hidden="false" customHeight="false" outlineLevel="0" collapsed="false">
      <c r="A28" s="4" t="s">
        <v>386</v>
      </c>
      <c r="B28" s="4"/>
      <c r="C28" s="4"/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4" t="n">
        <v>0</v>
      </c>
      <c r="K28" s="11"/>
      <c r="L28" s="11"/>
    </row>
    <row r="29" customFormat="false" ht="15" hidden="false" customHeight="false" outlineLevel="0" collapsed="false">
      <c r="A29" s="4" t="s">
        <v>387</v>
      </c>
      <c r="B29" s="4"/>
      <c r="C29" s="4"/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4" t="n">
        <v>0</v>
      </c>
      <c r="K29" s="11"/>
      <c r="L29" s="11"/>
    </row>
    <row r="30" customFormat="false" ht="15" hidden="false" customHeight="false" outlineLevel="0" collapsed="false">
      <c r="A30" s="4" t="s">
        <v>388</v>
      </c>
      <c r="B30" s="4"/>
      <c r="C30" s="4"/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4" t="n">
        <v>0</v>
      </c>
      <c r="K30" s="11"/>
      <c r="L30" s="11"/>
    </row>
    <row r="31" customFormat="false" ht="15" hidden="false" customHeight="false" outlineLevel="0" collapsed="false">
      <c r="A31" s="4" t="s">
        <v>389</v>
      </c>
      <c r="B31" s="4"/>
      <c r="C31" s="4"/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4" t="n">
        <v>0</v>
      </c>
      <c r="K31" s="11"/>
      <c r="L31" s="11"/>
    </row>
    <row r="32" customFormat="false" ht="15" hidden="false" customHeight="false" outlineLevel="0" collapsed="false">
      <c r="A32" s="4" t="s">
        <v>390</v>
      </c>
      <c r="B32" s="4"/>
      <c r="C32" s="4"/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4" t="n">
        <v>0</v>
      </c>
      <c r="K32" s="11"/>
      <c r="L32" s="11"/>
    </row>
    <row r="33" customFormat="false" ht="15" hidden="false" customHeight="false" outlineLevel="0" collapsed="false">
      <c r="A33" s="4" t="s">
        <v>391</v>
      </c>
      <c r="B33" s="4"/>
      <c r="C33" s="4"/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4" t="n">
        <v>0</v>
      </c>
      <c r="K33" s="11"/>
      <c r="L33" s="11"/>
    </row>
    <row r="34" customFormat="false" ht="15" hidden="false" customHeight="false" outlineLevel="0" collapsed="false">
      <c r="A34" s="4" t="s">
        <v>392</v>
      </c>
      <c r="B34" s="4"/>
      <c r="C34" s="4"/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4" t="n">
        <v>0</v>
      </c>
      <c r="K34" s="11"/>
      <c r="L34" s="11"/>
    </row>
    <row r="35" customFormat="false" ht="15" hidden="false" customHeight="false" outlineLevel="0" collapsed="false">
      <c r="A35" s="4" t="s">
        <v>393</v>
      </c>
      <c r="B35" s="4"/>
      <c r="C35" s="4"/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4" t="n">
        <v>0</v>
      </c>
      <c r="K35" s="11"/>
      <c r="L35" s="11"/>
    </row>
    <row r="36" customFormat="false" ht="15" hidden="false" customHeight="false" outlineLevel="0" collapsed="false">
      <c r="A36" s="4" t="s">
        <v>394</v>
      </c>
      <c r="B36" s="4"/>
      <c r="C36" s="4"/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4" t="n">
        <v>0</v>
      </c>
      <c r="K36" s="11"/>
      <c r="L36" s="11"/>
    </row>
    <row r="37" customFormat="false" ht="15" hidden="false" customHeight="false" outlineLevel="0" collapsed="false">
      <c r="A37" s="4" t="s">
        <v>395</v>
      </c>
      <c r="B37" s="4"/>
      <c r="C37" s="4"/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4" t="n">
        <v>0</v>
      </c>
      <c r="K37" s="11"/>
      <c r="L37" s="11"/>
    </row>
    <row r="38" customFormat="false" ht="15" hidden="false" customHeight="false" outlineLevel="0" collapsed="false">
      <c r="A38" s="4" t="s">
        <v>396</v>
      </c>
      <c r="B38" s="4"/>
      <c r="C38" s="4"/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4" t="n">
        <v>0</v>
      </c>
      <c r="K38" s="11"/>
      <c r="L38" s="11"/>
    </row>
    <row r="39" customFormat="false" ht="15" hidden="false" customHeight="false" outlineLevel="0" collapsed="false">
      <c r="A39" s="4" t="s">
        <v>397</v>
      </c>
      <c r="B39" s="4"/>
      <c r="C39" s="4"/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4" t="n">
        <v>0</v>
      </c>
      <c r="K39" s="11"/>
      <c r="L39" s="11"/>
    </row>
    <row r="40" customFormat="false" ht="15" hidden="false" customHeight="false" outlineLevel="0" collapsed="false">
      <c r="A40" s="4" t="s">
        <v>398</v>
      </c>
      <c r="B40" s="4"/>
      <c r="C40" s="4"/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4" t="n">
        <v>0</v>
      </c>
      <c r="K40" s="11"/>
      <c r="L40" s="11"/>
    </row>
    <row r="41" customFormat="false" ht="15" hidden="false" customHeight="false" outlineLevel="0" collapsed="false">
      <c r="A41" s="4" t="s">
        <v>399</v>
      </c>
      <c r="B41" s="4"/>
      <c r="C41" s="4"/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4" t="n">
        <v>0</v>
      </c>
      <c r="K41" s="11"/>
      <c r="L41" s="11"/>
    </row>
    <row r="42" customFormat="false" ht="15" hidden="false" customHeight="false" outlineLevel="0" collapsed="false">
      <c r="A42" s="4" t="s">
        <v>400</v>
      </c>
      <c r="B42" s="4"/>
      <c r="C42" s="4"/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4" t="n">
        <v>0</v>
      </c>
      <c r="K42" s="11"/>
      <c r="L42" s="11"/>
    </row>
    <row r="43" customFormat="false" ht="15" hidden="false" customHeight="false" outlineLevel="0" collapsed="false">
      <c r="A43" s="4" t="s">
        <v>401</v>
      </c>
      <c r="B43" s="4"/>
      <c r="C43" s="4"/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4" t="n">
        <v>0</v>
      </c>
      <c r="K43" s="11"/>
      <c r="L43" s="11"/>
    </row>
    <row r="44" customFormat="false" ht="15" hidden="false" customHeight="false" outlineLevel="0" collapsed="false">
      <c r="A44" s="4" t="s">
        <v>402</v>
      </c>
      <c r="B44" s="4"/>
      <c r="C44" s="4"/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4" t="n">
        <v>0</v>
      </c>
      <c r="K44" s="11"/>
      <c r="L44" s="11"/>
    </row>
    <row r="45" customFormat="false" ht="15" hidden="false" customHeight="false" outlineLevel="0" collapsed="false">
      <c r="A45" s="4" t="s">
        <v>403</v>
      </c>
      <c r="B45" s="4"/>
      <c r="C45" s="4"/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4" t="n">
        <v>0</v>
      </c>
      <c r="K45" s="11"/>
      <c r="L45" s="11"/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42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1" min="11" style="0" width="38"/>
  </cols>
  <sheetData>
    <row r="1" customFormat="false" ht="30" hidden="false" customHeight="true" outlineLevel="0" collapsed="false">
      <c r="A1" s="1" t="s">
        <v>417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8" hidden="false" customHeight="true" outlineLevel="0" collapsed="false">
      <c r="A2" s="2" t="s">
        <v>418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customFormat="false" ht="34" hidden="false" customHeight="true" outlineLevel="0" collapsed="false">
      <c r="A5" s="3" t="s">
        <v>351</v>
      </c>
      <c r="B5" s="3" t="s">
        <v>352</v>
      </c>
      <c r="C5" s="3" t="s">
        <v>419</v>
      </c>
      <c r="D5" s="3" t="s">
        <v>420</v>
      </c>
      <c r="E5" s="3" t="s">
        <v>421</v>
      </c>
      <c r="F5" s="3" t="s">
        <v>422</v>
      </c>
      <c r="G5" s="3" t="s">
        <v>423</v>
      </c>
      <c r="H5" s="3" t="s">
        <v>277</v>
      </c>
      <c r="I5" s="3" t="s">
        <v>424</v>
      </c>
      <c r="J5" s="3" t="s">
        <v>104</v>
      </c>
      <c r="K5" s="3" t="s">
        <v>280</v>
      </c>
    </row>
    <row r="6" customFormat="false" ht="15" hidden="false" customHeight="false" outlineLevel="0" collapsed="false">
      <c r="A6" s="4" t="s">
        <v>361</v>
      </c>
      <c r="B6" s="4" t="s">
        <v>155</v>
      </c>
      <c r="C6" s="16" t="n">
        <v>1000</v>
      </c>
      <c r="D6" s="16" t="n">
        <v>1000</v>
      </c>
      <c r="E6" s="16" t="n">
        <v>950</v>
      </c>
      <c r="F6" s="16" t="n">
        <v>50</v>
      </c>
      <c r="G6" s="11" t="s">
        <v>425</v>
      </c>
      <c r="H6" s="11" t="s">
        <v>113</v>
      </c>
      <c r="I6" s="14" t="n">
        <v>46268</v>
      </c>
      <c r="J6" s="11" t="s">
        <v>426</v>
      </c>
      <c r="K6" s="11"/>
    </row>
    <row r="7" customFormat="false" ht="15" hidden="false" customHeight="false" outlineLevel="0" collapsed="false">
      <c r="A7" s="4" t="s">
        <v>427</v>
      </c>
      <c r="B7" s="4"/>
      <c r="C7" s="16" t="n">
        <v>0</v>
      </c>
      <c r="D7" s="16" t="n">
        <v>0</v>
      </c>
      <c r="E7" s="16" t="n">
        <v>0</v>
      </c>
      <c r="F7" s="16" t="n">
        <v>0</v>
      </c>
      <c r="G7" s="11"/>
      <c r="H7" s="11"/>
      <c r="I7" s="14"/>
      <c r="J7" s="11"/>
      <c r="K7" s="11"/>
    </row>
    <row r="8" customFormat="false" ht="15" hidden="false" customHeight="false" outlineLevel="0" collapsed="false">
      <c r="A8" s="4" t="s">
        <v>366</v>
      </c>
      <c r="B8" s="4"/>
      <c r="C8" s="16" t="n">
        <v>0</v>
      </c>
      <c r="D8" s="16" t="n">
        <v>0</v>
      </c>
      <c r="E8" s="16" t="n">
        <v>0</v>
      </c>
      <c r="F8" s="16" t="n">
        <v>0</v>
      </c>
      <c r="G8" s="11"/>
      <c r="H8" s="11"/>
      <c r="I8" s="14"/>
      <c r="J8" s="11"/>
      <c r="K8" s="11"/>
    </row>
    <row r="9" customFormat="false" ht="15" hidden="false" customHeight="false" outlineLevel="0" collapsed="false">
      <c r="A9" s="4" t="s">
        <v>367</v>
      </c>
      <c r="B9" s="4"/>
      <c r="C9" s="16" t="n">
        <v>0</v>
      </c>
      <c r="D9" s="16" t="n">
        <v>0</v>
      </c>
      <c r="E9" s="16" t="n">
        <v>0</v>
      </c>
      <c r="F9" s="16" t="n">
        <v>0</v>
      </c>
      <c r="G9" s="11"/>
      <c r="H9" s="11"/>
      <c r="I9" s="14"/>
      <c r="J9" s="11"/>
      <c r="K9" s="11"/>
    </row>
    <row r="10" customFormat="false" ht="15" hidden="false" customHeight="false" outlineLevel="0" collapsed="false">
      <c r="A10" s="4" t="s">
        <v>368</v>
      </c>
      <c r="B10" s="4"/>
      <c r="C10" s="16" t="n">
        <v>0</v>
      </c>
      <c r="D10" s="16" t="n">
        <v>0</v>
      </c>
      <c r="E10" s="16" t="n">
        <v>0</v>
      </c>
      <c r="F10" s="16" t="n">
        <v>0</v>
      </c>
      <c r="G10" s="11"/>
      <c r="H10" s="11"/>
      <c r="I10" s="14"/>
      <c r="J10" s="11"/>
      <c r="K10" s="11"/>
    </row>
    <row r="11" customFormat="false" ht="15" hidden="false" customHeight="false" outlineLevel="0" collapsed="false">
      <c r="A11" s="4" t="s">
        <v>369</v>
      </c>
      <c r="B11" s="4"/>
      <c r="C11" s="16" t="n">
        <v>0</v>
      </c>
      <c r="D11" s="16" t="n">
        <v>0</v>
      </c>
      <c r="E11" s="16" t="n">
        <v>0</v>
      </c>
      <c r="F11" s="16" t="n">
        <v>0</v>
      </c>
      <c r="G11" s="11"/>
      <c r="H11" s="11"/>
      <c r="I11" s="14"/>
      <c r="J11" s="11"/>
      <c r="K11" s="11"/>
    </row>
    <row r="12" customFormat="false" ht="15" hidden="false" customHeight="false" outlineLevel="0" collapsed="false">
      <c r="A12" s="4" t="s">
        <v>370</v>
      </c>
      <c r="B12" s="4"/>
      <c r="C12" s="16" t="n">
        <v>0</v>
      </c>
      <c r="D12" s="16" t="n">
        <v>0</v>
      </c>
      <c r="E12" s="16" t="n">
        <v>0</v>
      </c>
      <c r="F12" s="16" t="n">
        <v>0</v>
      </c>
      <c r="G12" s="11"/>
      <c r="H12" s="11"/>
      <c r="I12" s="14"/>
      <c r="J12" s="11"/>
      <c r="K12" s="11"/>
    </row>
    <row r="13" customFormat="false" ht="15" hidden="false" customHeight="false" outlineLevel="0" collapsed="false">
      <c r="A13" s="4" t="s">
        <v>371</v>
      </c>
      <c r="B13" s="4"/>
      <c r="C13" s="16" t="n">
        <v>0</v>
      </c>
      <c r="D13" s="16" t="n">
        <v>0</v>
      </c>
      <c r="E13" s="16" t="n">
        <v>0</v>
      </c>
      <c r="F13" s="16" t="n">
        <v>0</v>
      </c>
      <c r="G13" s="11"/>
      <c r="H13" s="11"/>
      <c r="I13" s="14"/>
      <c r="J13" s="11"/>
      <c r="K13" s="11"/>
    </row>
    <row r="14" customFormat="false" ht="15" hidden="false" customHeight="false" outlineLevel="0" collapsed="false">
      <c r="A14" s="4" t="s">
        <v>372</v>
      </c>
      <c r="B14" s="4"/>
      <c r="C14" s="16" t="n">
        <v>0</v>
      </c>
      <c r="D14" s="16" t="n">
        <v>0</v>
      </c>
      <c r="E14" s="16" t="n">
        <v>0</v>
      </c>
      <c r="F14" s="16" t="n">
        <v>0</v>
      </c>
      <c r="G14" s="11"/>
      <c r="H14" s="11"/>
      <c r="I14" s="14"/>
      <c r="J14" s="11"/>
      <c r="K14" s="11"/>
    </row>
    <row r="15" customFormat="false" ht="15" hidden="false" customHeight="false" outlineLevel="0" collapsed="false">
      <c r="A15" s="4" t="s">
        <v>373</v>
      </c>
      <c r="B15" s="4"/>
      <c r="C15" s="16" t="n">
        <v>0</v>
      </c>
      <c r="D15" s="16" t="n">
        <v>0</v>
      </c>
      <c r="E15" s="16" t="n">
        <v>0</v>
      </c>
      <c r="F15" s="16" t="n">
        <v>0</v>
      </c>
      <c r="G15" s="11"/>
      <c r="H15" s="11"/>
      <c r="I15" s="14"/>
      <c r="J15" s="11"/>
      <c r="K15" s="11"/>
    </row>
    <row r="16" customFormat="false" ht="15" hidden="false" customHeight="false" outlineLevel="0" collapsed="false">
      <c r="A16" s="4" t="s">
        <v>374</v>
      </c>
      <c r="B16" s="4"/>
      <c r="C16" s="16" t="n">
        <v>0</v>
      </c>
      <c r="D16" s="16" t="n">
        <v>0</v>
      </c>
      <c r="E16" s="16" t="n">
        <v>0</v>
      </c>
      <c r="F16" s="16" t="n">
        <v>0</v>
      </c>
      <c r="G16" s="11"/>
      <c r="H16" s="11"/>
      <c r="I16" s="14"/>
      <c r="J16" s="11"/>
      <c r="K16" s="11"/>
    </row>
    <row r="17" customFormat="false" ht="15" hidden="false" customHeight="false" outlineLevel="0" collapsed="false">
      <c r="A17" s="4" t="s">
        <v>375</v>
      </c>
      <c r="B17" s="4"/>
      <c r="C17" s="16" t="n">
        <v>0</v>
      </c>
      <c r="D17" s="16" t="n">
        <v>0</v>
      </c>
      <c r="E17" s="16" t="n">
        <v>0</v>
      </c>
      <c r="F17" s="16" t="n">
        <v>0</v>
      </c>
      <c r="G17" s="11"/>
      <c r="H17" s="11"/>
      <c r="I17" s="14"/>
      <c r="J17" s="11"/>
      <c r="K17" s="11"/>
    </row>
    <row r="18" customFormat="false" ht="15" hidden="false" customHeight="false" outlineLevel="0" collapsed="false">
      <c r="A18" s="4" t="s">
        <v>376</v>
      </c>
      <c r="B18" s="4"/>
      <c r="C18" s="16" t="n">
        <v>0</v>
      </c>
      <c r="D18" s="16" t="n">
        <v>0</v>
      </c>
      <c r="E18" s="16" t="n">
        <v>0</v>
      </c>
      <c r="F18" s="16" t="n">
        <v>0</v>
      </c>
      <c r="G18" s="11"/>
      <c r="H18" s="11"/>
      <c r="I18" s="14"/>
      <c r="J18" s="11"/>
      <c r="K18" s="11"/>
    </row>
    <row r="19" customFormat="false" ht="15" hidden="false" customHeight="false" outlineLevel="0" collapsed="false">
      <c r="A19" s="4" t="s">
        <v>377</v>
      </c>
      <c r="B19" s="4"/>
      <c r="C19" s="16" t="n">
        <v>0</v>
      </c>
      <c r="D19" s="16" t="n">
        <v>0</v>
      </c>
      <c r="E19" s="16" t="n">
        <v>0</v>
      </c>
      <c r="F19" s="16" t="n">
        <v>0</v>
      </c>
      <c r="G19" s="11"/>
      <c r="H19" s="11"/>
      <c r="I19" s="14"/>
      <c r="J19" s="11"/>
      <c r="K19" s="11"/>
    </row>
    <row r="20" customFormat="false" ht="15" hidden="false" customHeight="false" outlineLevel="0" collapsed="false">
      <c r="A20" s="4" t="s">
        <v>378</v>
      </c>
      <c r="B20" s="4"/>
      <c r="C20" s="16" t="n">
        <v>0</v>
      </c>
      <c r="D20" s="16" t="n">
        <v>0</v>
      </c>
      <c r="E20" s="16" t="n">
        <v>0</v>
      </c>
      <c r="F20" s="16" t="n">
        <v>0</v>
      </c>
      <c r="G20" s="11"/>
      <c r="H20" s="11"/>
      <c r="I20" s="14"/>
      <c r="J20" s="11"/>
      <c r="K20" s="11"/>
    </row>
    <row r="21" customFormat="false" ht="15" hidden="false" customHeight="false" outlineLevel="0" collapsed="false">
      <c r="A21" s="4" t="s">
        <v>379</v>
      </c>
      <c r="B21" s="4"/>
      <c r="C21" s="16" t="n">
        <v>0</v>
      </c>
      <c r="D21" s="16" t="n">
        <v>0</v>
      </c>
      <c r="E21" s="16" t="n">
        <v>0</v>
      </c>
      <c r="F21" s="16" t="n">
        <v>0</v>
      </c>
      <c r="G21" s="11"/>
      <c r="H21" s="11"/>
      <c r="I21" s="14"/>
      <c r="J21" s="11"/>
      <c r="K21" s="11"/>
    </row>
    <row r="22" customFormat="false" ht="15" hidden="false" customHeight="false" outlineLevel="0" collapsed="false">
      <c r="A22" s="4" t="s">
        <v>380</v>
      </c>
      <c r="B22" s="4"/>
      <c r="C22" s="16" t="n">
        <v>0</v>
      </c>
      <c r="D22" s="16" t="n">
        <v>0</v>
      </c>
      <c r="E22" s="16" t="n">
        <v>0</v>
      </c>
      <c r="F22" s="16" t="n">
        <v>0</v>
      </c>
      <c r="G22" s="11"/>
      <c r="H22" s="11"/>
      <c r="I22" s="14"/>
      <c r="J22" s="11"/>
      <c r="K22" s="11"/>
    </row>
    <row r="23" customFormat="false" ht="15" hidden="false" customHeight="false" outlineLevel="0" collapsed="false">
      <c r="A23" s="4" t="s">
        <v>381</v>
      </c>
      <c r="B23" s="4"/>
      <c r="C23" s="16" t="n">
        <v>0</v>
      </c>
      <c r="D23" s="16" t="n">
        <v>0</v>
      </c>
      <c r="E23" s="16" t="n">
        <v>0</v>
      </c>
      <c r="F23" s="16" t="n">
        <v>0</v>
      </c>
      <c r="G23" s="11"/>
      <c r="H23" s="11"/>
      <c r="I23" s="14"/>
      <c r="J23" s="11"/>
      <c r="K23" s="11"/>
    </row>
    <row r="24" customFormat="false" ht="15" hidden="false" customHeight="false" outlineLevel="0" collapsed="false">
      <c r="A24" s="4" t="s">
        <v>382</v>
      </c>
      <c r="B24" s="4"/>
      <c r="C24" s="16" t="n">
        <v>0</v>
      </c>
      <c r="D24" s="16" t="n">
        <v>0</v>
      </c>
      <c r="E24" s="16" t="n">
        <v>0</v>
      </c>
      <c r="F24" s="16" t="n">
        <v>0</v>
      </c>
      <c r="G24" s="11"/>
      <c r="H24" s="11"/>
      <c r="I24" s="14"/>
      <c r="J24" s="11"/>
      <c r="K24" s="11"/>
    </row>
    <row r="25" customFormat="false" ht="15" hidden="false" customHeight="false" outlineLevel="0" collapsed="false">
      <c r="A25" s="4" t="s">
        <v>383</v>
      </c>
      <c r="B25" s="4"/>
      <c r="C25" s="16" t="n">
        <v>0</v>
      </c>
      <c r="D25" s="16" t="n">
        <v>0</v>
      </c>
      <c r="E25" s="16" t="n">
        <v>0</v>
      </c>
      <c r="F25" s="16" t="n">
        <v>0</v>
      </c>
      <c r="G25" s="11"/>
      <c r="H25" s="11"/>
      <c r="I25" s="14"/>
      <c r="J25" s="11"/>
      <c r="K25" s="11"/>
    </row>
    <row r="26" customFormat="false" ht="15" hidden="false" customHeight="false" outlineLevel="0" collapsed="false">
      <c r="A26" s="4" t="s">
        <v>384</v>
      </c>
      <c r="B26" s="4"/>
      <c r="C26" s="16" t="n">
        <v>0</v>
      </c>
      <c r="D26" s="16" t="n">
        <v>0</v>
      </c>
      <c r="E26" s="16" t="n">
        <v>0</v>
      </c>
      <c r="F26" s="16" t="n">
        <v>0</v>
      </c>
      <c r="G26" s="11"/>
      <c r="H26" s="11"/>
      <c r="I26" s="14"/>
      <c r="J26" s="11"/>
      <c r="K26" s="11"/>
    </row>
    <row r="27" customFormat="false" ht="15" hidden="false" customHeight="false" outlineLevel="0" collapsed="false">
      <c r="A27" s="4" t="s">
        <v>385</v>
      </c>
      <c r="B27" s="4"/>
      <c r="C27" s="16" t="n">
        <v>0</v>
      </c>
      <c r="D27" s="16" t="n">
        <v>0</v>
      </c>
      <c r="E27" s="16" t="n">
        <v>0</v>
      </c>
      <c r="F27" s="16" t="n">
        <v>0</v>
      </c>
      <c r="G27" s="11"/>
      <c r="H27" s="11"/>
      <c r="I27" s="14"/>
      <c r="J27" s="11"/>
      <c r="K27" s="11"/>
    </row>
    <row r="28" customFormat="false" ht="15" hidden="false" customHeight="false" outlineLevel="0" collapsed="false">
      <c r="A28" s="4" t="s">
        <v>386</v>
      </c>
      <c r="B28" s="4"/>
      <c r="C28" s="16" t="n">
        <v>0</v>
      </c>
      <c r="D28" s="16" t="n">
        <v>0</v>
      </c>
      <c r="E28" s="16" t="n">
        <v>0</v>
      </c>
      <c r="F28" s="16" t="n">
        <v>0</v>
      </c>
      <c r="G28" s="11"/>
      <c r="H28" s="11"/>
      <c r="I28" s="14"/>
      <c r="J28" s="11"/>
      <c r="K28" s="11"/>
    </row>
    <row r="29" customFormat="false" ht="15" hidden="false" customHeight="false" outlineLevel="0" collapsed="false">
      <c r="A29" s="4" t="s">
        <v>387</v>
      </c>
      <c r="B29" s="4"/>
      <c r="C29" s="16" t="n">
        <v>0</v>
      </c>
      <c r="D29" s="16" t="n">
        <v>0</v>
      </c>
      <c r="E29" s="16" t="n">
        <v>0</v>
      </c>
      <c r="F29" s="16" t="n">
        <v>0</v>
      </c>
      <c r="G29" s="11"/>
      <c r="H29" s="11"/>
      <c r="I29" s="14"/>
      <c r="J29" s="11"/>
      <c r="K29" s="11"/>
    </row>
    <row r="30" customFormat="false" ht="15" hidden="false" customHeight="false" outlineLevel="0" collapsed="false">
      <c r="A30" s="4" t="s">
        <v>388</v>
      </c>
      <c r="B30" s="4"/>
      <c r="C30" s="16" t="n">
        <v>0</v>
      </c>
      <c r="D30" s="16" t="n">
        <v>0</v>
      </c>
      <c r="E30" s="16" t="n">
        <v>0</v>
      </c>
      <c r="F30" s="16" t="n">
        <v>0</v>
      </c>
      <c r="G30" s="11"/>
      <c r="H30" s="11"/>
      <c r="I30" s="14"/>
      <c r="J30" s="11"/>
      <c r="K30" s="11"/>
    </row>
    <row r="31" customFormat="false" ht="15" hidden="false" customHeight="false" outlineLevel="0" collapsed="false">
      <c r="A31" s="4" t="s">
        <v>389</v>
      </c>
      <c r="B31" s="4"/>
      <c r="C31" s="16" t="n">
        <v>0</v>
      </c>
      <c r="D31" s="16" t="n">
        <v>0</v>
      </c>
      <c r="E31" s="16" t="n">
        <v>0</v>
      </c>
      <c r="F31" s="16" t="n">
        <v>0</v>
      </c>
      <c r="G31" s="11"/>
      <c r="H31" s="11"/>
      <c r="I31" s="14"/>
      <c r="J31" s="11"/>
      <c r="K31" s="11"/>
    </row>
    <row r="32" customFormat="false" ht="15" hidden="false" customHeight="false" outlineLevel="0" collapsed="false">
      <c r="A32" s="4" t="s">
        <v>390</v>
      </c>
      <c r="B32" s="4"/>
      <c r="C32" s="16" t="n">
        <v>0</v>
      </c>
      <c r="D32" s="16" t="n">
        <v>0</v>
      </c>
      <c r="E32" s="16" t="n">
        <v>0</v>
      </c>
      <c r="F32" s="16" t="n">
        <v>0</v>
      </c>
      <c r="G32" s="11"/>
      <c r="H32" s="11"/>
      <c r="I32" s="14"/>
      <c r="J32" s="11"/>
      <c r="K32" s="11"/>
    </row>
    <row r="33" customFormat="false" ht="15" hidden="false" customHeight="false" outlineLevel="0" collapsed="false">
      <c r="A33" s="4" t="s">
        <v>391</v>
      </c>
      <c r="B33" s="4"/>
      <c r="C33" s="16" t="n">
        <v>0</v>
      </c>
      <c r="D33" s="16" t="n">
        <v>0</v>
      </c>
      <c r="E33" s="16" t="n">
        <v>0</v>
      </c>
      <c r="F33" s="16" t="n">
        <v>0</v>
      </c>
      <c r="G33" s="11"/>
      <c r="H33" s="11"/>
      <c r="I33" s="14"/>
      <c r="J33" s="11"/>
      <c r="K33" s="11"/>
    </row>
    <row r="34" customFormat="false" ht="15" hidden="false" customHeight="false" outlineLevel="0" collapsed="false">
      <c r="A34" s="4" t="s">
        <v>392</v>
      </c>
      <c r="B34" s="4"/>
      <c r="C34" s="16" t="n">
        <v>0</v>
      </c>
      <c r="D34" s="16" t="n">
        <v>0</v>
      </c>
      <c r="E34" s="16" t="n">
        <v>0</v>
      </c>
      <c r="F34" s="16" t="n">
        <v>0</v>
      </c>
      <c r="G34" s="11"/>
      <c r="H34" s="11"/>
      <c r="I34" s="14"/>
      <c r="J34" s="11"/>
      <c r="K34" s="11"/>
    </row>
    <row r="35" customFormat="false" ht="15" hidden="false" customHeight="false" outlineLevel="0" collapsed="false">
      <c r="A35" s="4" t="s">
        <v>393</v>
      </c>
      <c r="B35" s="4"/>
      <c r="C35" s="16" t="n">
        <v>0</v>
      </c>
      <c r="D35" s="16" t="n">
        <v>0</v>
      </c>
      <c r="E35" s="16" t="n">
        <v>0</v>
      </c>
      <c r="F35" s="16" t="n">
        <v>0</v>
      </c>
      <c r="G35" s="11"/>
      <c r="H35" s="11"/>
      <c r="I35" s="14"/>
      <c r="J35" s="11"/>
      <c r="K35" s="11"/>
    </row>
    <row r="36" customFormat="false" ht="15" hidden="false" customHeight="false" outlineLevel="0" collapsed="false">
      <c r="A36" s="4" t="s">
        <v>394</v>
      </c>
      <c r="B36" s="4"/>
      <c r="C36" s="16" t="n">
        <v>0</v>
      </c>
      <c r="D36" s="16" t="n">
        <v>0</v>
      </c>
      <c r="E36" s="16" t="n">
        <v>0</v>
      </c>
      <c r="F36" s="16" t="n">
        <v>0</v>
      </c>
      <c r="G36" s="11"/>
      <c r="H36" s="11"/>
      <c r="I36" s="14"/>
      <c r="J36" s="11"/>
      <c r="K36" s="11"/>
    </row>
    <row r="37" customFormat="false" ht="15" hidden="false" customHeight="false" outlineLevel="0" collapsed="false">
      <c r="A37" s="4" t="s">
        <v>395</v>
      </c>
      <c r="B37" s="4"/>
      <c r="C37" s="16" t="n">
        <v>0</v>
      </c>
      <c r="D37" s="16" t="n">
        <v>0</v>
      </c>
      <c r="E37" s="16" t="n">
        <v>0</v>
      </c>
      <c r="F37" s="16" t="n">
        <v>0</v>
      </c>
      <c r="G37" s="11"/>
      <c r="H37" s="11"/>
      <c r="I37" s="14"/>
      <c r="J37" s="11"/>
      <c r="K37" s="11"/>
    </row>
    <row r="38" customFormat="false" ht="15" hidden="false" customHeight="false" outlineLevel="0" collapsed="false">
      <c r="A38" s="4" t="s">
        <v>396</v>
      </c>
      <c r="B38" s="4"/>
      <c r="C38" s="16" t="n">
        <v>0</v>
      </c>
      <c r="D38" s="16" t="n">
        <v>0</v>
      </c>
      <c r="E38" s="16" t="n">
        <v>0</v>
      </c>
      <c r="F38" s="16" t="n">
        <v>0</v>
      </c>
      <c r="G38" s="11"/>
      <c r="H38" s="11"/>
      <c r="I38" s="14"/>
      <c r="J38" s="11"/>
      <c r="K38" s="11"/>
    </row>
    <row r="39" customFormat="false" ht="15" hidden="false" customHeight="false" outlineLevel="0" collapsed="false">
      <c r="A39" s="4" t="s">
        <v>397</v>
      </c>
      <c r="B39" s="4"/>
      <c r="C39" s="16" t="n">
        <v>0</v>
      </c>
      <c r="D39" s="16" t="n">
        <v>0</v>
      </c>
      <c r="E39" s="16" t="n">
        <v>0</v>
      </c>
      <c r="F39" s="16" t="n">
        <v>0</v>
      </c>
      <c r="G39" s="11"/>
      <c r="H39" s="11"/>
      <c r="I39" s="14"/>
      <c r="J39" s="11"/>
      <c r="K39" s="11"/>
    </row>
    <row r="40" customFormat="false" ht="15" hidden="false" customHeight="false" outlineLevel="0" collapsed="false">
      <c r="A40" s="4" t="s">
        <v>398</v>
      </c>
      <c r="B40" s="4"/>
      <c r="C40" s="16" t="n">
        <v>0</v>
      </c>
      <c r="D40" s="16" t="n">
        <v>0</v>
      </c>
      <c r="E40" s="16" t="n">
        <v>0</v>
      </c>
      <c r="F40" s="16" t="n">
        <v>0</v>
      </c>
      <c r="G40" s="11"/>
      <c r="H40" s="11"/>
      <c r="I40" s="14"/>
      <c r="J40" s="11"/>
      <c r="K40" s="11"/>
    </row>
    <row r="41" customFormat="false" ht="15" hidden="false" customHeight="false" outlineLevel="0" collapsed="false">
      <c r="A41" s="4" t="s">
        <v>399</v>
      </c>
      <c r="B41" s="4"/>
      <c r="C41" s="16" t="n">
        <v>0</v>
      </c>
      <c r="D41" s="16" t="n">
        <v>0</v>
      </c>
      <c r="E41" s="16" t="n">
        <v>0</v>
      </c>
      <c r="F41" s="16" t="n">
        <v>0</v>
      </c>
      <c r="G41" s="11"/>
      <c r="H41" s="11"/>
      <c r="I41" s="14"/>
      <c r="J41" s="11"/>
      <c r="K41" s="11"/>
    </row>
    <row r="42" customFormat="false" ht="15" hidden="false" customHeight="false" outlineLevel="0" collapsed="false">
      <c r="A42" s="4" t="s">
        <v>400</v>
      </c>
      <c r="B42" s="4"/>
      <c r="C42" s="16" t="n">
        <v>0</v>
      </c>
      <c r="D42" s="16" t="n">
        <v>0</v>
      </c>
      <c r="E42" s="16" t="n">
        <v>0</v>
      </c>
      <c r="F42" s="16" t="n">
        <v>0</v>
      </c>
      <c r="G42" s="11"/>
      <c r="H42" s="11"/>
      <c r="I42" s="14"/>
      <c r="J42" s="11"/>
      <c r="K42" s="11"/>
    </row>
    <row r="43" customFormat="false" ht="15" hidden="false" customHeight="false" outlineLevel="0" collapsed="false">
      <c r="A43" s="4" t="s">
        <v>401</v>
      </c>
      <c r="B43" s="4"/>
      <c r="C43" s="16" t="n">
        <v>0</v>
      </c>
      <c r="D43" s="16" t="n">
        <v>0</v>
      </c>
      <c r="E43" s="16" t="n">
        <v>0</v>
      </c>
      <c r="F43" s="16" t="n">
        <v>0</v>
      </c>
      <c r="G43" s="11"/>
      <c r="H43" s="11"/>
      <c r="I43" s="14"/>
      <c r="J43" s="11"/>
      <c r="K43" s="11"/>
    </row>
    <row r="44" customFormat="false" ht="15" hidden="false" customHeight="false" outlineLevel="0" collapsed="false">
      <c r="A44" s="4" t="s">
        <v>402</v>
      </c>
      <c r="B44" s="4"/>
      <c r="C44" s="16" t="n">
        <v>0</v>
      </c>
      <c r="D44" s="16" t="n">
        <v>0</v>
      </c>
      <c r="E44" s="16" t="n">
        <v>0</v>
      </c>
      <c r="F44" s="16" t="n">
        <v>0</v>
      </c>
      <c r="G44" s="11"/>
      <c r="H44" s="11"/>
      <c r="I44" s="14"/>
      <c r="J44" s="11"/>
      <c r="K44" s="11"/>
    </row>
    <row r="45" customFormat="false" ht="15" hidden="false" customHeight="false" outlineLevel="0" collapsed="false">
      <c r="A45" s="4" t="s">
        <v>403</v>
      </c>
      <c r="B45" s="4"/>
      <c r="C45" s="16" t="n">
        <v>0</v>
      </c>
      <c r="D45" s="16" t="n">
        <v>0</v>
      </c>
      <c r="E45" s="16" t="n">
        <v>0</v>
      </c>
      <c r="F45" s="16" t="n">
        <v>0</v>
      </c>
      <c r="G45" s="11"/>
      <c r="H45" s="11"/>
      <c r="I45" s="14"/>
      <c r="J45" s="11"/>
      <c r="K45" s="11"/>
    </row>
  </sheetData>
  <mergeCells count="2">
    <mergeCell ref="A1:K1"/>
    <mergeCell ref="A2:K2"/>
  </mergeCells>
  <conditionalFormatting sqref="J6:J45">
    <cfRule type="containsText" priority="2" operator="containsText" aboveAverage="0" equalAverage="0" bottom="0" percent="0" rank="0" text="已完成" dxfId="11">
      <formula>NOT(ISERROR(SEARCH("已完成",J6)))</formula>
    </cfRule>
    <cfRule type="containsText" priority="3" operator="containsText" aboveAverage="0" equalAverage="0" bottom="0" percent="0" rank="0" text="高" dxfId="12">
      <formula>NOT(ISERROR(SEARCH("高",J6)))</formula>
    </cfRule>
  </conditionalFormatting>
  <dataValidations count="1">
    <dataValidation allowBlank="false" errorStyle="stop" operator="between" showDropDown="false" showErrorMessage="false" showInputMessage="false" sqref="J6:J45" type="list">
      <formula1>"Open,In Progress,Resolved,Closed"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42"/>
  </cols>
  <sheetData>
    <row r="1" customFormat="false" ht="30" hidden="false" customHeight="true" outlineLevel="0" collapsed="false">
      <c r="A1" s="1" t="s">
        <v>428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8" hidden="false" customHeight="true" outlineLevel="0" collapsed="false">
      <c r="A2" s="2" t="s">
        <v>429</v>
      </c>
      <c r="B2" s="2"/>
      <c r="C2" s="2"/>
      <c r="D2" s="2"/>
      <c r="E2" s="2"/>
      <c r="F2" s="2"/>
      <c r="G2" s="2"/>
      <c r="H2" s="2"/>
      <c r="I2" s="2"/>
      <c r="J2" s="2"/>
    </row>
    <row r="5" customFormat="false" ht="34" hidden="false" customHeight="true" outlineLevel="0" collapsed="false">
      <c r="A5" s="3" t="s">
        <v>430</v>
      </c>
      <c r="B5" s="3" t="s">
        <v>431</v>
      </c>
      <c r="C5" s="3" t="s">
        <v>432</v>
      </c>
      <c r="D5" s="3" t="s">
        <v>304</v>
      </c>
      <c r="E5" s="3" t="s">
        <v>433</v>
      </c>
      <c r="F5" s="3" t="s">
        <v>434</v>
      </c>
      <c r="G5" s="3" t="s">
        <v>435</v>
      </c>
      <c r="H5" s="3" t="s">
        <v>436</v>
      </c>
      <c r="I5" s="3" t="s">
        <v>104</v>
      </c>
      <c r="J5" s="3" t="s">
        <v>437</v>
      </c>
    </row>
    <row r="6" customFormat="false" ht="15" hidden="false" customHeight="false" outlineLevel="0" collapsed="false">
      <c r="A6" s="4" t="s">
        <v>438</v>
      </c>
      <c r="B6" s="4" t="s">
        <v>439</v>
      </c>
      <c r="C6" s="9" t="n">
        <v>46387</v>
      </c>
      <c r="D6" s="4" t="s">
        <v>440</v>
      </c>
      <c r="E6" s="4" t="s">
        <v>441</v>
      </c>
      <c r="F6" s="4" t="s">
        <v>442</v>
      </c>
      <c r="G6" s="4" t="s">
        <v>443</v>
      </c>
      <c r="H6" s="4" t="s">
        <v>444</v>
      </c>
      <c r="I6" s="11" t="s">
        <v>283</v>
      </c>
      <c r="J6" s="11"/>
    </row>
    <row r="7" customFormat="false" ht="15" hidden="false" customHeight="false" outlineLevel="0" collapsed="false">
      <c r="A7" s="4" t="s">
        <v>445</v>
      </c>
      <c r="B7" s="4" t="s">
        <v>446</v>
      </c>
      <c r="C7" s="9" t="n">
        <v>46295</v>
      </c>
      <c r="D7" s="4" t="s">
        <v>447</v>
      </c>
      <c r="E7" s="4" t="s">
        <v>448</v>
      </c>
      <c r="F7" s="4" t="s">
        <v>449</v>
      </c>
      <c r="G7" s="4" t="s">
        <v>72</v>
      </c>
      <c r="H7" s="4" t="s">
        <v>450</v>
      </c>
      <c r="I7" s="11" t="s">
        <v>283</v>
      </c>
      <c r="J7" s="11"/>
    </row>
  </sheetData>
  <mergeCells count="2">
    <mergeCell ref="A1:J1"/>
    <mergeCell ref="A2:J2"/>
  </mergeCells>
  <conditionalFormatting sqref="I6:I7">
    <cfRule type="containsText" priority="2" operator="containsText" aboveAverage="0" equalAverage="0" bottom="0" percent="0" rank="0" text="已完成" dxfId="13">
      <formula>NOT(ISERROR(SEARCH("已完成",I6)))</formula>
    </cfRule>
    <cfRule type="containsText" priority="3" operator="containsText" aboveAverage="0" equalAverage="0" bottom="0" percent="0" rank="0" text="高" dxfId="14">
      <formula>NOT(ISERROR(SEARCH("高",I6)))</formula>
    </cfRule>
  </conditionalFormatting>
  <dataValidations count="1">
    <dataValidation allowBlank="false" errorStyle="stop" operator="between" showDropDown="false" showErrorMessage="false" showInputMessage="false" sqref="I6:I7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4" min="3" style="0" width="26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42"/>
  </cols>
  <sheetData>
    <row r="1" customFormat="false" ht="30" hidden="false" customHeight="true" outlineLevel="0" collapsed="false">
      <c r="A1" s="1" t="s">
        <v>451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8" hidden="false" customHeight="true" outlineLevel="0" collapsed="false">
      <c r="A2" s="2" t="s">
        <v>452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customFormat="false" ht="34" hidden="false" customHeight="true" outlineLevel="0" collapsed="false">
      <c r="A5" s="3" t="s">
        <v>453</v>
      </c>
      <c r="B5" s="3" t="s">
        <v>213</v>
      </c>
      <c r="C5" s="3" t="s">
        <v>95</v>
      </c>
      <c r="D5" s="3" t="s">
        <v>98</v>
      </c>
      <c r="E5" s="3" t="s">
        <v>97</v>
      </c>
      <c r="F5" s="3" t="s">
        <v>454</v>
      </c>
      <c r="G5" s="3" t="s">
        <v>455</v>
      </c>
      <c r="H5" s="3" t="s">
        <v>456</v>
      </c>
      <c r="I5" s="3" t="s">
        <v>457</v>
      </c>
      <c r="J5" s="3" t="s">
        <v>104</v>
      </c>
      <c r="K5" s="3" t="s">
        <v>437</v>
      </c>
    </row>
    <row r="6" customFormat="false" ht="15" hidden="false" customHeight="false" outlineLevel="0" collapsed="false">
      <c r="A6" s="4" t="s">
        <v>458</v>
      </c>
      <c r="B6" s="4" t="s">
        <v>107</v>
      </c>
      <c r="C6" s="4" t="s">
        <v>108</v>
      </c>
      <c r="D6" s="4" t="s">
        <v>111</v>
      </c>
      <c r="E6" s="4" t="s">
        <v>110</v>
      </c>
      <c r="F6" s="11"/>
      <c r="G6" s="11"/>
      <c r="H6" s="11"/>
      <c r="I6" s="11"/>
      <c r="J6" s="11" t="s">
        <v>459</v>
      </c>
      <c r="K6" s="11"/>
    </row>
    <row r="7" customFormat="false" ht="15" hidden="false" customHeight="false" outlineLevel="0" collapsed="false">
      <c r="A7" s="4" t="s">
        <v>460</v>
      </c>
      <c r="B7" s="4" t="s">
        <v>114</v>
      </c>
      <c r="C7" s="4" t="s">
        <v>115</v>
      </c>
      <c r="D7" s="4" t="s">
        <v>116</v>
      </c>
      <c r="E7" s="4" t="s">
        <v>110</v>
      </c>
      <c r="F7" s="11"/>
      <c r="G7" s="11"/>
      <c r="H7" s="11"/>
      <c r="I7" s="11"/>
      <c r="J7" s="11" t="s">
        <v>459</v>
      </c>
      <c r="K7" s="11"/>
    </row>
    <row r="8" customFormat="false" ht="15" hidden="false" customHeight="false" outlineLevel="0" collapsed="false">
      <c r="A8" s="4" t="s">
        <v>461</v>
      </c>
      <c r="B8" s="4" t="s">
        <v>117</v>
      </c>
      <c r="C8" s="4" t="s">
        <v>118</v>
      </c>
      <c r="D8" s="4" t="s">
        <v>119</v>
      </c>
      <c r="E8" s="4" t="s">
        <v>110</v>
      </c>
      <c r="F8" s="11"/>
      <c r="G8" s="11"/>
      <c r="H8" s="11"/>
      <c r="I8" s="11"/>
      <c r="J8" s="11" t="s">
        <v>459</v>
      </c>
      <c r="K8" s="11"/>
    </row>
    <row r="9" customFormat="false" ht="15" hidden="false" customHeight="false" outlineLevel="0" collapsed="false">
      <c r="A9" s="4" t="s">
        <v>462</v>
      </c>
      <c r="B9" s="4" t="s">
        <v>122</v>
      </c>
      <c r="C9" s="4" t="s">
        <v>123</v>
      </c>
      <c r="D9" s="4" t="s">
        <v>124</v>
      </c>
      <c r="E9" s="4" t="s">
        <v>110</v>
      </c>
      <c r="F9" s="11"/>
      <c r="G9" s="11"/>
      <c r="H9" s="11"/>
      <c r="I9" s="11"/>
      <c r="J9" s="11" t="s">
        <v>459</v>
      </c>
      <c r="K9" s="11"/>
    </row>
    <row r="10" customFormat="false" ht="15" hidden="false" customHeight="false" outlineLevel="0" collapsed="false">
      <c r="A10" s="4" t="s">
        <v>463</v>
      </c>
      <c r="B10" s="4" t="s">
        <v>127</v>
      </c>
      <c r="C10" s="4" t="s">
        <v>128</v>
      </c>
      <c r="D10" s="4" t="s">
        <v>130</v>
      </c>
      <c r="E10" s="4" t="s">
        <v>110</v>
      </c>
      <c r="F10" s="11"/>
      <c r="G10" s="11"/>
      <c r="H10" s="11"/>
      <c r="I10" s="11"/>
      <c r="J10" s="11" t="s">
        <v>459</v>
      </c>
      <c r="K10" s="11"/>
    </row>
    <row r="11" customFormat="false" ht="15" hidden="false" customHeight="false" outlineLevel="0" collapsed="false">
      <c r="A11" s="4" t="s">
        <v>464</v>
      </c>
      <c r="B11" s="4" t="s">
        <v>131</v>
      </c>
      <c r="C11" s="4" t="s">
        <v>132</v>
      </c>
      <c r="D11" s="4" t="s">
        <v>134</v>
      </c>
      <c r="E11" s="4" t="s">
        <v>110</v>
      </c>
      <c r="F11" s="11"/>
      <c r="G11" s="11"/>
      <c r="H11" s="11"/>
      <c r="I11" s="11"/>
      <c r="J11" s="11" t="s">
        <v>459</v>
      </c>
      <c r="K11" s="11"/>
    </row>
    <row r="12" customFormat="false" ht="15" hidden="false" customHeight="false" outlineLevel="0" collapsed="false">
      <c r="A12" s="4" t="s">
        <v>465</v>
      </c>
      <c r="B12" s="4" t="s">
        <v>136</v>
      </c>
      <c r="C12" s="4" t="s">
        <v>137</v>
      </c>
      <c r="D12" s="4" t="s">
        <v>139</v>
      </c>
      <c r="E12" s="4" t="s">
        <v>110</v>
      </c>
      <c r="F12" s="11"/>
      <c r="G12" s="11"/>
      <c r="H12" s="11"/>
      <c r="I12" s="11"/>
      <c r="J12" s="11" t="s">
        <v>459</v>
      </c>
      <c r="K12" s="11"/>
    </row>
    <row r="13" customFormat="false" ht="15" hidden="false" customHeight="false" outlineLevel="0" collapsed="false">
      <c r="A13" s="4" t="s">
        <v>466</v>
      </c>
      <c r="B13" s="4" t="s">
        <v>142</v>
      </c>
      <c r="C13" s="4" t="s">
        <v>143</v>
      </c>
      <c r="D13" s="4" t="s">
        <v>145</v>
      </c>
      <c r="E13" s="4" t="s">
        <v>144</v>
      </c>
      <c r="F13" s="11"/>
      <c r="G13" s="11"/>
      <c r="H13" s="11"/>
      <c r="I13" s="11"/>
      <c r="J13" s="11" t="s">
        <v>459</v>
      </c>
      <c r="K13" s="11"/>
    </row>
    <row r="14" customFormat="false" ht="15" hidden="false" customHeight="false" outlineLevel="0" collapsed="false">
      <c r="A14" s="4" t="s">
        <v>467</v>
      </c>
      <c r="B14" s="4" t="s">
        <v>147</v>
      </c>
      <c r="C14" s="4" t="s">
        <v>148</v>
      </c>
      <c r="D14" s="4" t="s">
        <v>149</v>
      </c>
      <c r="E14" s="4" t="s">
        <v>144</v>
      </c>
      <c r="F14" s="11"/>
      <c r="G14" s="11"/>
      <c r="H14" s="11"/>
      <c r="I14" s="11"/>
      <c r="J14" s="11" t="s">
        <v>459</v>
      </c>
      <c r="K14" s="11"/>
    </row>
    <row r="15" customFormat="false" ht="15" hidden="false" customHeight="false" outlineLevel="0" collapsed="false">
      <c r="A15" s="4" t="s">
        <v>468</v>
      </c>
      <c r="B15" s="4" t="s">
        <v>151</v>
      </c>
      <c r="C15" s="4" t="s">
        <v>152</v>
      </c>
      <c r="D15" s="4" t="s">
        <v>154</v>
      </c>
      <c r="E15" s="4" t="s">
        <v>110</v>
      </c>
      <c r="F15" s="11"/>
      <c r="G15" s="11"/>
      <c r="H15" s="11"/>
      <c r="I15" s="11"/>
      <c r="J15" s="11" t="s">
        <v>459</v>
      </c>
      <c r="K15" s="11"/>
    </row>
    <row r="16" customFormat="false" ht="15" hidden="false" customHeight="false" outlineLevel="0" collapsed="false">
      <c r="A16" s="4" t="s">
        <v>469</v>
      </c>
      <c r="B16" s="4" t="s">
        <v>155</v>
      </c>
      <c r="C16" s="4" t="s">
        <v>156</v>
      </c>
      <c r="D16" s="4" t="s">
        <v>158</v>
      </c>
      <c r="E16" s="4" t="s">
        <v>110</v>
      </c>
      <c r="F16" s="11"/>
      <c r="G16" s="11"/>
      <c r="H16" s="11"/>
      <c r="I16" s="11"/>
      <c r="J16" s="11" t="s">
        <v>459</v>
      </c>
      <c r="K16" s="11"/>
    </row>
    <row r="17" customFormat="false" ht="15" hidden="false" customHeight="false" outlineLevel="0" collapsed="false">
      <c r="A17" s="4" t="s">
        <v>470</v>
      </c>
      <c r="B17" s="4" t="s">
        <v>160</v>
      </c>
      <c r="C17" s="4" t="s">
        <v>161</v>
      </c>
      <c r="D17" s="4" t="s">
        <v>162</v>
      </c>
      <c r="E17" s="4" t="s">
        <v>110</v>
      </c>
      <c r="F17" s="11"/>
      <c r="G17" s="11"/>
      <c r="H17" s="11"/>
      <c r="I17" s="11"/>
      <c r="J17" s="11" t="s">
        <v>459</v>
      </c>
      <c r="K17" s="11"/>
    </row>
    <row r="18" customFormat="false" ht="15" hidden="false" customHeight="false" outlineLevel="0" collapsed="false">
      <c r="A18" s="4" t="s">
        <v>471</v>
      </c>
      <c r="B18" s="4" t="s">
        <v>163</v>
      </c>
      <c r="C18" s="4" t="s">
        <v>164</v>
      </c>
      <c r="D18" s="4" t="s">
        <v>165</v>
      </c>
      <c r="E18" s="4" t="s">
        <v>110</v>
      </c>
      <c r="F18" s="11"/>
      <c r="G18" s="11"/>
      <c r="H18" s="11"/>
      <c r="I18" s="11"/>
      <c r="J18" s="11" t="s">
        <v>459</v>
      </c>
      <c r="K18" s="11"/>
    </row>
    <row r="19" customFormat="false" ht="15" hidden="false" customHeight="false" outlineLevel="0" collapsed="false">
      <c r="A19" s="4" t="s">
        <v>472</v>
      </c>
      <c r="B19" s="4" t="s">
        <v>167</v>
      </c>
      <c r="C19" s="4" t="s">
        <v>168</v>
      </c>
      <c r="D19" s="4" t="s">
        <v>170</v>
      </c>
      <c r="E19" s="4" t="s">
        <v>110</v>
      </c>
      <c r="F19" s="11"/>
      <c r="G19" s="11"/>
      <c r="H19" s="11"/>
      <c r="I19" s="11"/>
      <c r="J19" s="11" t="s">
        <v>459</v>
      </c>
      <c r="K19" s="11"/>
    </row>
    <row r="20" customFormat="false" ht="15" hidden="false" customHeight="false" outlineLevel="0" collapsed="false">
      <c r="A20" s="4" t="s">
        <v>473</v>
      </c>
      <c r="B20" s="4" t="s">
        <v>172</v>
      </c>
      <c r="C20" s="4" t="s">
        <v>173</v>
      </c>
      <c r="D20" s="4" t="s">
        <v>175</v>
      </c>
      <c r="E20" s="4" t="s">
        <v>110</v>
      </c>
      <c r="F20" s="11"/>
      <c r="G20" s="11"/>
      <c r="H20" s="11"/>
      <c r="I20" s="11"/>
      <c r="J20" s="11" t="s">
        <v>459</v>
      </c>
      <c r="K20" s="11"/>
    </row>
    <row r="21" customFormat="false" ht="15" hidden="false" customHeight="false" outlineLevel="0" collapsed="false">
      <c r="A21" s="4" t="s">
        <v>474</v>
      </c>
      <c r="B21" s="4" t="s">
        <v>177</v>
      </c>
      <c r="C21" s="4" t="s">
        <v>178</v>
      </c>
      <c r="D21" s="4" t="s">
        <v>180</v>
      </c>
      <c r="E21" s="4" t="s">
        <v>110</v>
      </c>
      <c r="F21" s="11"/>
      <c r="G21" s="11"/>
      <c r="H21" s="11"/>
      <c r="I21" s="11"/>
      <c r="J21" s="11" t="s">
        <v>459</v>
      </c>
      <c r="K21" s="11"/>
    </row>
    <row r="22" customFormat="false" ht="15" hidden="false" customHeight="false" outlineLevel="0" collapsed="false">
      <c r="A22" s="4" t="s">
        <v>475</v>
      </c>
      <c r="B22" s="4" t="s">
        <v>182</v>
      </c>
      <c r="C22" s="4" t="s">
        <v>183</v>
      </c>
      <c r="D22" s="4" t="s">
        <v>184</v>
      </c>
      <c r="E22" s="4" t="s">
        <v>110</v>
      </c>
      <c r="F22" s="11"/>
      <c r="G22" s="11"/>
      <c r="H22" s="11"/>
      <c r="I22" s="11"/>
      <c r="J22" s="11" t="s">
        <v>459</v>
      </c>
      <c r="K22" s="11"/>
    </row>
    <row r="23" customFormat="false" ht="15" hidden="false" customHeight="false" outlineLevel="0" collapsed="false">
      <c r="A23" s="4" t="s">
        <v>476</v>
      </c>
      <c r="B23" s="4" t="s">
        <v>186</v>
      </c>
      <c r="C23" s="4" t="s">
        <v>187</v>
      </c>
      <c r="D23" s="4" t="s">
        <v>190</v>
      </c>
      <c r="E23" s="4" t="s">
        <v>189</v>
      </c>
      <c r="F23" s="11"/>
      <c r="G23" s="11"/>
      <c r="H23" s="11"/>
      <c r="I23" s="11"/>
      <c r="J23" s="11" t="s">
        <v>459</v>
      </c>
      <c r="K23" s="11"/>
    </row>
  </sheetData>
  <mergeCells count="2">
    <mergeCell ref="A1:K1"/>
    <mergeCell ref="A2:K2"/>
  </mergeCells>
  <conditionalFormatting sqref="J6:J23">
    <cfRule type="containsText" priority="2" operator="containsText" aboveAverage="0" equalAverage="0" bottom="0" percent="0" rank="0" text="已完成" dxfId="15">
      <formula>NOT(ISERROR(SEARCH("已完成",J6)))</formula>
    </cfRule>
    <cfRule type="containsText" priority="3" operator="containsText" aboveAverage="0" equalAverage="0" bottom="0" percent="0" rank="0" text="高" dxfId="16">
      <formula>NOT(ISERROR(SEARCH("高",J6)))</formula>
    </cfRule>
  </conditionalFormatting>
  <dataValidations count="1">
    <dataValidation allowBlank="false" errorStyle="stop" operator="between" showDropDown="false" showErrorMessage="false" showInputMessage="false" sqref="J6:J23" type="list">
      <formula1>"未盘,已初盘,已复盘,已确认"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6" min="4" style="0" width="13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32"/>
    <col collapsed="false" customWidth="true" hidden="false" outlineLevel="0" max="11" min="10" style="0" width="14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4" min="14" style="0" width="40"/>
  </cols>
  <sheetData>
    <row r="1" customFormat="false" ht="30" hidden="false" customHeight="true" outlineLevel="0" collapsed="false">
      <c r="A1" s="1" t="s">
        <v>477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8" hidden="false" customHeight="true" outlineLevel="0" collapsed="false">
      <c r="A2" s="2" t="s">
        <v>478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5" customFormat="false" ht="34" hidden="false" customHeight="true" outlineLevel="0" collapsed="false">
      <c r="A5" s="3" t="s">
        <v>479</v>
      </c>
      <c r="B5" s="3" t="s">
        <v>213</v>
      </c>
      <c r="C5" s="3" t="s">
        <v>59</v>
      </c>
      <c r="D5" s="3" t="s">
        <v>480</v>
      </c>
      <c r="E5" s="3" t="s">
        <v>481</v>
      </c>
      <c r="F5" s="3" t="s">
        <v>482</v>
      </c>
      <c r="G5" s="3" t="s">
        <v>100</v>
      </c>
      <c r="H5" s="3" t="s">
        <v>483</v>
      </c>
      <c r="I5" s="3" t="s">
        <v>423</v>
      </c>
      <c r="J5" s="3" t="s">
        <v>277</v>
      </c>
      <c r="K5" s="3" t="s">
        <v>424</v>
      </c>
      <c r="L5" s="3" t="s">
        <v>484</v>
      </c>
      <c r="M5" s="3" t="s">
        <v>104</v>
      </c>
      <c r="N5" s="3" t="s">
        <v>485</v>
      </c>
    </row>
    <row r="6" customFormat="false" ht="15" hidden="false" customHeight="false" outlineLevel="0" collapsed="false">
      <c r="A6" s="4" t="s">
        <v>486</v>
      </c>
      <c r="B6" s="4" t="s">
        <v>107</v>
      </c>
      <c r="C6" s="4" t="s">
        <v>111</v>
      </c>
      <c r="D6" s="8" t="n">
        <v>18000</v>
      </c>
      <c r="E6" s="8" t="n">
        <v>17800</v>
      </c>
      <c r="F6" s="8" t="n">
        <v>-200</v>
      </c>
      <c r="G6" s="8" t="n">
        <v>86</v>
      </c>
      <c r="H6" s="8" t="n">
        <v>-17200</v>
      </c>
      <c r="I6" s="11" t="s">
        <v>487</v>
      </c>
      <c r="J6" s="11" t="s">
        <v>449</v>
      </c>
      <c r="K6" s="14" t="n">
        <v>46270</v>
      </c>
      <c r="L6" s="11" t="s">
        <v>488</v>
      </c>
      <c r="M6" s="11" t="s">
        <v>426</v>
      </c>
      <c r="N6" s="11"/>
    </row>
    <row r="7" customFormat="false" ht="15" hidden="false" customHeight="false" outlineLevel="0" collapsed="false">
      <c r="A7" s="4" t="s">
        <v>489</v>
      </c>
      <c r="B7" s="4" t="s">
        <v>182</v>
      </c>
      <c r="C7" s="4" t="s">
        <v>184</v>
      </c>
      <c r="D7" s="8" t="n">
        <v>-300</v>
      </c>
      <c r="E7" s="8" t="n">
        <v>0</v>
      </c>
      <c r="F7" s="8" t="n">
        <v>300</v>
      </c>
      <c r="G7" s="8" t="n">
        <v>86</v>
      </c>
      <c r="H7" s="8" t="n">
        <v>25800</v>
      </c>
      <c r="I7" s="11" t="s">
        <v>490</v>
      </c>
      <c r="J7" s="11" t="s">
        <v>491</v>
      </c>
      <c r="K7" s="14" t="n">
        <v>46268</v>
      </c>
      <c r="L7" s="11" t="s">
        <v>492</v>
      </c>
      <c r="M7" s="11" t="s">
        <v>426</v>
      </c>
      <c r="N7" s="11"/>
    </row>
    <row r="8" customFormat="false" ht="15" hidden="false" customHeight="false" outlineLevel="0" collapsed="false">
      <c r="A8" s="4" t="s">
        <v>493</v>
      </c>
      <c r="B8" s="4"/>
      <c r="C8" s="4"/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11"/>
      <c r="J8" s="11"/>
      <c r="K8" s="14"/>
      <c r="L8" s="11"/>
      <c r="M8" s="11"/>
      <c r="N8" s="11"/>
    </row>
    <row r="9" customFormat="false" ht="15" hidden="false" customHeight="false" outlineLevel="0" collapsed="false">
      <c r="A9" s="4" t="s">
        <v>494</v>
      </c>
      <c r="B9" s="4"/>
      <c r="C9" s="4"/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11"/>
      <c r="J9" s="11"/>
      <c r="K9" s="14"/>
      <c r="L9" s="11"/>
      <c r="M9" s="11"/>
      <c r="N9" s="11"/>
    </row>
    <row r="10" customFormat="false" ht="15" hidden="false" customHeight="false" outlineLevel="0" collapsed="false">
      <c r="A10" s="4" t="s">
        <v>495</v>
      </c>
      <c r="B10" s="4"/>
      <c r="C10" s="4"/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11"/>
      <c r="J10" s="11"/>
      <c r="K10" s="14"/>
      <c r="L10" s="11"/>
      <c r="M10" s="11"/>
      <c r="N10" s="11"/>
    </row>
    <row r="11" customFormat="false" ht="15" hidden="false" customHeight="false" outlineLevel="0" collapsed="false">
      <c r="A11" s="4" t="s">
        <v>496</v>
      </c>
      <c r="B11" s="4"/>
      <c r="C11" s="4"/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11"/>
      <c r="J11" s="11"/>
      <c r="K11" s="14"/>
      <c r="L11" s="11"/>
      <c r="M11" s="11"/>
      <c r="N11" s="11"/>
    </row>
    <row r="12" customFormat="false" ht="15" hidden="false" customHeight="false" outlineLevel="0" collapsed="false">
      <c r="A12" s="4" t="s">
        <v>497</v>
      </c>
      <c r="B12" s="4"/>
      <c r="C12" s="4"/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11"/>
      <c r="J12" s="11"/>
      <c r="K12" s="14"/>
      <c r="L12" s="11"/>
      <c r="M12" s="11"/>
      <c r="N12" s="11"/>
    </row>
    <row r="13" customFormat="false" ht="15" hidden="false" customHeight="false" outlineLevel="0" collapsed="false">
      <c r="A13" s="4" t="s">
        <v>498</v>
      </c>
      <c r="B13" s="4"/>
      <c r="C13" s="4"/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11"/>
      <c r="J13" s="11"/>
      <c r="K13" s="14"/>
      <c r="L13" s="11"/>
      <c r="M13" s="11"/>
      <c r="N13" s="11"/>
    </row>
    <row r="14" customFormat="false" ht="15" hidden="false" customHeight="false" outlineLevel="0" collapsed="false">
      <c r="A14" s="4" t="s">
        <v>499</v>
      </c>
      <c r="B14" s="4"/>
      <c r="C14" s="4"/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11"/>
      <c r="J14" s="11"/>
      <c r="K14" s="14"/>
      <c r="L14" s="11"/>
      <c r="M14" s="11"/>
      <c r="N14" s="11"/>
    </row>
    <row r="15" customFormat="false" ht="15" hidden="false" customHeight="false" outlineLevel="0" collapsed="false">
      <c r="A15" s="4" t="s">
        <v>500</v>
      </c>
      <c r="B15" s="4"/>
      <c r="C15" s="4"/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11"/>
      <c r="J15" s="11"/>
      <c r="K15" s="14"/>
      <c r="L15" s="11"/>
      <c r="M15" s="11"/>
      <c r="N15" s="11"/>
    </row>
    <row r="16" customFormat="false" ht="15" hidden="false" customHeight="false" outlineLevel="0" collapsed="false">
      <c r="A16" s="4" t="s">
        <v>501</v>
      </c>
      <c r="B16" s="4"/>
      <c r="C16" s="4"/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11"/>
      <c r="J16" s="11"/>
      <c r="K16" s="14"/>
      <c r="L16" s="11"/>
      <c r="M16" s="11"/>
      <c r="N16" s="11"/>
    </row>
    <row r="17" customFormat="false" ht="15" hidden="false" customHeight="false" outlineLevel="0" collapsed="false">
      <c r="A17" s="4" t="s">
        <v>502</v>
      </c>
      <c r="B17" s="4"/>
      <c r="C17" s="4"/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11"/>
      <c r="J17" s="11"/>
      <c r="K17" s="14"/>
      <c r="L17" s="11"/>
      <c r="M17" s="11"/>
      <c r="N17" s="11"/>
    </row>
    <row r="18" customFormat="false" ht="15" hidden="false" customHeight="false" outlineLevel="0" collapsed="false">
      <c r="A18" s="4" t="s">
        <v>503</v>
      </c>
      <c r="B18" s="4"/>
      <c r="C18" s="4"/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11"/>
      <c r="J18" s="11"/>
      <c r="K18" s="14"/>
      <c r="L18" s="11"/>
      <c r="M18" s="11"/>
      <c r="N18" s="11"/>
    </row>
    <row r="19" customFormat="false" ht="15" hidden="false" customHeight="false" outlineLevel="0" collapsed="false">
      <c r="A19" s="4" t="s">
        <v>504</v>
      </c>
      <c r="B19" s="4"/>
      <c r="C19" s="4"/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11"/>
      <c r="J19" s="11"/>
      <c r="K19" s="14"/>
      <c r="L19" s="11"/>
      <c r="M19" s="11"/>
      <c r="N19" s="11"/>
    </row>
    <row r="20" customFormat="false" ht="15" hidden="false" customHeight="false" outlineLevel="0" collapsed="false">
      <c r="A20" s="4" t="s">
        <v>505</v>
      </c>
      <c r="B20" s="4"/>
      <c r="C20" s="4"/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11"/>
      <c r="J20" s="11"/>
      <c r="K20" s="14"/>
      <c r="L20" s="11"/>
      <c r="M20" s="11"/>
      <c r="N20" s="11"/>
    </row>
    <row r="21" customFormat="false" ht="15" hidden="false" customHeight="false" outlineLevel="0" collapsed="false">
      <c r="A21" s="4" t="s">
        <v>506</v>
      </c>
      <c r="B21" s="4"/>
      <c r="C21" s="4"/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11"/>
      <c r="J21" s="11"/>
      <c r="K21" s="14"/>
      <c r="L21" s="11"/>
      <c r="M21" s="11"/>
      <c r="N21" s="11"/>
    </row>
    <row r="22" customFormat="false" ht="15" hidden="false" customHeight="false" outlineLevel="0" collapsed="false">
      <c r="A22" s="4" t="s">
        <v>507</v>
      </c>
      <c r="B22" s="4"/>
      <c r="C22" s="4"/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11"/>
      <c r="J22" s="11"/>
      <c r="K22" s="14"/>
      <c r="L22" s="11"/>
      <c r="M22" s="11"/>
      <c r="N22" s="11"/>
    </row>
    <row r="23" customFormat="false" ht="15" hidden="false" customHeight="false" outlineLevel="0" collapsed="false">
      <c r="A23" s="4" t="s">
        <v>508</v>
      </c>
      <c r="B23" s="4"/>
      <c r="C23" s="4"/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11"/>
      <c r="J23" s="11"/>
      <c r="K23" s="14"/>
      <c r="L23" s="11"/>
      <c r="M23" s="11"/>
      <c r="N23" s="11"/>
    </row>
    <row r="24" customFormat="false" ht="15" hidden="false" customHeight="false" outlineLevel="0" collapsed="false">
      <c r="A24" s="4" t="s">
        <v>509</v>
      </c>
      <c r="B24" s="4"/>
      <c r="C24" s="4"/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11"/>
      <c r="J24" s="11"/>
      <c r="K24" s="14"/>
      <c r="L24" s="11"/>
      <c r="M24" s="11"/>
      <c r="N24" s="11"/>
    </row>
    <row r="25" customFormat="false" ht="15" hidden="false" customHeight="false" outlineLevel="0" collapsed="false">
      <c r="A25" s="4" t="s">
        <v>510</v>
      </c>
      <c r="B25" s="4"/>
      <c r="C25" s="4"/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11"/>
      <c r="J25" s="11"/>
      <c r="K25" s="14"/>
      <c r="L25" s="11"/>
      <c r="M25" s="11"/>
      <c r="N25" s="11"/>
    </row>
    <row r="26" customFormat="false" ht="15" hidden="false" customHeight="false" outlineLevel="0" collapsed="false">
      <c r="A26" s="4" t="s">
        <v>511</v>
      </c>
      <c r="B26" s="4"/>
      <c r="C26" s="4"/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11"/>
      <c r="J26" s="11"/>
      <c r="K26" s="14"/>
      <c r="L26" s="11"/>
      <c r="M26" s="11"/>
      <c r="N26" s="11"/>
    </row>
    <row r="27" customFormat="false" ht="15" hidden="false" customHeight="false" outlineLevel="0" collapsed="false">
      <c r="A27" s="4" t="s">
        <v>512</v>
      </c>
      <c r="B27" s="4"/>
      <c r="C27" s="4"/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11"/>
      <c r="J27" s="11"/>
      <c r="K27" s="14"/>
      <c r="L27" s="11"/>
      <c r="M27" s="11"/>
      <c r="N27" s="11"/>
    </row>
    <row r="28" customFormat="false" ht="15" hidden="false" customHeight="false" outlineLevel="0" collapsed="false">
      <c r="A28" s="4" t="s">
        <v>513</v>
      </c>
      <c r="B28" s="4"/>
      <c r="C28" s="4"/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11"/>
      <c r="J28" s="11"/>
      <c r="K28" s="14"/>
      <c r="L28" s="11"/>
      <c r="M28" s="11"/>
      <c r="N28" s="11"/>
    </row>
    <row r="29" customFormat="false" ht="15" hidden="false" customHeight="false" outlineLevel="0" collapsed="false">
      <c r="A29" s="4" t="s">
        <v>514</v>
      </c>
      <c r="B29" s="4"/>
      <c r="C29" s="4"/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11"/>
      <c r="J29" s="11"/>
      <c r="K29" s="14"/>
      <c r="L29" s="11"/>
      <c r="M29" s="11"/>
      <c r="N29" s="11"/>
    </row>
    <row r="30" customFormat="false" ht="15" hidden="false" customHeight="false" outlineLevel="0" collapsed="false">
      <c r="A30" s="4" t="s">
        <v>515</v>
      </c>
      <c r="B30" s="4"/>
      <c r="C30" s="4"/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11"/>
      <c r="J30" s="11"/>
      <c r="K30" s="14"/>
      <c r="L30" s="11"/>
      <c r="M30" s="11"/>
      <c r="N30" s="11"/>
    </row>
    <row r="31" customFormat="false" ht="15" hidden="false" customHeight="false" outlineLevel="0" collapsed="false">
      <c r="A31" s="4" t="s">
        <v>516</v>
      </c>
      <c r="B31" s="4"/>
      <c r="C31" s="4"/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11"/>
      <c r="J31" s="11"/>
      <c r="K31" s="14"/>
      <c r="L31" s="11"/>
      <c r="M31" s="11"/>
      <c r="N31" s="11"/>
    </row>
    <row r="32" customFormat="false" ht="15" hidden="false" customHeight="false" outlineLevel="0" collapsed="false">
      <c r="A32" s="4" t="s">
        <v>517</v>
      </c>
      <c r="B32" s="4"/>
      <c r="C32" s="4"/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11"/>
      <c r="J32" s="11"/>
      <c r="K32" s="14"/>
      <c r="L32" s="11"/>
      <c r="M32" s="11"/>
      <c r="N32" s="11"/>
    </row>
    <row r="33" customFormat="false" ht="15" hidden="false" customHeight="false" outlineLevel="0" collapsed="false">
      <c r="A33" s="4" t="s">
        <v>518</v>
      </c>
      <c r="B33" s="4"/>
      <c r="C33" s="4"/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11"/>
      <c r="J33" s="11"/>
      <c r="K33" s="14"/>
      <c r="L33" s="11"/>
      <c r="M33" s="11"/>
      <c r="N33" s="11"/>
    </row>
    <row r="34" customFormat="false" ht="15" hidden="false" customHeight="false" outlineLevel="0" collapsed="false">
      <c r="A34" s="4" t="s">
        <v>519</v>
      </c>
      <c r="B34" s="4"/>
      <c r="C34" s="4"/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11"/>
      <c r="J34" s="11"/>
      <c r="K34" s="14"/>
      <c r="L34" s="11"/>
      <c r="M34" s="11"/>
      <c r="N34" s="11"/>
    </row>
    <row r="35" customFormat="false" ht="15" hidden="false" customHeight="false" outlineLevel="0" collapsed="false">
      <c r="A35" s="4" t="s">
        <v>520</v>
      </c>
      <c r="B35" s="4"/>
      <c r="C35" s="4"/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11"/>
      <c r="J35" s="11"/>
      <c r="K35" s="14"/>
      <c r="L35" s="11"/>
      <c r="M35" s="11"/>
      <c r="N35" s="11"/>
    </row>
    <row r="36" customFormat="false" ht="15" hidden="false" customHeight="false" outlineLevel="0" collapsed="false">
      <c r="A36" s="4" t="s">
        <v>521</v>
      </c>
      <c r="B36" s="4"/>
      <c r="C36" s="4"/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11"/>
      <c r="J36" s="11"/>
      <c r="K36" s="14"/>
      <c r="L36" s="11"/>
      <c r="M36" s="11"/>
      <c r="N36" s="11"/>
    </row>
    <row r="37" customFormat="false" ht="15" hidden="false" customHeight="false" outlineLevel="0" collapsed="false">
      <c r="A37" s="4" t="s">
        <v>522</v>
      </c>
      <c r="B37" s="4"/>
      <c r="C37" s="4"/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11"/>
      <c r="J37" s="11"/>
      <c r="K37" s="14"/>
      <c r="L37" s="11"/>
      <c r="M37" s="11"/>
      <c r="N37" s="11"/>
    </row>
    <row r="38" customFormat="false" ht="15" hidden="false" customHeight="false" outlineLevel="0" collapsed="false">
      <c r="A38" s="4" t="s">
        <v>523</v>
      </c>
      <c r="B38" s="4"/>
      <c r="C38" s="4"/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11"/>
      <c r="J38" s="11"/>
      <c r="K38" s="14"/>
      <c r="L38" s="11"/>
      <c r="M38" s="11"/>
      <c r="N38" s="11"/>
    </row>
    <row r="39" customFormat="false" ht="15" hidden="false" customHeight="false" outlineLevel="0" collapsed="false">
      <c r="A39" s="4" t="s">
        <v>524</v>
      </c>
      <c r="B39" s="4"/>
      <c r="C39" s="4"/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11"/>
      <c r="J39" s="11"/>
      <c r="K39" s="14"/>
      <c r="L39" s="11"/>
      <c r="M39" s="11"/>
      <c r="N39" s="11"/>
    </row>
    <row r="40" customFormat="false" ht="15" hidden="false" customHeight="false" outlineLevel="0" collapsed="false">
      <c r="A40" s="4" t="s">
        <v>525</v>
      </c>
      <c r="B40" s="4"/>
      <c r="C40" s="4"/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11"/>
      <c r="J40" s="11"/>
      <c r="K40" s="14"/>
      <c r="L40" s="11"/>
      <c r="M40" s="11"/>
      <c r="N40" s="11"/>
    </row>
    <row r="41" customFormat="false" ht="15" hidden="false" customHeight="false" outlineLevel="0" collapsed="false">
      <c r="A41" s="4" t="s">
        <v>526</v>
      </c>
      <c r="B41" s="4"/>
      <c r="C41" s="4"/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11"/>
      <c r="J41" s="11"/>
      <c r="K41" s="14"/>
      <c r="L41" s="11"/>
      <c r="M41" s="11"/>
      <c r="N41" s="11"/>
    </row>
    <row r="42" customFormat="false" ht="15" hidden="false" customHeight="false" outlineLevel="0" collapsed="false">
      <c r="A42" s="4" t="s">
        <v>527</v>
      </c>
      <c r="B42" s="4"/>
      <c r="C42" s="4"/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11"/>
      <c r="J42" s="11"/>
      <c r="K42" s="14"/>
      <c r="L42" s="11"/>
      <c r="M42" s="11"/>
      <c r="N42" s="11"/>
    </row>
    <row r="43" customFormat="false" ht="15" hidden="false" customHeight="false" outlineLevel="0" collapsed="false">
      <c r="A43" s="4" t="s">
        <v>528</v>
      </c>
      <c r="B43" s="4"/>
      <c r="C43" s="4"/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11"/>
      <c r="J43" s="11"/>
      <c r="K43" s="14"/>
      <c r="L43" s="11"/>
      <c r="M43" s="11"/>
      <c r="N43" s="11"/>
    </row>
    <row r="44" customFormat="false" ht="15" hidden="false" customHeight="false" outlineLevel="0" collapsed="false">
      <c r="A44" s="4" t="s">
        <v>529</v>
      </c>
      <c r="B44" s="4"/>
      <c r="C44" s="4"/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11"/>
      <c r="J44" s="11"/>
      <c r="K44" s="14"/>
      <c r="L44" s="11"/>
      <c r="M44" s="11"/>
      <c r="N44" s="11"/>
    </row>
    <row r="45" customFormat="false" ht="15" hidden="false" customHeight="false" outlineLevel="0" collapsed="false">
      <c r="A45" s="4" t="s">
        <v>530</v>
      </c>
      <c r="B45" s="4"/>
      <c r="C45" s="4"/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11"/>
      <c r="J45" s="11"/>
      <c r="K45" s="14"/>
      <c r="L45" s="11"/>
      <c r="M45" s="11"/>
      <c r="N45" s="11"/>
    </row>
  </sheetData>
  <mergeCells count="2">
    <mergeCell ref="A1:N1"/>
    <mergeCell ref="A2:N2"/>
  </mergeCells>
  <conditionalFormatting sqref="M6:M45">
    <cfRule type="containsText" priority="2" operator="containsText" aboveAverage="0" equalAverage="0" bottom="0" percent="0" rank="0" text="已完成" dxfId="17">
      <formula>NOT(ISERROR(SEARCH("已完成",M6)))</formula>
    </cfRule>
    <cfRule type="containsText" priority="3" operator="containsText" aboveAverage="0" equalAverage="0" bottom="0" percent="0" rank="0" text="高" dxfId="18">
      <formula>NOT(ISERROR(SEARCH("高",M6)))</formula>
    </cfRule>
  </conditionalFormatting>
  <dataValidations count="1">
    <dataValidation allowBlank="false" errorStyle="stop" operator="between" showDropDown="false" showErrorMessage="false" showInputMessage="false" sqref="M6:M45" type="list">
      <formula1>"Open,In Progress,Resolved,Closed,Accepted Risk"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7"/>
    <col collapsed="false" customWidth="true" hidden="false" outlineLevel="0" max="4" min="4" style="0" width="25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8" min="8" style="0" width="12"/>
    <col collapsed="false" customWidth="true" hidden="false" outlineLevel="0" max="13" min="9" style="0" width="14"/>
    <col collapsed="false" customWidth="true" hidden="false" outlineLevel="0" max="14" min="14" style="0" width="42"/>
  </cols>
  <sheetData>
    <row r="1" customFormat="false" ht="30" hidden="false" customHeight="true" outlineLevel="0" collapsed="false">
      <c r="A1" s="1" t="s">
        <v>531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8" hidden="false" customHeight="true" outlineLevel="0" collapsed="false">
      <c r="A2" s="2" t="s">
        <v>532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5" customFormat="false" ht="34" hidden="false" customHeight="true" outlineLevel="0" collapsed="false">
      <c r="A5" s="3" t="s">
        <v>213</v>
      </c>
      <c r="B5" s="3" t="s">
        <v>95</v>
      </c>
      <c r="C5" s="3" t="s">
        <v>96</v>
      </c>
      <c r="D5" s="3" t="s">
        <v>59</v>
      </c>
      <c r="E5" s="3" t="s">
        <v>99</v>
      </c>
      <c r="F5" s="3" t="s">
        <v>101</v>
      </c>
      <c r="G5" s="3" t="s">
        <v>102</v>
      </c>
      <c r="H5" s="3" t="s">
        <v>103</v>
      </c>
      <c r="I5" s="3" t="s">
        <v>533</v>
      </c>
      <c r="J5" s="3" t="s">
        <v>534</v>
      </c>
      <c r="K5" s="3" t="s">
        <v>535</v>
      </c>
      <c r="L5" s="3" t="s">
        <v>536</v>
      </c>
      <c r="M5" s="3" t="s">
        <v>537</v>
      </c>
      <c r="N5" s="3" t="s">
        <v>538</v>
      </c>
    </row>
    <row r="6" customFormat="false" ht="15" hidden="false" customHeight="false" outlineLevel="0" collapsed="false">
      <c r="A6" s="4" t="s">
        <v>107</v>
      </c>
      <c r="B6" s="4" t="s">
        <v>108</v>
      </c>
      <c r="C6" s="4" t="s">
        <v>109</v>
      </c>
      <c r="D6" s="4" t="s">
        <v>111</v>
      </c>
      <c r="E6" s="8" t="n">
        <v>18000</v>
      </c>
      <c r="F6" s="8" t="n">
        <v>1548000</v>
      </c>
      <c r="G6" s="9" t="n">
        <v>46260</v>
      </c>
      <c r="H6" s="4" t="n">
        <v>6</v>
      </c>
      <c r="I6" s="5" t="n">
        <v>1548000</v>
      </c>
      <c r="J6" s="5" t="n">
        <v>0</v>
      </c>
      <c r="K6" s="5" t="n">
        <v>0</v>
      </c>
      <c r="L6" s="5" t="n">
        <v>0</v>
      </c>
      <c r="M6" s="5" t="n">
        <v>0</v>
      </c>
      <c r="N6" s="11"/>
    </row>
    <row r="7" customFormat="false" ht="15" hidden="false" customHeight="false" outlineLevel="0" collapsed="false">
      <c r="A7" s="4" t="s">
        <v>114</v>
      </c>
      <c r="B7" s="4" t="s">
        <v>115</v>
      </c>
      <c r="C7" s="4" t="s">
        <v>109</v>
      </c>
      <c r="D7" s="4" t="s">
        <v>116</v>
      </c>
      <c r="E7" s="8" t="n">
        <v>10500</v>
      </c>
      <c r="F7" s="8" t="n">
        <v>546000</v>
      </c>
      <c r="G7" s="9" t="n">
        <v>46256</v>
      </c>
      <c r="H7" s="4" t="n">
        <v>10</v>
      </c>
      <c r="I7" s="5" t="n">
        <v>546000</v>
      </c>
      <c r="J7" s="5" t="n">
        <v>0</v>
      </c>
      <c r="K7" s="5" t="n">
        <v>0</v>
      </c>
      <c r="L7" s="5" t="n">
        <v>0</v>
      </c>
      <c r="M7" s="5" t="n">
        <v>0</v>
      </c>
      <c r="N7" s="11"/>
    </row>
    <row r="8" customFormat="false" ht="15" hidden="false" customHeight="false" outlineLevel="0" collapsed="false">
      <c r="A8" s="4" t="s">
        <v>117</v>
      </c>
      <c r="B8" s="4" t="s">
        <v>118</v>
      </c>
      <c r="C8" s="4" t="s">
        <v>109</v>
      </c>
      <c r="D8" s="4" t="s">
        <v>119</v>
      </c>
      <c r="E8" s="8" t="n">
        <v>7200</v>
      </c>
      <c r="F8" s="8" t="n">
        <v>849600</v>
      </c>
      <c r="G8" s="9" t="n">
        <v>46152</v>
      </c>
      <c r="H8" s="4" t="n">
        <v>114</v>
      </c>
      <c r="I8" s="5" t="n">
        <v>0</v>
      </c>
      <c r="J8" s="5" t="n">
        <v>0</v>
      </c>
      <c r="K8" s="5" t="n">
        <v>849600</v>
      </c>
      <c r="L8" s="5" t="n">
        <v>0</v>
      </c>
      <c r="M8" s="5" t="n">
        <v>0</v>
      </c>
      <c r="N8" s="11"/>
    </row>
    <row r="9" customFormat="false" ht="15" hidden="false" customHeight="false" outlineLevel="0" collapsed="false">
      <c r="A9" s="4" t="s">
        <v>122</v>
      </c>
      <c r="B9" s="4" t="s">
        <v>123</v>
      </c>
      <c r="C9" s="4" t="s">
        <v>109</v>
      </c>
      <c r="D9" s="4" t="s">
        <v>124</v>
      </c>
      <c r="E9" s="8" t="n">
        <v>4200</v>
      </c>
      <c r="F9" s="8" t="n">
        <v>882000</v>
      </c>
      <c r="G9" s="9" t="n">
        <v>45823</v>
      </c>
      <c r="H9" s="4" t="n">
        <v>443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882000</v>
      </c>
      <c r="N9" s="11"/>
    </row>
    <row r="10" customFormat="false" ht="15" hidden="false" customHeight="false" outlineLevel="0" collapsed="false">
      <c r="A10" s="4" t="s">
        <v>127</v>
      </c>
      <c r="B10" s="4" t="s">
        <v>128</v>
      </c>
      <c r="C10" s="4" t="s">
        <v>129</v>
      </c>
      <c r="D10" s="4" t="s">
        <v>130</v>
      </c>
      <c r="E10" s="8" t="n">
        <v>30000</v>
      </c>
      <c r="F10" s="8" t="n">
        <v>240000</v>
      </c>
      <c r="G10" s="9" t="n">
        <v>46262</v>
      </c>
      <c r="H10" s="4" t="n">
        <v>4</v>
      </c>
      <c r="I10" s="5" t="n">
        <v>240000</v>
      </c>
      <c r="J10" s="5" t="n">
        <v>0</v>
      </c>
      <c r="K10" s="5" t="n">
        <v>0</v>
      </c>
      <c r="L10" s="5" t="n">
        <v>0</v>
      </c>
      <c r="M10" s="5" t="n">
        <v>0</v>
      </c>
      <c r="N10" s="11"/>
    </row>
    <row r="11" customFormat="false" ht="15" hidden="false" customHeight="false" outlineLevel="0" collapsed="false">
      <c r="A11" s="4" t="s">
        <v>131</v>
      </c>
      <c r="B11" s="4" t="s">
        <v>132</v>
      </c>
      <c r="C11" s="4" t="s">
        <v>133</v>
      </c>
      <c r="D11" s="4" t="s">
        <v>134</v>
      </c>
      <c r="E11" s="8" t="n">
        <v>26000</v>
      </c>
      <c r="F11" s="8" t="n">
        <v>143000</v>
      </c>
      <c r="G11" s="9" t="n">
        <v>46218</v>
      </c>
      <c r="H11" s="4" t="n">
        <v>48</v>
      </c>
      <c r="I11" s="5" t="n">
        <v>0</v>
      </c>
      <c r="J11" s="5" t="n">
        <v>143000</v>
      </c>
      <c r="K11" s="5" t="n">
        <v>0</v>
      </c>
      <c r="L11" s="5" t="n">
        <v>0</v>
      </c>
      <c r="M11" s="5" t="n">
        <v>0</v>
      </c>
      <c r="N11" s="11"/>
    </row>
    <row r="12" customFormat="false" ht="15" hidden="false" customHeight="false" outlineLevel="0" collapsed="false">
      <c r="A12" s="4" t="s">
        <v>136</v>
      </c>
      <c r="B12" s="4" t="s">
        <v>137</v>
      </c>
      <c r="C12" s="4" t="s">
        <v>138</v>
      </c>
      <c r="D12" s="4" t="s">
        <v>139</v>
      </c>
      <c r="E12" s="8" t="n">
        <v>12</v>
      </c>
      <c r="F12" s="8" t="n">
        <v>216000</v>
      </c>
      <c r="G12" s="9" t="n">
        <v>45627</v>
      </c>
      <c r="H12" s="4" t="n">
        <v>609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216000</v>
      </c>
      <c r="N12" s="11"/>
    </row>
    <row r="13" customFormat="false" ht="15" hidden="false" customHeight="false" outlineLevel="0" collapsed="false">
      <c r="A13" s="4" t="s">
        <v>142</v>
      </c>
      <c r="B13" s="4" t="s">
        <v>143</v>
      </c>
      <c r="C13" s="4" t="s">
        <v>12</v>
      </c>
      <c r="D13" s="4" t="s">
        <v>145</v>
      </c>
      <c r="E13" s="8" t="n">
        <v>1</v>
      </c>
      <c r="F13" s="8" t="n">
        <v>2360000</v>
      </c>
      <c r="G13" s="9" t="n">
        <v>46265</v>
      </c>
      <c r="H13" s="4" t="n">
        <v>1</v>
      </c>
      <c r="I13" s="5" t="n">
        <v>2360000</v>
      </c>
      <c r="J13" s="5" t="n">
        <v>0</v>
      </c>
      <c r="K13" s="5" t="n">
        <v>0</v>
      </c>
      <c r="L13" s="5" t="n">
        <v>0</v>
      </c>
      <c r="M13" s="5" t="n">
        <v>0</v>
      </c>
      <c r="N13" s="11"/>
    </row>
    <row r="14" customFormat="false" ht="15" hidden="false" customHeight="false" outlineLevel="0" collapsed="false">
      <c r="A14" s="4" t="s">
        <v>147</v>
      </c>
      <c r="B14" s="4" t="s">
        <v>148</v>
      </c>
      <c r="C14" s="4" t="s">
        <v>12</v>
      </c>
      <c r="D14" s="4" t="s">
        <v>149</v>
      </c>
      <c r="E14" s="8" t="n">
        <v>1</v>
      </c>
      <c r="F14" s="8" t="n">
        <v>1280000</v>
      </c>
      <c r="G14" s="9" t="n">
        <v>46265</v>
      </c>
      <c r="H14" s="4" t="n">
        <v>1</v>
      </c>
      <c r="I14" s="5" t="n">
        <v>1280000</v>
      </c>
      <c r="J14" s="5" t="n">
        <v>0</v>
      </c>
      <c r="K14" s="5" t="n">
        <v>0</v>
      </c>
      <c r="L14" s="5" t="n">
        <v>0</v>
      </c>
      <c r="M14" s="5" t="n">
        <v>0</v>
      </c>
      <c r="N14" s="11"/>
    </row>
    <row r="15" customFormat="false" ht="15" hidden="false" customHeight="false" outlineLevel="0" collapsed="false">
      <c r="A15" s="4" t="s">
        <v>151</v>
      </c>
      <c r="B15" s="4" t="s">
        <v>152</v>
      </c>
      <c r="C15" s="4" t="s">
        <v>153</v>
      </c>
      <c r="D15" s="4" t="s">
        <v>154</v>
      </c>
      <c r="E15" s="8" t="n">
        <v>3600</v>
      </c>
      <c r="F15" s="8" t="n">
        <v>594000</v>
      </c>
      <c r="G15" s="9" t="n">
        <v>46254</v>
      </c>
      <c r="H15" s="4" t="n">
        <v>12</v>
      </c>
      <c r="I15" s="5" t="n">
        <v>594000</v>
      </c>
      <c r="J15" s="5" t="n">
        <v>0</v>
      </c>
      <c r="K15" s="5" t="n">
        <v>0</v>
      </c>
      <c r="L15" s="5" t="n">
        <v>0</v>
      </c>
      <c r="M15" s="5" t="n">
        <v>0</v>
      </c>
      <c r="N15" s="11"/>
    </row>
    <row r="16" customFormat="false" ht="15" hidden="false" customHeight="false" outlineLevel="0" collapsed="false">
      <c r="A16" s="4" t="s">
        <v>155</v>
      </c>
      <c r="B16" s="4" t="s">
        <v>156</v>
      </c>
      <c r="C16" s="4" t="s">
        <v>157</v>
      </c>
      <c r="D16" s="4" t="s">
        <v>158</v>
      </c>
      <c r="E16" s="8" t="n">
        <v>9200</v>
      </c>
      <c r="F16" s="8" t="n">
        <v>6256000</v>
      </c>
      <c r="G16" s="9" t="n">
        <v>46263</v>
      </c>
      <c r="H16" s="4" t="n">
        <v>3</v>
      </c>
      <c r="I16" s="5" t="n">
        <v>6256000</v>
      </c>
      <c r="J16" s="5" t="n">
        <v>0</v>
      </c>
      <c r="K16" s="5" t="n">
        <v>0</v>
      </c>
      <c r="L16" s="5" t="n">
        <v>0</v>
      </c>
      <c r="M16" s="5" t="n">
        <v>0</v>
      </c>
      <c r="N16" s="11"/>
    </row>
    <row r="17" customFormat="false" ht="15" hidden="false" customHeight="false" outlineLevel="0" collapsed="false">
      <c r="A17" s="4" t="s">
        <v>160</v>
      </c>
      <c r="B17" s="4" t="s">
        <v>161</v>
      </c>
      <c r="C17" s="4" t="s">
        <v>157</v>
      </c>
      <c r="D17" s="4" t="s">
        <v>162</v>
      </c>
      <c r="E17" s="8" t="n">
        <v>3200</v>
      </c>
      <c r="F17" s="8" t="n">
        <v>4000000</v>
      </c>
      <c r="G17" s="9" t="n">
        <v>46071</v>
      </c>
      <c r="H17" s="4" t="n">
        <v>195</v>
      </c>
      <c r="I17" s="5" t="n">
        <v>0</v>
      </c>
      <c r="J17" s="5" t="n">
        <v>0</v>
      </c>
      <c r="K17" s="5" t="n">
        <v>0</v>
      </c>
      <c r="L17" s="5" t="n">
        <v>4000000</v>
      </c>
      <c r="M17" s="5" t="n">
        <v>0</v>
      </c>
      <c r="N17" s="11"/>
    </row>
    <row r="18" customFormat="false" ht="15" hidden="false" customHeight="false" outlineLevel="0" collapsed="false">
      <c r="A18" s="4" t="s">
        <v>163</v>
      </c>
      <c r="B18" s="4" t="s">
        <v>164</v>
      </c>
      <c r="C18" s="4" t="s">
        <v>157</v>
      </c>
      <c r="D18" s="4" t="s">
        <v>165</v>
      </c>
      <c r="E18" s="8" t="n">
        <v>1600</v>
      </c>
      <c r="F18" s="8" t="n">
        <v>1472000</v>
      </c>
      <c r="G18" s="9" t="n">
        <v>45474</v>
      </c>
      <c r="H18" s="4" t="n">
        <v>792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1472000</v>
      </c>
      <c r="N18" s="11"/>
    </row>
    <row r="19" customFormat="false" ht="15" hidden="false" customHeight="false" outlineLevel="0" collapsed="false">
      <c r="A19" s="4" t="s">
        <v>167</v>
      </c>
      <c r="B19" s="4" t="s">
        <v>168</v>
      </c>
      <c r="C19" s="4" t="s">
        <v>169</v>
      </c>
      <c r="D19" s="4" t="s">
        <v>170</v>
      </c>
      <c r="E19" s="8" t="n">
        <v>5000</v>
      </c>
      <c r="F19" s="8" t="n">
        <v>650000</v>
      </c>
      <c r="G19" s="9" t="n">
        <v>46252</v>
      </c>
      <c r="H19" s="4" t="n">
        <v>14</v>
      </c>
      <c r="I19" s="5" t="n">
        <v>650000</v>
      </c>
      <c r="J19" s="5" t="n">
        <v>0</v>
      </c>
      <c r="K19" s="5" t="n">
        <v>0</v>
      </c>
      <c r="L19" s="5" t="n">
        <v>0</v>
      </c>
      <c r="M19" s="5" t="n">
        <v>0</v>
      </c>
      <c r="N19" s="11"/>
    </row>
    <row r="20" customFormat="false" ht="15" hidden="false" customHeight="false" outlineLevel="0" collapsed="false">
      <c r="A20" s="4" t="s">
        <v>172</v>
      </c>
      <c r="B20" s="4" t="s">
        <v>173</v>
      </c>
      <c r="C20" s="4" t="s">
        <v>174</v>
      </c>
      <c r="D20" s="4" t="s">
        <v>175</v>
      </c>
      <c r="E20" s="8" t="n">
        <v>1800</v>
      </c>
      <c r="F20" s="8" t="n">
        <v>1224000</v>
      </c>
      <c r="G20" s="9" t="n">
        <v>46264</v>
      </c>
      <c r="H20" s="4" t="n">
        <v>2</v>
      </c>
      <c r="I20" s="5" t="n">
        <v>1224000</v>
      </c>
      <c r="J20" s="5" t="n">
        <v>0</v>
      </c>
      <c r="K20" s="5" t="n">
        <v>0</v>
      </c>
      <c r="L20" s="5" t="n">
        <v>0</v>
      </c>
      <c r="M20" s="5" t="n">
        <v>0</v>
      </c>
      <c r="N20" s="11"/>
    </row>
    <row r="21" customFormat="false" ht="15" hidden="false" customHeight="false" outlineLevel="0" collapsed="false">
      <c r="A21" s="4" t="s">
        <v>177</v>
      </c>
      <c r="B21" s="4" t="s">
        <v>178</v>
      </c>
      <c r="C21" s="4" t="s">
        <v>179</v>
      </c>
      <c r="D21" s="4" t="s">
        <v>180</v>
      </c>
      <c r="E21" s="8" t="n">
        <v>1500</v>
      </c>
      <c r="F21" s="8" t="n">
        <v>1020000</v>
      </c>
      <c r="G21" s="9" t="n">
        <v>46259</v>
      </c>
      <c r="H21" s="4" t="n">
        <v>7</v>
      </c>
      <c r="I21" s="5" t="n">
        <v>1020000</v>
      </c>
      <c r="J21" s="5" t="n">
        <v>0</v>
      </c>
      <c r="K21" s="5" t="n">
        <v>0</v>
      </c>
      <c r="L21" s="5" t="n">
        <v>0</v>
      </c>
      <c r="M21" s="5" t="n">
        <v>0</v>
      </c>
      <c r="N21" s="11"/>
    </row>
    <row r="22" customFormat="false" ht="15" hidden="false" customHeight="false" outlineLevel="0" collapsed="false">
      <c r="A22" s="4" t="s">
        <v>182</v>
      </c>
      <c r="B22" s="4" t="s">
        <v>183</v>
      </c>
      <c r="C22" s="4" t="s">
        <v>109</v>
      </c>
      <c r="D22" s="4" t="s">
        <v>184</v>
      </c>
      <c r="E22" s="8" t="n">
        <v>-300</v>
      </c>
      <c r="F22" s="8" t="n">
        <v>-25800</v>
      </c>
      <c r="G22" s="9" t="n">
        <v>46265</v>
      </c>
      <c r="H22" s="4" t="n">
        <v>1</v>
      </c>
      <c r="I22" s="5" t="n">
        <v>-25800</v>
      </c>
      <c r="J22" s="5" t="n">
        <v>0</v>
      </c>
      <c r="K22" s="5" t="n">
        <v>0</v>
      </c>
      <c r="L22" s="5" t="n">
        <v>0</v>
      </c>
      <c r="M22" s="5" t="n">
        <v>0</v>
      </c>
      <c r="N22" s="11"/>
    </row>
    <row r="23" customFormat="false" ht="15" hidden="false" customHeight="false" outlineLevel="0" collapsed="false">
      <c r="A23" s="4" t="s">
        <v>186</v>
      </c>
      <c r="B23" s="4" t="s">
        <v>187</v>
      </c>
      <c r="C23" s="4" t="s">
        <v>188</v>
      </c>
      <c r="D23" s="4" t="s">
        <v>190</v>
      </c>
      <c r="E23" s="8" t="n">
        <v>2800</v>
      </c>
      <c r="F23" s="8" t="n">
        <v>16800</v>
      </c>
      <c r="G23" s="9" t="n">
        <v>46246</v>
      </c>
      <c r="H23" s="4" t="n">
        <v>20</v>
      </c>
      <c r="I23" s="5" t="n">
        <v>16800</v>
      </c>
      <c r="J23" s="5" t="n">
        <v>0</v>
      </c>
      <c r="K23" s="5" t="n">
        <v>0</v>
      </c>
      <c r="L23" s="5" t="n">
        <v>0</v>
      </c>
      <c r="M23" s="5" t="n">
        <v>0</v>
      </c>
      <c r="N23" s="11"/>
    </row>
  </sheetData>
  <mergeCells count="2">
    <mergeCell ref="A1:N1"/>
    <mergeCell ref="A2: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34"/>
    <col collapsed="false" customWidth="true" hidden="false" outlineLevel="0" max="10" min="10" style="0" width="16"/>
    <col collapsed="false" customWidth="true" hidden="false" outlineLevel="0" max="11" min="11" style="0" width="42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40"/>
  </cols>
  <sheetData>
    <row r="1" customFormat="false" ht="30" hidden="false" customHeight="true" outlineLevel="0" collapsed="false">
      <c r="A1" s="1" t="s">
        <v>539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8" hidden="false" customHeight="true" outlineLevel="0" collapsed="false">
      <c r="A2" s="2" t="s">
        <v>540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5" customFormat="false" ht="34" hidden="false" customHeight="true" outlineLevel="0" collapsed="false">
      <c r="A5" s="3" t="s">
        <v>541</v>
      </c>
      <c r="B5" s="3" t="s">
        <v>213</v>
      </c>
      <c r="C5" s="3" t="s">
        <v>95</v>
      </c>
      <c r="D5" s="3" t="s">
        <v>99</v>
      </c>
      <c r="E5" s="3" t="s">
        <v>101</v>
      </c>
      <c r="F5" s="3" t="s">
        <v>102</v>
      </c>
      <c r="G5" s="3" t="s">
        <v>542</v>
      </c>
      <c r="H5" s="3" t="s">
        <v>104</v>
      </c>
      <c r="I5" s="3" t="s">
        <v>543</v>
      </c>
      <c r="J5" s="3" t="s">
        <v>105</v>
      </c>
      <c r="K5" s="3" t="s">
        <v>544</v>
      </c>
      <c r="L5" s="3" t="s">
        <v>545</v>
      </c>
      <c r="M5" s="3" t="s">
        <v>546</v>
      </c>
      <c r="N5" s="3" t="s">
        <v>104</v>
      </c>
      <c r="O5" s="3" t="s">
        <v>280</v>
      </c>
    </row>
    <row r="6" customFormat="false" ht="15" hidden="false" customHeight="false" outlineLevel="0" collapsed="false">
      <c r="A6" s="4" t="s">
        <v>547</v>
      </c>
      <c r="B6" s="4" t="s">
        <v>122</v>
      </c>
      <c r="C6" s="4" t="s">
        <v>123</v>
      </c>
      <c r="D6" s="8" t="n">
        <v>4200</v>
      </c>
      <c r="E6" s="8" t="n">
        <v>882000</v>
      </c>
      <c r="F6" s="9" t="n">
        <v>45823</v>
      </c>
      <c r="G6" s="4" t="n">
        <v>443</v>
      </c>
      <c r="H6" s="4" t="s">
        <v>125</v>
      </c>
      <c r="I6" s="11"/>
      <c r="J6" s="11"/>
      <c r="K6" s="11"/>
      <c r="L6" s="13" t="n">
        <v>0</v>
      </c>
      <c r="M6" s="14"/>
      <c r="N6" s="11" t="s">
        <v>426</v>
      </c>
      <c r="O6" s="11"/>
    </row>
    <row r="7" customFormat="false" ht="15" hidden="false" customHeight="false" outlineLevel="0" collapsed="false">
      <c r="A7" s="4" t="s">
        <v>548</v>
      </c>
      <c r="B7" s="4" t="s">
        <v>136</v>
      </c>
      <c r="C7" s="4" t="s">
        <v>137</v>
      </c>
      <c r="D7" s="8" t="n">
        <v>12</v>
      </c>
      <c r="E7" s="8" t="n">
        <v>216000</v>
      </c>
      <c r="F7" s="9" t="n">
        <v>45627</v>
      </c>
      <c r="G7" s="4" t="n">
        <v>609</v>
      </c>
      <c r="H7" s="4" t="s">
        <v>140</v>
      </c>
      <c r="I7" s="11"/>
      <c r="J7" s="11"/>
      <c r="K7" s="11"/>
      <c r="L7" s="13" t="n">
        <v>0</v>
      </c>
      <c r="M7" s="14"/>
      <c r="N7" s="11" t="s">
        <v>426</v>
      </c>
      <c r="O7" s="11"/>
    </row>
    <row r="8" customFormat="false" ht="15" hidden="false" customHeight="false" outlineLevel="0" collapsed="false">
      <c r="A8" s="4" t="s">
        <v>549</v>
      </c>
      <c r="B8" s="4" t="s">
        <v>160</v>
      </c>
      <c r="C8" s="4" t="s">
        <v>161</v>
      </c>
      <c r="D8" s="8" t="n">
        <v>3200</v>
      </c>
      <c r="E8" s="8" t="n">
        <v>4000000</v>
      </c>
      <c r="F8" s="9" t="n">
        <v>46071</v>
      </c>
      <c r="G8" s="4" t="n">
        <v>195</v>
      </c>
      <c r="H8" s="4" t="s">
        <v>120</v>
      </c>
      <c r="I8" s="11"/>
      <c r="J8" s="11"/>
      <c r="K8" s="11"/>
      <c r="L8" s="13" t="n">
        <v>0</v>
      </c>
      <c r="M8" s="14"/>
      <c r="N8" s="11" t="s">
        <v>426</v>
      </c>
      <c r="O8" s="11"/>
    </row>
    <row r="9" customFormat="false" ht="15" hidden="false" customHeight="false" outlineLevel="0" collapsed="false">
      <c r="A9" s="4" t="s">
        <v>550</v>
      </c>
      <c r="B9" s="4" t="s">
        <v>163</v>
      </c>
      <c r="C9" s="4" t="s">
        <v>164</v>
      </c>
      <c r="D9" s="8" t="n">
        <v>1600</v>
      </c>
      <c r="E9" s="8" t="n">
        <v>1472000</v>
      </c>
      <c r="F9" s="9" t="n">
        <v>45474</v>
      </c>
      <c r="G9" s="4" t="n">
        <v>792</v>
      </c>
      <c r="H9" s="4" t="s">
        <v>166</v>
      </c>
      <c r="I9" s="11"/>
      <c r="J9" s="11"/>
      <c r="K9" s="11"/>
      <c r="L9" s="13" t="n">
        <v>0</v>
      </c>
      <c r="M9" s="14"/>
      <c r="N9" s="11" t="s">
        <v>426</v>
      </c>
      <c r="O9" s="11"/>
    </row>
    <row r="10" customFormat="false" ht="15" hidden="false" customHeight="false" outlineLevel="0" collapsed="false">
      <c r="D10" s="17"/>
      <c r="E10" s="17"/>
      <c r="F10" s="18"/>
      <c r="I10" s="19"/>
      <c r="J10" s="19"/>
      <c r="K10" s="19"/>
      <c r="L10" s="20"/>
      <c r="M10" s="21"/>
      <c r="N10" s="19"/>
      <c r="O10" s="19"/>
    </row>
    <row r="11" customFormat="false" ht="15" hidden="false" customHeight="false" outlineLevel="0" collapsed="false">
      <c r="D11" s="17"/>
      <c r="E11" s="17"/>
      <c r="F11" s="18"/>
      <c r="I11" s="19"/>
      <c r="J11" s="19"/>
      <c r="K11" s="19"/>
      <c r="L11" s="20"/>
      <c r="M11" s="21"/>
      <c r="N11" s="19"/>
      <c r="O11" s="19"/>
    </row>
    <row r="12" customFormat="false" ht="15" hidden="false" customHeight="false" outlineLevel="0" collapsed="false">
      <c r="D12" s="17"/>
      <c r="E12" s="17"/>
      <c r="F12" s="18"/>
      <c r="I12" s="19"/>
      <c r="J12" s="19"/>
      <c r="K12" s="19"/>
      <c r="L12" s="20"/>
      <c r="M12" s="21"/>
      <c r="N12" s="19"/>
      <c r="O12" s="19"/>
    </row>
    <row r="13" customFormat="false" ht="15" hidden="false" customHeight="false" outlineLevel="0" collapsed="false">
      <c r="D13" s="17"/>
      <c r="E13" s="17"/>
      <c r="F13" s="18"/>
      <c r="I13" s="19"/>
      <c r="J13" s="19"/>
      <c r="K13" s="19"/>
      <c r="L13" s="20"/>
      <c r="M13" s="21"/>
      <c r="N13" s="19"/>
      <c r="O13" s="19"/>
    </row>
    <row r="14" customFormat="false" ht="15" hidden="false" customHeight="false" outlineLevel="0" collapsed="false">
      <c r="D14" s="17"/>
      <c r="E14" s="17"/>
      <c r="F14" s="18"/>
      <c r="I14" s="19"/>
      <c r="J14" s="19"/>
      <c r="K14" s="19"/>
      <c r="L14" s="20"/>
      <c r="M14" s="21"/>
      <c r="N14" s="19"/>
      <c r="O14" s="19"/>
    </row>
    <row r="15" customFormat="false" ht="15" hidden="false" customHeight="false" outlineLevel="0" collapsed="false">
      <c r="D15" s="17"/>
      <c r="E15" s="17"/>
      <c r="F15" s="18"/>
      <c r="I15" s="19"/>
      <c r="J15" s="19"/>
      <c r="K15" s="19"/>
      <c r="L15" s="20"/>
      <c r="M15" s="21"/>
      <c r="N15" s="19"/>
      <c r="O15" s="19"/>
    </row>
  </sheetData>
  <mergeCells count="2">
    <mergeCell ref="A1:O1"/>
    <mergeCell ref="A2:O2"/>
  </mergeCells>
  <conditionalFormatting sqref="N6:N15">
    <cfRule type="containsText" priority="2" operator="containsText" aboveAverage="0" equalAverage="0" bottom="0" percent="0" rank="0" text="已完成" dxfId="19">
      <formula>NOT(ISERROR(SEARCH("已完成",N6)))</formula>
    </cfRule>
    <cfRule type="containsText" priority="3" operator="containsText" aboveAverage="0" equalAverage="0" bottom="0" percent="0" rank="0" text="高" dxfId="20">
      <formula>NOT(ISERROR(SEARCH("高",N6)))</formula>
    </cfRule>
  </conditionalFormatting>
  <dataValidations count="1">
    <dataValidation allowBlank="false" errorStyle="stop" operator="between" showDropDown="false" showErrorMessage="false" showInputMessage="false" sqref="N6:N15" type="list">
      <formula1>"Open,有计划,执行中,Closed"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4" min="3" style="0" width="24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10" min="9" style="0" width="14"/>
    <col collapsed="false" customWidth="true" hidden="false" outlineLevel="0" max="11" min="11" style="0" width="44"/>
  </cols>
  <sheetData>
    <row r="1" customFormat="false" ht="30" hidden="false" customHeight="true" outlineLevel="0" collapsed="false">
      <c r="A1" s="1" t="s">
        <v>551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8" hidden="false" customHeight="true" outlineLevel="0" collapsed="false">
      <c r="A2" s="2" t="s">
        <v>552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customFormat="false" ht="34" hidden="false" customHeight="true" outlineLevel="0" collapsed="false">
      <c r="A5" s="3" t="s">
        <v>541</v>
      </c>
      <c r="B5" s="3" t="s">
        <v>213</v>
      </c>
      <c r="C5" s="3" t="s">
        <v>553</v>
      </c>
      <c r="D5" s="3" t="s">
        <v>554</v>
      </c>
      <c r="E5" s="3" t="s">
        <v>99</v>
      </c>
      <c r="F5" s="3" t="s">
        <v>101</v>
      </c>
      <c r="G5" s="3" t="s">
        <v>555</v>
      </c>
      <c r="H5" s="3" t="s">
        <v>556</v>
      </c>
      <c r="I5" s="3" t="s">
        <v>277</v>
      </c>
      <c r="J5" s="3" t="s">
        <v>104</v>
      </c>
      <c r="K5" s="3" t="s">
        <v>557</v>
      </c>
    </row>
    <row r="6" customFormat="false" ht="15" hidden="false" customHeight="false" outlineLevel="0" collapsed="false">
      <c r="A6" s="4" t="s">
        <v>558</v>
      </c>
      <c r="B6" s="4" t="s">
        <v>167</v>
      </c>
      <c r="C6" s="4" t="s">
        <v>559</v>
      </c>
      <c r="D6" s="4" t="s">
        <v>560</v>
      </c>
      <c r="E6" s="8" t="n">
        <v>5000</v>
      </c>
      <c r="F6" s="8" t="n">
        <v>650000</v>
      </c>
      <c r="G6" s="9" t="n">
        <v>46265</v>
      </c>
      <c r="H6" s="11" t="s">
        <v>561</v>
      </c>
      <c r="I6" s="11" t="s">
        <v>121</v>
      </c>
      <c r="J6" s="11" t="s">
        <v>112</v>
      </c>
      <c r="K6" s="11"/>
    </row>
    <row r="7" customFormat="false" ht="15" hidden="false" customHeight="false" outlineLevel="0" collapsed="false">
      <c r="A7" s="4" t="s">
        <v>562</v>
      </c>
      <c r="B7" s="4" t="s">
        <v>177</v>
      </c>
      <c r="C7" s="4" t="s">
        <v>563</v>
      </c>
      <c r="D7" s="4" t="s">
        <v>564</v>
      </c>
      <c r="E7" s="8" t="n">
        <v>1500</v>
      </c>
      <c r="F7" s="8" t="n">
        <v>1020000</v>
      </c>
      <c r="G7" s="9" t="n">
        <v>46265</v>
      </c>
      <c r="H7" s="11" t="s">
        <v>565</v>
      </c>
      <c r="I7" s="11" t="s">
        <v>181</v>
      </c>
      <c r="J7" s="11" t="s">
        <v>112</v>
      </c>
      <c r="K7" s="11"/>
    </row>
    <row r="8" customFormat="false" ht="15" hidden="false" customHeight="false" outlineLevel="0" collapsed="false">
      <c r="A8" s="4" t="s">
        <v>566</v>
      </c>
      <c r="B8" s="4" t="s">
        <v>172</v>
      </c>
      <c r="C8" s="4" t="s">
        <v>567</v>
      </c>
      <c r="D8" s="4" t="s">
        <v>175</v>
      </c>
      <c r="E8" s="8" t="n">
        <v>1800</v>
      </c>
      <c r="F8" s="8" t="n">
        <v>1224000</v>
      </c>
      <c r="G8" s="9" t="n">
        <v>46265</v>
      </c>
      <c r="H8" s="11" t="s">
        <v>568</v>
      </c>
      <c r="I8" s="11" t="s">
        <v>159</v>
      </c>
      <c r="J8" s="11" t="s">
        <v>176</v>
      </c>
      <c r="K8" s="11"/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5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42"/>
    <col collapsed="false" customWidth="true" hidden="false" outlineLevel="0" max="14" min="14" style="0" width="18"/>
    <col collapsed="false" customWidth="true" hidden="false" outlineLevel="0" max="15" min="15" style="0" width="30"/>
  </cols>
  <sheetData>
    <row r="1" customFormat="false" ht="30" hidden="false" customHeight="true" outlineLevel="0" collapsed="false">
      <c r="A1" s="1" t="s">
        <v>569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8" hidden="false" customHeight="true" outlineLevel="0" collapsed="false">
      <c r="A2" s="2" t="s">
        <v>570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5" customFormat="false" ht="34" hidden="false" customHeight="true" outlineLevel="0" collapsed="false">
      <c r="A5" s="3" t="s">
        <v>571</v>
      </c>
      <c r="B5" s="3" t="s">
        <v>213</v>
      </c>
      <c r="C5" s="3" t="s">
        <v>95</v>
      </c>
      <c r="D5" s="3" t="s">
        <v>96</v>
      </c>
      <c r="E5" s="3" t="s">
        <v>99</v>
      </c>
      <c r="F5" s="3" t="s">
        <v>100</v>
      </c>
      <c r="G5" s="3" t="s">
        <v>572</v>
      </c>
      <c r="H5" s="3" t="s">
        <v>573</v>
      </c>
      <c r="I5" s="3" t="s">
        <v>574</v>
      </c>
      <c r="J5" s="3" t="s">
        <v>575</v>
      </c>
      <c r="K5" s="3" t="s">
        <v>576</v>
      </c>
      <c r="L5" s="3" t="s">
        <v>577</v>
      </c>
      <c r="M5" s="3" t="s">
        <v>578</v>
      </c>
      <c r="N5" s="3" t="s">
        <v>359</v>
      </c>
      <c r="O5" s="3" t="s">
        <v>223</v>
      </c>
    </row>
    <row r="6" customFormat="false" ht="15" hidden="false" customHeight="false" outlineLevel="0" collapsed="false">
      <c r="A6" s="4" t="s">
        <v>579</v>
      </c>
      <c r="B6" s="4" t="s">
        <v>107</v>
      </c>
      <c r="C6" s="4" t="s">
        <v>108</v>
      </c>
      <c r="D6" s="4" t="s">
        <v>109</v>
      </c>
      <c r="E6" s="8" t="n">
        <v>18000</v>
      </c>
      <c r="F6" s="8" t="n">
        <v>86</v>
      </c>
      <c r="G6" s="22" t="n">
        <v>0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11"/>
      <c r="N6" s="11"/>
      <c r="O6" s="11"/>
    </row>
    <row r="7" customFormat="false" ht="15" hidden="false" customHeight="false" outlineLevel="0" collapsed="false">
      <c r="A7" s="4" t="s">
        <v>580</v>
      </c>
      <c r="B7" s="4" t="s">
        <v>114</v>
      </c>
      <c r="C7" s="4" t="s">
        <v>115</v>
      </c>
      <c r="D7" s="4" t="s">
        <v>109</v>
      </c>
      <c r="E7" s="8" t="n">
        <v>10500</v>
      </c>
      <c r="F7" s="8" t="n">
        <v>52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v>0</v>
      </c>
      <c r="L7" s="22" t="n">
        <v>0</v>
      </c>
      <c r="M7" s="11"/>
      <c r="N7" s="11"/>
      <c r="O7" s="11"/>
    </row>
    <row r="8" customFormat="false" ht="15" hidden="false" customHeight="false" outlineLevel="0" collapsed="false">
      <c r="A8" s="4" t="s">
        <v>581</v>
      </c>
      <c r="B8" s="4" t="s">
        <v>117</v>
      </c>
      <c r="C8" s="4" t="s">
        <v>118</v>
      </c>
      <c r="D8" s="4" t="s">
        <v>109</v>
      </c>
      <c r="E8" s="8" t="n">
        <v>7200</v>
      </c>
      <c r="F8" s="8" t="n">
        <v>118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0</v>
      </c>
      <c r="L8" s="22" t="n">
        <v>0</v>
      </c>
      <c r="M8" s="11"/>
      <c r="N8" s="11"/>
      <c r="O8" s="11"/>
    </row>
    <row r="9" customFormat="false" ht="15" hidden="false" customHeight="false" outlineLevel="0" collapsed="false">
      <c r="A9" s="4" t="s">
        <v>582</v>
      </c>
      <c r="B9" s="4" t="s">
        <v>122</v>
      </c>
      <c r="C9" s="4" t="s">
        <v>123</v>
      </c>
      <c r="D9" s="4" t="s">
        <v>109</v>
      </c>
      <c r="E9" s="8" t="n">
        <v>4200</v>
      </c>
      <c r="F9" s="8" t="n">
        <v>210</v>
      </c>
      <c r="G9" s="22" t="n">
        <v>0</v>
      </c>
      <c r="H9" s="22" t="n">
        <v>0</v>
      </c>
      <c r="I9" s="22" t="n">
        <v>0</v>
      </c>
      <c r="J9" s="22" t="n">
        <v>0</v>
      </c>
      <c r="K9" s="22" t="n">
        <v>0</v>
      </c>
      <c r="L9" s="22" t="n">
        <v>0</v>
      </c>
      <c r="M9" s="11"/>
      <c r="N9" s="11"/>
      <c r="O9" s="11"/>
    </row>
    <row r="10" customFormat="false" ht="15" hidden="false" customHeight="false" outlineLevel="0" collapsed="false">
      <c r="A10" s="4" t="s">
        <v>583</v>
      </c>
      <c r="B10" s="4" t="s">
        <v>127</v>
      </c>
      <c r="C10" s="4" t="s">
        <v>128</v>
      </c>
      <c r="D10" s="4" t="s">
        <v>129</v>
      </c>
      <c r="E10" s="8" t="n">
        <v>30000</v>
      </c>
      <c r="F10" s="8" t="n">
        <v>8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11"/>
      <c r="N10" s="11"/>
      <c r="O10" s="11"/>
    </row>
    <row r="11" customFormat="false" ht="15" hidden="false" customHeight="false" outlineLevel="0" collapsed="false">
      <c r="A11" s="4" t="s">
        <v>584</v>
      </c>
      <c r="B11" s="4" t="s">
        <v>131</v>
      </c>
      <c r="C11" s="4" t="s">
        <v>132</v>
      </c>
      <c r="D11" s="4" t="s">
        <v>133</v>
      </c>
      <c r="E11" s="8" t="n">
        <v>26000</v>
      </c>
      <c r="F11" s="8" t="n">
        <v>5.5</v>
      </c>
      <c r="G11" s="22" t="n">
        <v>0</v>
      </c>
      <c r="H11" s="22" t="n">
        <v>0</v>
      </c>
      <c r="I11" s="22" t="n">
        <v>0</v>
      </c>
      <c r="J11" s="22" t="n">
        <v>0</v>
      </c>
      <c r="K11" s="22" t="n">
        <v>0</v>
      </c>
      <c r="L11" s="22" t="n">
        <v>0</v>
      </c>
      <c r="M11" s="11"/>
      <c r="N11" s="11"/>
      <c r="O11" s="11"/>
    </row>
    <row r="12" customFormat="false" ht="15" hidden="false" customHeight="false" outlineLevel="0" collapsed="false">
      <c r="A12" s="4" t="s">
        <v>585</v>
      </c>
      <c r="B12" s="4" t="s">
        <v>136</v>
      </c>
      <c r="C12" s="4" t="s">
        <v>137</v>
      </c>
      <c r="D12" s="4" t="s">
        <v>138</v>
      </c>
      <c r="E12" s="8" t="n">
        <v>12</v>
      </c>
      <c r="F12" s="8" t="n">
        <v>18000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2" t="n">
        <v>0</v>
      </c>
      <c r="M12" s="11"/>
      <c r="N12" s="11"/>
      <c r="O12" s="11"/>
    </row>
    <row r="13" customFormat="false" ht="15" hidden="false" customHeight="false" outlineLevel="0" collapsed="false">
      <c r="A13" s="4" t="s">
        <v>586</v>
      </c>
      <c r="B13" s="4" t="s">
        <v>142</v>
      </c>
      <c r="C13" s="4" t="s">
        <v>143</v>
      </c>
      <c r="D13" s="4" t="s">
        <v>12</v>
      </c>
      <c r="E13" s="8" t="n">
        <v>1</v>
      </c>
      <c r="F13" s="8" t="n">
        <v>2360000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11"/>
      <c r="N13" s="11"/>
      <c r="O13" s="11"/>
    </row>
    <row r="14" customFormat="false" ht="15" hidden="false" customHeight="false" outlineLevel="0" collapsed="false">
      <c r="A14" s="4" t="s">
        <v>587</v>
      </c>
      <c r="B14" s="4" t="s">
        <v>147</v>
      </c>
      <c r="C14" s="4" t="s">
        <v>148</v>
      </c>
      <c r="D14" s="4" t="s">
        <v>12</v>
      </c>
      <c r="E14" s="8" t="n">
        <v>1</v>
      </c>
      <c r="F14" s="8" t="n">
        <v>1280000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11"/>
      <c r="N14" s="11"/>
      <c r="O14" s="11"/>
    </row>
    <row r="15" customFormat="false" ht="15" hidden="false" customHeight="false" outlineLevel="0" collapsed="false">
      <c r="A15" s="4" t="s">
        <v>588</v>
      </c>
      <c r="B15" s="4" t="s">
        <v>151</v>
      </c>
      <c r="C15" s="4" t="s">
        <v>152</v>
      </c>
      <c r="D15" s="4" t="s">
        <v>153</v>
      </c>
      <c r="E15" s="8" t="n">
        <v>3600</v>
      </c>
      <c r="F15" s="8" t="n">
        <v>165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v>0</v>
      </c>
      <c r="L15" s="22" t="n">
        <v>0</v>
      </c>
      <c r="M15" s="11"/>
      <c r="N15" s="11"/>
      <c r="O15" s="11"/>
    </row>
    <row r="16" customFormat="false" ht="15" hidden="false" customHeight="false" outlineLevel="0" collapsed="false">
      <c r="A16" s="4" t="s">
        <v>589</v>
      </c>
      <c r="B16" s="4" t="s">
        <v>155</v>
      </c>
      <c r="C16" s="4" t="s">
        <v>156</v>
      </c>
      <c r="D16" s="4" t="s">
        <v>157</v>
      </c>
      <c r="E16" s="8" t="n">
        <v>9200</v>
      </c>
      <c r="F16" s="8" t="n">
        <v>680</v>
      </c>
      <c r="G16" s="22" t="n">
        <v>0</v>
      </c>
      <c r="H16" s="22" t="n">
        <v>0</v>
      </c>
      <c r="I16" s="22" t="n">
        <v>0</v>
      </c>
      <c r="J16" s="22" t="n">
        <v>0</v>
      </c>
      <c r="K16" s="22" t="n">
        <v>0</v>
      </c>
      <c r="L16" s="22" t="n">
        <v>0</v>
      </c>
      <c r="M16" s="11"/>
      <c r="N16" s="11"/>
      <c r="O16" s="11"/>
    </row>
    <row r="17" customFormat="false" ht="15" hidden="false" customHeight="false" outlineLevel="0" collapsed="false">
      <c r="A17" s="4" t="s">
        <v>590</v>
      </c>
      <c r="B17" s="4" t="s">
        <v>160</v>
      </c>
      <c r="C17" s="4" t="s">
        <v>161</v>
      </c>
      <c r="D17" s="4" t="s">
        <v>157</v>
      </c>
      <c r="E17" s="8" t="n">
        <v>3200</v>
      </c>
      <c r="F17" s="8" t="n">
        <v>1250</v>
      </c>
      <c r="G17" s="22" t="n">
        <v>0</v>
      </c>
      <c r="H17" s="22" t="n">
        <v>0</v>
      </c>
      <c r="I17" s="22" t="n">
        <v>0</v>
      </c>
      <c r="J17" s="22" t="n">
        <v>0</v>
      </c>
      <c r="K17" s="22" t="n">
        <v>0</v>
      </c>
      <c r="L17" s="22" t="n">
        <v>0</v>
      </c>
      <c r="M17" s="11"/>
      <c r="N17" s="11"/>
      <c r="O17" s="11"/>
    </row>
    <row r="18" customFormat="false" ht="15" hidden="false" customHeight="false" outlineLevel="0" collapsed="false">
      <c r="A18" s="4" t="s">
        <v>591</v>
      </c>
      <c r="B18" s="4" t="s">
        <v>163</v>
      </c>
      <c r="C18" s="4" t="s">
        <v>164</v>
      </c>
      <c r="D18" s="4" t="s">
        <v>157</v>
      </c>
      <c r="E18" s="8" t="n">
        <v>1600</v>
      </c>
      <c r="F18" s="8" t="n">
        <v>920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0</v>
      </c>
      <c r="L18" s="22" t="n">
        <v>0</v>
      </c>
      <c r="M18" s="11"/>
      <c r="N18" s="11"/>
      <c r="O18" s="11"/>
    </row>
    <row r="19" customFormat="false" ht="15" hidden="false" customHeight="false" outlineLevel="0" collapsed="false">
      <c r="A19" s="4" t="s">
        <v>592</v>
      </c>
      <c r="B19" s="4" t="s">
        <v>167</v>
      </c>
      <c r="C19" s="4" t="s">
        <v>168</v>
      </c>
      <c r="D19" s="4" t="s">
        <v>169</v>
      </c>
      <c r="E19" s="8" t="n">
        <v>5000</v>
      </c>
      <c r="F19" s="8" t="n">
        <v>130</v>
      </c>
      <c r="G19" s="22" t="n">
        <v>0</v>
      </c>
      <c r="H19" s="22" t="n">
        <v>0</v>
      </c>
      <c r="I19" s="22" t="n">
        <v>0</v>
      </c>
      <c r="J19" s="22" t="n">
        <v>0</v>
      </c>
      <c r="K19" s="22" t="n">
        <v>0</v>
      </c>
      <c r="L19" s="22" t="n">
        <v>0</v>
      </c>
      <c r="M19" s="11"/>
      <c r="N19" s="11"/>
      <c r="O19" s="11"/>
    </row>
    <row r="20" customFormat="false" ht="15" hidden="false" customHeight="false" outlineLevel="0" collapsed="false">
      <c r="A20" s="4" t="s">
        <v>593</v>
      </c>
      <c r="B20" s="4" t="s">
        <v>172</v>
      </c>
      <c r="C20" s="4" t="s">
        <v>173</v>
      </c>
      <c r="D20" s="4" t="s">
        <v>174</v>
      </c>
      <c r="E20" s="8" t="n">
        <v>1800</v>
      </c>
      <c r="F20" s="8" t="n">
        <v>680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0</v>
      </c>
      <c r="L20" s="22" t="n">
        <v>0</v>
      </c>
      <c r="M20" s="11"/>
      <c r="N20" s="11"/>
      <c r="O20" s="11"/>
    </row>
    <row r="21" customFormat="false" ht="15" hidden="false" customHeight="false" outlineLevel="0" collapsed="false">
      <c r="A21" s="4" t="s">
        <v>594</v>
      </c>
      <c r="B21" s="4" t="s">
        <v>177</v>
      </c>
      <c r="C21" s="4" t="s">
        <v>178</v>
      </c>
      <c r="D21" s="4" t="s">
        <v>179</v>
      </c>
      <c r="E21" s="8" t="n">
        <v>1500</v>
      </c>
      <c r="F21" s="8" t="n">
        <v>680</v>
      </c>
      <c r="G21" s="22" t="n">
        <v>0</v>
      </c>
      <c r="H21" s="22" t="n">
        <v>0</v>
      </c>
      <c r="I21" s="22" t="n">
        <v>0</v>
      </c>
      <c r="J21" s="22" t="n">
        <v>0</v>
      </c>
      <c r="K21" s="22" t="n">
        <v>0</v>
      </c>
      <c r="L21" s="22" t="n">
        <v>0</v>
      </c>
      <c r="M21" s="11"/>
      <c r="N21" s="11"/>
      <c r="O21" s="11"/>
    </row>
    <row r="22" customFormat="false" ht="15" hidden="false" customHeight="false" outlineLevel="0" collapsed="false">
      <c r="A22" s="4" t="s">
        <v>595</v>
      </c>
      <c r="B22" s="4" t="s">
        <v>182</v>
      </c>
      <c r="C22" s="4" t="s">
        <v>183</v>
      </c>
      <c r="D22" s="4" t="s">
        <v>109</v>
      </c>
      <c r="E22" s="8" t="n">
        <v>-300</v>
      </c>
      <c r="F22" s="8" t="n">
        <v>86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</v>
      </c>
      <c r="L22" s="22" t="n">
        <v>0</v>
      </c>
      <c r="M22" s="11"/>
      <c r="N22" s="11"/>
      <c r="O22" s="11"/>
    </row>
    <row r="23" customFormat="false" ht="15" hidden="false" customHeight="false" outlineLevel="0" collapsed="false">
      <c r="A23" s="4" t="s">
        <v>596</v>
      </c>
      <c r="B23" s="4" t="s">
        <v>186</v>
      </c>
      <c r="C23" s="4" t="s">
        <v>187</v>
      </c>
      <c r="D23" s="4" t="s">
        <v>188</v>
      </c>
      <c r="E23" s="8" t="n">
        <v>2800</v>
      </c>
      <c r="F23" s="8" t="n">
        <v>6</v>
      </c>
      <c r="G23" s="22" t="n">
        <v>0</v>
      </c>
      <c r="H23" s="22" t="n">
        <v>0</v>
      </c>
      <c r="I23" s="22" t="n">
        <v>0</v>
      </c>
      <c r="J23" s="22" t="n">
        <v>0</v>
      </c>
      <c r="K23" s="22" t="n">
        <v>0</v>
      </c>
      <c r="L23" s="22" t="n">
        <v>0</v>
      </c>
      <c r="M23" s="11"/>
      <c r="N23" s="11"/>
      <c r="O23" s="11"/>
    </row>
  </sheetData>
  <mergeCells count="2">
    <mergeCell ref="A1:O1"/>
    <mergeCell ref="A2:O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6"/>
    <col collapsed="false" customWidth="true" hidden="false" outlineLevel="0" max="4" min="4" style="0" width="30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24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34"/>
    <col collapsed="false" customWidth="true" hidden="false" outlineLevel="0" max="14" min="14" style="0" width="20"/>
    <col collapsed="false" customWidth="true" hidden="false" outlineLevel="0" max="15" min="15" style="0" width="14"/>
    <col collapsed="false" customWidth="true" hidden="false" outlineLevel="0" max="16" min="16" style="0" width="38"/>
  </cols>
  <sheetData>
    <row r="1" customFormat="false" ht="30" hidden="false" customHeight="true" outlineLevel="0" collapsed="false">
      <c r="A1" s="1" t="s">
        <v>597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8" hidden="false" customHeight="true" outlineLevel="0" collapsed="false">
      <c r="A2" s="2" t="s">
        <v>598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5" customFormat="false" ht="34" hidden="false" customHeight="true" outlineLevel="0" collapsed="false">
      <c r="A5" s="3" t="s">
        <v>599</v>
      </c>
      <c r="B5" s="3" t="s">
        <v>213</v>
      </c>
      <c r="C5" s="3" t="s">
        <v>600</v>
      </c>
      <c r="D5" s="3" t="s">
        <v>423</v>
      </c>
      <c r="E5" s="3" t="s">
        <v>99</v>
      </c>
      <c r="F5" s="3" t="s">
        <v>601</v>
      </c>
      <c r="G5" s="3" t="s">
        <v>602</v>
      </c>
      <c r="H5" s="3" t="s">
        <v>306</v>
      </c>
      <c r="I5" s="3" t="s">
        <v>603</v>
      </c>
      <c r="J5" s="3" t="s">
        <v>604</v>
      </c>
      <c r="K5" s="3" t="s">
        <v>605</v>
      </c>
      <c r="L5" s="3" t="s">
        <v>606</v>
      </c>
      <c r="M5" s="3" t="s">
        <v>607</v>
      </c>
      <c r="N5" s="3" t="s">
        <v>608</v>
      </c>
      <c r="O5" s="3" t="s">
        <v>104</v>
      </c>
      <c r="P5" s="3" t="s">
        <v>280</v>
      </c>
    </row>
    <row r="6" customFormat="false" ht="15" hidden="false" customHeight="false" outlineLevel="0" collapsed="false">
      <c r="A6" s="4" t="s">
        <v>609</v>
      </c>
      <c r="B6" s="11"/>
      <c r="C6" s="11"/>
      <c r="D6" s="11"/>
      <c r="E6" s="22" t="n">
        <v>0</v>
      </c>
      <c r="F6" s="22" t="n">
        <v>0</v>
      </c>
      <c r="G6" s="11"/>
      <c r="H6" s="11"/>
      <c r="I6" s="11"/>
      <c r="J6" s="11"/>
      <c r="K6" s="11"/>
      <c r="L6" s="11"/>
      <c r="M6" s="11"/>
      <c r="N6" s="11"/>
      <c r="O6" s="11" t="s">
        <v>426</v>
      </c>
      <c r="P6" s="11"/>
    </row>
    <row r="7" customFormat="false" ht="15" hidden="false" customHeight="false" outlineLevel="0" collapsed="false">
      <c r="A7" s="4" t="s">
        <v>610</v>
      </c>
      <c r="B7" s="11"/>
      <c r="C7" s="11"/>
      <c r="D7" s="11"/>
      <c r="E7" s="22" t="n">
        <v>0</v>
      </c>
      <c r="F7" s="22" t="n">
        <v>0</v>
      </c>
      <c r="G7" s="11"/>
      <c r="H7" s="11"/>
      <c r="I7" s="11"/>
      <c r="J7" s="11"/>
      <c r="K7" s="11"/>
      <c r="L7" s="11"/>
      <c r="M7" s="11"/>
      <c r="N7" s="11"/>
      <c r="O7" s="11" t="s">
        <v>426</v>
      </c>
      <c r="P7" s="11"/>
    </row>
    <row r="8" customFormat="false" ht="15" hidden="false" customHeight="false" outlineLevel="0" collapsed="false">
      <c r="A8" s="4" t="s">
        <v>611</v>
      </c>
      <c r="B8" s="11"/>
      <c r="C8" s="11"/>
      <c r="D8" s="11"/>
      <c r="E8" s="22" t="n">
        <v>0</v>
      </c>
      <c r="F8" s="22" t="n">
        <v>0</v>
      </c>
      <c r="G8" s="11"/>
      <c r="H8" s="11"/>
      <c r="I8" s="11"/>
      <c r="J8" s="11"/>
      <c r="K8" s="11"/>
      <c r="L8" s="11"/>
      <c r="M8" s="11"/>
      <c r="N8" s="11"/>
      <c r="O8" s="11" t="s">
        <v>426</v>
      </c>
      <c r="P8" s="11"/>
    </row>
    <row r="9" customFormat="false" ht="15" hidden="false" customHeight="false" outlineLevel="0" collapsed="false">
      <c r="A9" s="4" t="s">
        <v>612</v>
      </c>
      <c r="B9" s="11"/>
      <c r="C9" s="11"/>
      <c r="D9" s="11"/>
      <c r="E9" s="22" t="n">
        <v>0</v>
      </c>
      <c r="F9" s="22" t="n">
        <v>0</v>
      </c>
      <c r="G9" s="11"/>
      <c r="H9" s="11"/>
      <c r="I9" s="11"/>
      <c r="J9" s="11"/>
      <c r="K9" s="11"/>
      <c r="L9" s="11"/>
      <c r="M9" s="11"/>
      <c r="N9" s="11"/>
      <c r="O9" s="11" t="s">
        <v>426</v>
      </c>
      <c r="P9" s="11"/>
    </row>
    <row r="10" customFormat="false" ht="15" hidden="false" customHeight="false" outlineLevel="0" collapsed="false">
      <c r="A10" s="4" t="s">
        <v>613</v>
      </c>
      <c r="B10" s="11"/>
      <c r="C10" s="11"/>
      <c r="D10" s="11"/>
      <c r="E10" s="22" t="n">
        <v>0</v>
      </c>
      <c r="F10" s="22" t="n">
        <v>0</v>
      </c>
      <c r="G10" s="11"/>
      <c r="H10" s="11"/>
      <c r="I10" s="11"/>
      <c r="J10" s="11"/>
      <c r="K10" s="11"/>
      <c r="L10" s="11"/>
      <c r="M10" s="11"/>
      <c r="N10" s="11"/>
      <c r="O10" s="11" t="s">
        <v>426</v>
      </c>
      <c r="P10" s="11"/>
    </row>
    <row r="11" customFormat="false" ht="15" hidden="false" customHeight="false" outlineLevel="0" collapsed="false">
      <c r="A11" s="4" t="s">
        <v>614</v>
      </c>
      <c r="B11" s="11"/>
      <c r="C11" s="11"/>
      <c r="D11" s="11"/>
      <c r="E11" s="22" t="n">
        <v>0</v>
      </c>
      <c r="F11" s="22" t="n">
        <v>0</v>
      </c>
      <c r="G11" s="11"/>
      <c r="H11" s="11"/>
      <c r="I11" s="11"/>
      <c r="J11" s="11"/>
      <c r="K11" s="11"/>
      <c r="L11" s="11"/>
      <c r="M11" s="11"/>
      <c r="N11" s="11"/>
      <c r="O11" s="11" t="s">
        <v>426</v>
      </c>
      <c r="P11" s="11"/>
    </row>
    <row r="12" customFormat="false" ht="15" hidden="false" customHeight="false" outlineLevel="0" collapsed="false">
      <c r="A12" s="4" t="s">
        <v>615</v>
      </c>
      <c r="B12" s="11"/>
      <c r="C12" s="11"/>
      <c r="D12" s="11"/>
      <c r="E12" s="22" t="n">
        <v>0</v>
      </c>
      <c r="F12" s="22" t="n">
        <v>0</v>
      </c>
      <c r="G12" s="11"/>
      <c r="H12" s="11"/>
      <c r="I12" s="11"/>
      <c r="J12" s="11"/>
      <c r="K12" s="11"/>
      <c r="L12" s="11"/>
      <c r="M12" s="11"/>
      <c r="N12" s="11"/>
      <c r="O12" s="11" t="s">
        <v>426</v>
      </c>
      <c r="P12" s="11"/>
    </row>
    <row r="13" customFormat="false" ht="15" hidden="false" customHeight="false" outlineLevel="0" collapsed="false">
      <c r="A13" s="4" t="s">
        <v>616</v>
      </c>
      <c r="B13" s="11"/>
      <c r="C13" s="11"/>
      <c r="D13" s="11"/>
      <c r="E13" s="22" t="n">
        <v>0</v>
      </c>
      <c r="F13" s="22" t="n">
        <v>0</v>
      </c>
      <c r="G13" s="11"/>
      <c r="H13" s="11"/>
      <c r="I13" s="11"/>
      <c r="J13" s="11"/>
      <c r="K13" s="11"/>
      <c r="L13" s="11"/>
      <c r="M13" s="11"/>
      <c r="N13" s="11"/>
      <c r="O13" s="11" t="s">
        <v>426</v>
      </c>
      <c r="P13" s="11"/>
    </row>
    <row r="14" customFormat="false" ht="15" hidden="false" customHeight="false" outlineLevel="0" collapsed="false">
      <c r="A14" s="4" t="s">
        <v>617</v>
      </c>
      <c r="B14" s="11"/>
      <c r="C14" s="11"/>
      <c r="D14" s="11"/>
      <c r="E14" s="22" t="n">
        <v>0</v>
      </c>
      <c r="F14" s="22" t="n">
        <v>0</v>
      </c>
      <c r="G14" s="11"/>
      <c r="H14" s="11"/>
      <c r="I14" s="11"/>
      <c r="J14" s="11"/>
      <c r="K14" s="11"/>
      <c r="L14" s="11"/>
      <c r="M14" s="11"/>
      <c r="N14" s="11"/>
      <c r="O14" s="11" t="s">
        <v>426</v>
      </c>
      <c r="P14" s="11"/>
    </row>
    <row r="15" customFormat="false" ht="15" hidden="false" customHeight="false" outlineLevel="0" collapsed="false">
      <c r="A15" s="4" t="s">
        <v>618</v>
      </c>
      <c r="B15" s="11"/>
      <c r="C15" s="11"/>
      <c r="D15" s="11"/>
      <c r="E15" s="22" t="n">
        <v>0</v>
      </c>
      <c r="F15" s="22" t="n">
        <v>0</v>
      </c>
      <c r="G15" s="11"/>
      <c r="H15" s="11"/>
      <c r="I15" s="11"/>
      <c r="J15" s="11"/>
      <c r="K15" s="11"/>
      <c r="L15" s="11"/>
      <c r="M15" s="11"/>
      <c r="N15" s="11"/>
      <c r="O15" s="11" t="s">
        <v>426</v>
      </c>
      <c r="P15" s="11"/>
    </row>
    <row r="16" customFormat="false" ht="15" hidden="false" customHeight="false" outlineLevel="0" collapsed="false">
      <c r="A16" s="4" t="s">
        <v>619</v>
      </c>
      <c r="B16" s="11"/>
      <c r="C16" s="11"/>
      <c r="D16" s="11"/>
      <c r="E16" s="22" t="n">
        <v>0</v>
      </c>
      <c r="F16" s="22" t="n">
        <v>0</v>
      </c>
      <c r="G16" s="11"/>
      <c r="H16" s="11"/>
      <c r="I16" s="11"/>
      <c r="J16" s="11"/>
      <c r="K16" s="11"/>
      <c r="L16" s="11"/>
      <c r="M16" s="11"/>
      <c r="N16" s="11"/>
      <c r="O16" s="11" t="s">
        <v>426</v>
      </c>
      <c r="P16" s="11"/>
    </row>
    <row r="17" customFormat="false" ht="15" hidden="false" customHeight="false" outlineLevel="0" collapsed="false">
      <c r="A17" s="4" t="s">
        <v>620</v>
      </c>
      <c r="B17" s="11"/>
      <c r="C17" s="11"/>
      <c r="D17" s="11"/>
      <c r="E17" s="22" t="n">
        <v>0</v>
      </c>
      <c r="F17" s="22" t="n">
        <v>0</v>
      </c>
      <c r="G17" s="11"/>
      <c r="H17" s="11"/>
      <c r="I17" s="11"/>
      <c r="J17" s="11"/>
      <c r="K17" s="11"/>
      <c r="L17" s="11"/>
      <c r="M17" s="11"/>
      <c r="N17" s="11"/>
      <c r="O17" s="11" t="s">
        <v>426</v>
      </c>
      <c r="P17" s="11"/>
    </row>
    <row r="18" customFormat="false" ht="15" hidden="false" customHeight="false" outlineLevel="0" collapsed="false">
      <c r="A18" s="4" t="s">
        <v>621</v>
      </c>
      <c r="B18" s="11"/>
      <c r="C18" s="11"/>
      <c r="D18" s="11"/>
      <c r="E18" s="22" t="n">
        <v>0</v>
      </c>
      <c r="F18" s="22" t="n">
        <v>0</v>
      </c>
      <c r="G18" s="11"/>
      <c r="H18" s="11"/>
      <c r="I18" s="11"/>
      <c r="J18" s="11"/>
      <c r="K18" s="11"/>
      <c r="L18" s="11"/>
      <c r="M18" s="11"/>
      <c r="N18" s="11"/>
      <c r="O18" s="11" t="s">
        <v>426</v>
      </c>
      <c r="P18" s="11"/>
    </row>
    <row r="19" customFormat="false" ht="15" hidden="false" customHeight="false" outlineLevel="0" collapsed="false">
      <c r="A19" s="4" t="s">
        <v>622</v>
      </c>
      <c r="B19" s="11"/>
      <c r="C19" s="11"/>
      <c r="D19" s="11"/>
      <c r="E19" s="22" t="n">
        <v>0</v>
      </c>
      <c r="F19" s="22" t="n">
        <v>0</v>
      </c>
      <c r="G19" s="11"/>
      <c r="H19" s="11"/>
      <c r="I19" s="11"/>
      <c r="J19" s="11"/>
      <c r="K19" s="11"/>
      <c r="L19" s="11"/>
      <c r="M19" s="11"/>
      <c r="N19" s="11"/>
      <c r="O19" s="11" t="s">
        <v>426</v>
      </c>
      <c r="P19" s="11"/>
    </row>
    <row r="20" customFormat="false" ht="15" hidden="false" customHeight="false" outlineLevel="0" collapsed="false">
      <c r="A20" s="4" t="s">
        <v>623</v>
      </c>
      <c r="B20" s="11"/>
      <c r="C20" s="11"/>
      <c r="D20" s="11"/>
      <c r="E20" s="22" t="n">
        <v>0</v>
      </c>
      <c r="F20" s="22" t="n">
        <v>0</v>
      </c>
      <c r="G20" s="11"/>
      <c r="H20" s="11"/>
      <c r="I20" s="11"/>
      <c r="J20" s="11"/>
      <c r="K20" s="11"/>
      <c r="L20" s="11"/>
      <c r="M20" s="11"/>
      <c r="N20" s="11"/>
      <c r="O20" s="11" t="s">
        <v>426</v>
      </c>
      <c r="P20" s="11"/>
    </row>
    <row r="21" customFormat="false" ht="15" hidden="false" customHeight="false" outlineLevel="0" collapsed="false">
      <c r="A21" s="4" t="s">
        <v>624</v>
      </c>
      <c r="B21" s="11"/>
      <c r="C21" s="11"/>
      <c r="D21" s="11"/>
      <c r="E21" s="22" t="n">
        <v>0</v>
      </c>
      <c r="F21" s="22" t="n">
        <v>0</v>
      </c>
      <c r="G21" s="11"/>
      <c r="H21" s="11"/>
      <c r="I21" s="11"/>
      <c r="J21" s="11"/>
      <c r="K21" s="11"/>
      <c r="L21" s="11"/>
      <c r="M21" s="11"/>
      <c r="N21" s="11"/>
      <c r="O21" s="11" t="s">
        <v>426</v>
      </c>
      <c r="P21" s="11"/>
    </row>
    <row r="22" customFormat="false" ht="15" hidden="false" customHeight="false" outlineLevel="0" collapsed="false">
      <c r="A22" s="4" t="s">
        <v>625</v>
      </c>
      <c r="B22" s="11"/>
      <c r="C22" s="11"/>
      <c r="D22" s="11"/>
      <c r="E22" s="22" t="n">
        <v>0</v>
      </c>
      <c r="F22" s="22" t="n">
        <v>0</v>
      </c>
      <c r="G22" s="11"/>
      <c r="H22" s="11"/>
      <c r="I22" s="11"/>
      <c r="J22" s="11"/>
      <c r="K22" s="11"/>
      <c r="L22" s="11"/>
      <c r="M22" s="11"/>
      <c r="N22" s="11"/>
      <c r="O22" s="11" t="s">
        <v>426</v>
      </c>
      <c r="P22" s="11"/>
    </row>
    <row r="23" customFormat="false" ht="15" hidden="false" customHeight="false" outlineLevel="0" collapsed="false">
      <c r="A23" s="4" t="s">
        <v>626</v>
      </c>
      <c r="B23" s="11"/>
      <c r="C23" s="11"/>
      <c r="D23" s="11"/>
      <c r="E23" s="22" t="n">
        <v>0</v>
      </c>
      <c r="F23" s="22" t="n">
        <v>0</v>
      </c>
      <c r="G23" s="11"/>
      <c r="H23" s="11"/>
      <c r="I23" s="11"/>
      <c r="J23" s="11"/>
      <c r="K23" s="11"/>
      <c r="L23" s="11"/>
      <c r="M23" s="11"/>
      <c r="N23" s="11"/>
      <c r="O23" s="11" t="s">
        <v>426</v>
      </c>
      <c r="P23" s="11"/>
    </row>
    <row r="24" customFormat="false" ht="15" hidden="false" customHeight="false" outlineLevel="0" collapsed="false">
      <c r="A24" s="4" t="s">
        <v>627</v>
      </c>
      <c r="B24" s="11"/>
      <c r="C24" s="11"/>
      <c r="D24" s="11"/>
      <c r="E24" s="22" t="n">
        <v>0</v>
      </c>
      <c r="F24" s="22" t="n">
        <v>0</v>
      </c>
      <c r="G24" s="11"/>
      <c r="H24" s="11"/>
      <c r="I24" s="11"/>
      <c r="J24" s="11"/>
      <c r="K24" s="11"/>
      <c r="L24" s="11"/>
      <c r="M24" s="11"/>
      <c r="N24" s="11"/>
      <c r="O24" s="11" t="s">
        <v>426</v>
      </c>
      <c r="P24" s="11"/>
    </row>
    <row r="25" customFormat="false" ht="15" hidden="false" customHeight="false" outlineLevel="0" collapsed="false">
      <c r="A25" s="4" t="s">
        <v>628</v>
      </c>
      <c r="B25" s="11"/>
      <c r="C25" s="11"/>
      <c r="D25" s="11"/>
      <c r="E25" s="22" t="n">
        <v>0</v>
      </c>
      <c r="F25" s="22" t="n">
        <v>0</v>
      </c>
      <c r="G25" s="11"/>
      <c r="H25" s="11"/>
      <c r="I25" s="11"/>
      <c r="J25" s="11"/>
      <c r="K25" s="11"/>
      <c r="L25" s="11"/>
      <c r="M25" s="11"/>
      <c r="N25" s="11"/>
      <c r="O25" s="11" t="s">
        <v>426</v>
      </c>
      <c r="P25" s="11"/>
    </row>
    <row r="26" customFormat="false" ht="15" hidden="false" customHeight="false" outlineLevel="0" collapsed="false">
      <c r="A26" s="4" t="s">
        <v>629</v>
      </c>
      <c r="B26" s="11"/>
      <c r="C26" s="11"/>
      <c r="D26" s="11"/>
      <c r="E26" s="22" t="n">
        <v>0</v>
      </c>
      <c r="F26" s="22" t="n">
        <v>0</v>
      </c>
      <c r="G26" s="11"/>
      <c r="H26" s="11"/>
      <c r="I26" s="11"/>
      <c r="J26" s="11"/>
      <c r="K26" s="11"/>
      <c r="L26" s="11"/>
      <c r="M26" s="11"/>
      <c r="N26" s="11"/>
      <c r="O26" s="11" t="s">
        <v>426</v>
      </c>
      <c r="P26" s="11"/>
    </row>
    <row r="27" customFormat="false" ht="15" hidden="false" customHeight="false" outlineLevel="0" collapsed="false">
      <c r="A27" s="4" t="s">
        <v>630</v>
      </c>
      <c r="B27" s="11"/>
      <c r="C27" s="11"/>
      <c r="D27" s="11"/>
      <c r="E27" s="22" t="n">
        <v>0</v>
      </c>
      <c r="F27" s="22" t="n">
        <v>0</v>
      </c>
      <c r="G27" s="11"/>
      <c r="H27" s="11"/>
      <c r="I27" s="11"/>
      <c r="J27" s="11"/>
      <c r="K27" s="11"/>
      <c r="L27" s="11"/>
      <c r="M27" s="11"/>
      <c r="N27" s="11"/>
      <c r="O27" s="11" t="s">
        <v>426</v>
      </c>
      <c r="P27" s="11"/>
    </row>
    <row r="28" customFormat="false" ht="15" hidden="false" customHeight="false" outlineLevel="0" collapsed="false">
      <c r="A28" s="4" t="s">
        <v>631</v>
      </c>
      <c r="B28" s="11"/>
      <c r="C28" s="11"/>
      <c r="D28" s="11"/>
      <c r="E28" s="22" t="n">
        <v>0</v>
      </c>
      <c r="F28" s="22" t="n">
        <v>0</v>
      </c>
      <c r="G28" s="11"/>
      <c r="H28" s="11"/>
      <c r="I28" s="11"/>
      <c r="J28" s="11"/>
      <c r="K28" s="11"/>
      <c r="L28" s="11"/>
      <c r="M28" s="11"/>
      <c r="N28" s="11"/>
      <c r="O28" s="11" t="s">
        <v>426</v>
      </c>
      <c r="P28" s="11"/>
    </row>
    <row r="29" customFormat="false" ht="15" hidden="false" customHeight="false" outlineLevel="0" collapsed="false">
      <c r="A29" s="4" t="s">
        <v>632</v>
      </c>
      <c r="B29" s="11"/>
      <c r="C29" s="11"/>
      <c r="D29" s="11"/>
      <c r="E29" s="22" t="n">
        <v>0</v>
      </c>
      <c r="F29" s="22" t="n">
        <v>0</v>
      </c>
      <c r="G29" s="11"/>
      <c r="H29" s="11"/>
      <c r="I29" s="11"/>
      <c r="J29" s="11"/>
      <c r="K29" s="11"/>
      <c r="L29" s="11"/>
      <c r="M29" s="11"/>
      <c r="N29" s="11"/>
      <c r="O29" s="11" t="s">
        <v>426</v>
      </c>
      <c r="P29" s="11"/>
    </row>
    <row r="30" customFormat="false" ht="15" hidden="false" customHeight="false" outlineLevel="0" collapsed="false">
      <c r="A30" s="4" t="s">
        <v>633</v>
      </c>
      <c r="B30" s="11"/>
      <c r="C30" s="11"/>
      <c r="D30" s="11"/>
      <c r="E30" s="22" t="n">
        <v>0</v>
      </c>
      <c r="F30" s="22" t="n">
        <v>0</v>
      </c>
      <c r="G30" s="11"/>
      <c r="H30" s="11"/>
      <c r="I30" s="11"/>
      <c r="J30" s="11"/>
      <c r="K30" s="11"/>
      <c r="L30" s="11"/>
      <c r="M30" s="11"/>
      <c r="N30" s="11"/>
      <c r="O30" s="11" t="s">
        <v>426</v>
      </c>
      <c r="P30" s="11"/>
    </row>
    <row r="31" customFormat="false" ht="15" hidden="false" customHeight="false" outlineLevel="0" collapsed="false">
      <c r="A31" s="4" t="s">
        <v>634</v>
      </c>
      <c r="B31" s="11"/>
      <c r="C31" s="11"/>
      <c r="D31" s="11"/>
      <c r="E31" s="22" t="n">
        <v>0</v>
      </c>
      <c r="F31" s="22" t="n">
        <v>0</v>
      </c>
      <c r="G31" s="11"/>
      <c r="H31" s="11"/>
      <c r="I31" s="11"/>
      <c r="J31" s="11"/>
      <c r="K31" s="11"/>
      <c r="L31" s="11"/>
      <c r="M31" s="11"/>
      <c r="N31" s="11"/>
      <c r="O31" s="11" t="s">
        <v>426</v>
      </c>
      <c r="P31" s="11"/>
    </row>
    <row r="32" customFormat="false" ht="15" hidden="false" customHeight="false" outlineLevel="0" collapsed="false">
      <c r="A32" s="4" t="s">
        <v>635</v>
      </c>
      <c r="B32" s="11"/>
      <c r="C32" s="11"/>
      <c r="D32" s="11"/>
      <c r="E32" s="22" t="n">
        <v>0</v>
      </c>
      <c r="F32" s="22" t="n">
        <v>0</v>
      </c>
      <c r="G32" s="11"/>
      <c r="H32" s="11"/>
      <c r="I32" s="11"/>
      <c r="J32" s="11"/>
      <c r="K32" s="11"/>
      <c r="L32" s="11"/>
      <c r="M32" s="11"/>
      <c r="N32" s="11"/>
      <c r="O32" s="11" t="s">
        <v>426</v>
      </c>
      <c r="P32" s="11"/>
    </row>
    <row r="33" customFormat="false" ht="15" hidden="false" customHeight="false" outlineLevel="0" collapsed="false">
      <c r="A33" s="4" t="s">
        <v>636</v>
      </c>
      <c r="B33" s="11"/>
      <c r="C33" s="11"/>
      <c r="D33" s="11"/>
      <c r="E33" s="22" t="n">
        <v>0</v>
      </c>
      <c r="F33" s="22" t="n">
        <v>0</v>
      </c>
      <c r="G33" s="11"/>
      <c r="H33" s="11"/>
      <c r="I33" s="11"/>
      <c r="J33" s="11"/>
      <c r="K33" s="11"/>
      <c r="L33" s="11"/>
      <c r="M33" s="11"/>
      <c r="N33" s="11"/>
      <c r="O33" s="11" t="s">
        <v>426</v>
      </c>
      <c r="P33" s="11"/>
    </row>
    <row r="34" customFormat="false" ht="15" hidden="false" customHeight="false" outlineLevel="0" collapsed="false">
      <c r="A34" s="4" t="s">
        <v>637</v>
      </c>
      <c r="B34" s="11"/>
      <c r="C34" s="11"/>
      <c r="D34" s="11"/>
      <c r="E34" s="22" t="n">
        <v>0</v>
      </c>
      <c r="F34" s="22" t="n">
        <v>0</v>
      </c>
      <c r="G34" s="11"/>
      <c r="H34" s="11"/>
      <c r="I34" s="11"/>
      <c r="J34" s="11"/>
      <c r="K34" s="11"/>
      <c r="L34" s="11"/>
      <c r="M34" s="11"/>
      <c r="N34" s="11"/>
      <c r="O34" s="11" t="s">
        <v>426</v>
      </c>
      <c r="P34" s="11"/>
    </row>
    <row r="35" customFormat="false" ht="15" hidden="false" customHeight="false" outlineLevel="0" collapsed="false">
      <c r="A35" s="4" t="s">
        <v>638</v>
      </c>
      <c r="B35" s="11"/>
      <c r="C35" s="11"/>
      <c r="D35" s="11"/>
      <c r="E35" s="22" t="n">
        <v>0</v>
      </c>
      <c r="F35" s="22" t="n">
        <v>0</v>
      </c>
      <c r="G35" s="11"/>
      <c r="H35" s="11"/>
      <c r="I35" s="11"/>
      <c r="J35" s="11"/>
      <c r="K35" s="11"/>
      <c r="L35" s="11"/>
      <c r="M35" s="11"/>
      <c r="N35" s="11"/>
      <c r="O35" s="11" t="s">
        <v>426</v>
      </c>
      <c r="P35" s="11"/>
    </row>
  </sheetData>
  <mergeCells count="2">
    <mergeCell ref="A1:P1"/>
    <mergeCell ref="A2:P2"/>
  </mergeCells>
  <conditionalFormatting sqref="O6:O35">
    <cfRule type="containsText" priority="2" operator="containsText" aboveAverage="0" equalAverage="0" bottom="0" percent="0" rank="0" text="已完成" dxfId="21">
      <formula>NOT(ISERROR(SEARCH("已完成",O6)))</formula>
    </cfRule>
    <cfRule type="containsText" priority="3" operator="containsText" aboveAverage="0" equalAverage="0" bottom="0" percent="0" rank="0" text="高" dxfId="22">
      <formula>NOT(ISERROR(SEARCH("高",O6)))</formula>
    </cfRule>
  </conditionalFormatting>
  <dataValidations count="1">
    <dataValidation allowBlank="false" errorStyle="stop" operator="between" showDropDown="false" showErrorMessage="false" showInputMessage="false" sqref="O6:O35" type="list">
      <formula1>"Open,鉴定中,待审批,执行中,Closed"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4" min="3" style="0" width="13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3" min="10" style="0" width="18"/>
    <col collapsed="false" customWidth="true" hidden="false" outlineLevel="0" max="14" min="14" style="0" width="36"/>
  </cols>
  <sheetData>
    <row r="1" customFormat="false" ht="30" hidden="false" customHeight="true" outlineLevel="0" collapsed="false">
      <c r="A1" s="1" t="s">
        <v>639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8" hidden="false" customHeight="true" outlineLevel="0" collapsed="false">
      <c r="A2" s="2" t="s">
        <v>640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5" customFormat="false" ht="34" hidden="false" customHeight="true" outlineLevel="0" collapsed="false">
      <c r="A5" s="3" t="s">
        <v>641</v>
      </c>
      <c r="B5" s="3" t="s">
        <v>642</v>
      </c>
      <c r="C5" s="3" t="s">
        <v>643</v>
      </c>
      <c r="D5" s="3" t="s">
        <v>644</v>
      </c>
      <c r="E5" s="3" t="s">
        <v>645</v>
      </c>
      <c r="F5" s="3" t="s">
        <v>646</v>
      </c>
      <c r="G5" s="3" t="s">
        <v>647</v>
      </c>
      <c r="H5" s="3" t="s">
        <v>648</v>
      </c>
      <c r="I5" s="3" t="s">
        <v>649</v>
      </c>
      <c r="J5" s="3" t="s">
        <v>306</v>
      </c>
      <c r="K5" s="3" t="s">
        <v>650</v>
      </c>
      <c r="L5" s="3" t="s">
        <v>275</v>
      </c>
      <c r="M5" s="3" t="s">
        <v>651</v>
      </c>
      <c r="N5" s="3" t="s">
        <v>422</v>
      </c>
    </row>
    <row r="6" customFormat="false" ht="15" hidden="false" customHeight="false" outlineLevel="0" collapsed="false">
      <c r="A6" s="4" t="s">
        <v>652</v>
      </c>
      <c r="B6" s="11"/>
      <c r="C6" s="22" t="n">
        <v>0</v>
      </c>
      <c r="D6" s="22" t="n">
        <v>0</v>
      </c>
      <c r="E6" s="22" t="n">
        <v>0</v>
      </c>
      <c r="F6" s="11"/>
      <c r="G6" s="11"/>
      <c r="H6" s="23"/>
      <c r="I6" s="23"/>
      <c r="J6" s="11"/>
      <c r="K6" s="11"/>
      <c r="L6" s="11"/>
      <c r="M6" s="11"/>
      <c r="N6" s="11"/>
    </row>
    <row r="7" customFormat="false" ht="15" hidden="false" customHeight="false" outlineLevel="0" collapsed="false">
      <c r="A7" s="4" t="s">
        <v>653</v>
      </c>
      <c r="B7" s="11"/>
      <c r="C7" s="22" t="n">
        <v>0</v>
      </c>
      <c r="D7" s="22" t="n">
        <v>0</v>
      </c>
      <c r="E7" s="22" t="n">
        <v>0</v>
      </c>
      <c r="F7" s="11"/>
      <c r="G7" s="11"/>
      <c r="H7" s="23"/>
      <c r="I7" s="23"/>
      <c r="J7" s="11"/>
      <c r="K7" s="11"/>
      <c r="L7" s="11"/>
      <c r="M7" s="11"/>
      <c r="N7" s="11"/>
    </row>
    <row r="8" customFormat="false" ht="15" hidden="false" customHeight="false" outlineLevel="0" collapsed="false">
      <c r="A8" s="4" t="s">
        <v>654</v>
      </c>
      <c r="B8" s="11"/>
      <c r="C8" s="22" t="n">
        <v>0</v>
      </c>
      <c r="D8" s="22" t="n">
        <v>0</v>
      </c>
      <c r="E8" s="22" t="n">
        <v>0</v>
      </c>
      <c r="F8" s="11"/>
      <c r="G8" s="11"/>
      <c r="H8" s="23"/>
      <c r="I8" s="23"/>
      <c r="J8" s="11"/>
      <c r="K8" s="11"/>
      <c r="L8" s="11"/>
      <c r="M8" s="11"/>
      <c r="N8" s="11"/>
    </row>
    <row r="9" customFormat="false" ht="15" hidden="false" customHeight="false" outlineLevel="0" collapsed="false">
      <c r="A9" s="4" t="s">
        <v>655</v>
      </c>
      <c r="B9" s="11"/>
      <c r="C9" s="22" t="n">
        <v>0</v>
      </c>
      <c r="D9" s="22" t="n">
        <v>0</v>
      </c>
      <c r="E9" s="22" t="n">
        <v>0</v>
      </c>
      <c r="F9" s="11"/>
      <c r="G9" s="11"/>
      <c r="H9" s="23"/>
      <c r="I9" s="23"/>
      <c r="J9" s="11"/>
      <c r="K9" s="11"/>
      <c r="L9" s="11"/>
      <c r="M9" s="11"/>
      <c r="N9" s="11"/>
    </row>
    <row r="10" customFormat="false" ht="15" hidden="false" customHeight="false" outlineLevel="0" collapsed="false">
      <c r="A10" s="4" t="s">
        <v>656</v>
      </c>
      <c r="B10" s="11"/>
      <c r="C10" s="22" t="n">
        <v>0</v>
      </c>
      <c r="D10" s="22" t="n">
        <v>0</v>
      </c>
      <c r="E10" s="22" t="n">
        <v>0</v>
      </c>
      <c r="F10" s="11"/>
      <c r="G10" s="11"/>
      <c r="H10" s="23"/>
      <c r="I10" s="23"/>
      <c r="J10" s="11"/>
      <c r="K10" s="11"/>
      <c r="L10" s="11"/>
      <c r="M10" s="11"/>
      <c r="N10" s="11"/>
    </row>
    <row r="11" customFormat="false" ht="15" hidden="false" customHeight="false" outlineLevel="0" collapsed="false">
      <c r="A11" s="4" t="s">
        <v>657</v>
      </c>
      <c r="B11" s="11"/>
      <c r="C11" s="22" t="n">
        <v>0</v>
      </c>
      <c r="D11" s="22" t="n">
        <v>0</v>
      </c>
      <c r="E11" s="22" t="n">
        <v>0</v>
      </c>
      <c r="F11" s="11"/>
      <c r="G11" s="11"/>
      <c r="H11" s="23"/>
      <c r="I11" s="23"/>
      <c r="J11" s="11"/>
      <c r="K11" s="11"/>
      <c r="L11" s="11"/>
      <c r="M11" s="11"/>
      <c r="N11" s="11"/>
    </row>
    <row r="12" customFormat="false" ht="15" hidden="false" customHeight="false" outlineLevel="0" collapsed="false">
      <c r="A12" s="4" t="s">
        <v>658</v>
      </c>
      <c r="B12" s="11"/>
      <c r="C12" s="22" t="n">
        <v>0</v>
      </c>
      <c r="D12" s="22" t="n">
        <v>0</v>
      </c>
      <c r="E12" s="22" t="n">
        <v>0</v>
      </c>
      <c r="F12" s="11"/>
      <c r="G12" s="11"/>
      <c r="H12" s="23"/>
      <c r="I12" s="23"/>
      <c r="J12" s="11"/>
      <c r="K12" s="11"/>
      <c r="L12" s="11"/>
      <c r="M12" s="11"/>
      <c r="N12" s="11"/>
    </row>
    <row r="13" customFormat="false" ht="15" hidden="false" customHeight="false" outlineLevel="0" collapsed="false">
      <c r="A13" s="4" t="s">
        <v>659</v>
      </c>
      <c r="B13" s="11"/>
      <c r="C13" s="22" t="n">
        <v>0</v>
      </c>
      <c r="D13" s="22" t="n">
        <v>0</v>
      </c>
      <c r="E13" s="22" t="n">
        <v>0</v>
      </c>
      <c r="F13" s="11"/>
      <c r="G13" s="11"/>
      <c r="H13" s="23"/>
      <c r="I13" s="23"/>
      <c r="J13" s="11"/>
      <c r="K13" s="11"/>
      <c r="L13" s="11"/>
      <c r="M13" s="11"/>
      <c r="N13" s="11"/>
    </row>
    <row r="14" customFormat="false" ht="15" hidden="false" customHeight="false" outlineLevel="0" collapsed="false">
      <c r="A14" s="4" t="s">
        <v>660</v>
      </c>
      <c r="B14" s="11"/>
      <c r="C14" s="22" t="n">
        <v>0</v>
      </c>
      <c r="D14" s="22" t="n">
        <v>0</v>
      </c>
      <c r="E14" s="22" t="n">
        <v>0</v>
      </c>
      <c r="F14" s="11"/>
      <c r="G14" s="11"/>
      <c r="H14" s="23"/>
      <c r="I14" s="23"/>
      <c r="J14" s="11"/>
      <c r="K14" s="11"/>
      <c r="L14" s="11"/>
      <c r="M14" s="11"/>
      <c r="N14" s="11"/>
    </row>
    <row r="15" customFormat="false" ht="15" hidden="false" customHeight="false" outlineLevel="0" collapsed="false">
      <c r="A15" s="4" t="s">
        <v>661</v>
      </c>
      <c r="B15" s="11"/>
      <c r="C15" s="22" t="n">
        <v>0</v>
      </c>
      <c r="D15" s="22" t="n">
        <v>0</v>
      </c>
      <c r="E15" s="22" t="n">
        <v>0</v>
      </c>
      <c r="F15" s="11"/>
      <c r="G15" s="11"/>
      <c r="H15" s="23"/>
      <c r="I15" s="23"/>
      <c r="J15" s="11"/>
      <c r="K15" s="11"/>
      <c r="L15" s="11"/>
      <c r="M15" s="11"/>
      <c r="N15" s="11"/>
    </row>
    <row r="16" customFormat="false" ht="15" hidden="false" customHeight="false" outlineLevel="0" collapsed="false">
      <c r="A16" s="4" t="s">
        <v>662</v>
      </c>
      <c r="B16" s="11"/>
      <c r="C16" s="22" t="n">
        <v>0</v>
      </c>
      <c r="D16" s="22" t="n">
        <v>0</v>
      </c>
      <c r="E16" s="22" t="n">
        <v>0</v>
      </c>
      <c r="F16" s="11"/>
      <c r="G16" s="11"/>
      <c r="H16" s="23"/>
      <c r="I16" s="23"/>
      <c r="J16" s="11"/>
      <c r="K16" s="11"/>
      <c r="L16" s="11"/>
      <c r="M16" s="11"/>
      <c r="N16" s="11"/>
    </row>
    <row r="17" customFormat="false" ht="15" hidden="false" customHeight="false" outlineLevel="0" collapsed="false">
      <c r="A17" s="4" t="s">
        <v>663</v>
      </c>
      <c r="B17" s="11"/>
      <c r="C17" s="22" t="n">
        <v>0</v>
      </c>
      <c r="D17" s="22" t="n">
        <v>0</v>
      </c>
      <c r="E17" s="22" t="n">
        <v>0</v>
      </c>
      <c r="F17" s="11"/>
      <c r="G17" s="11"/>
      <c r="H17" s="23"/>
      <c r="I17" s="23"/>
      <c r="J17" s="11"/>
      <c r="K17" s="11"/>
      <c r="L17" s="11"/>
      <c r="M17" s="11"/>
      <c r="N17" s="11"/>
    </row>
    <row r="18" customFormat="false" ht="15" hidden="false" customHeight="false" outlineLevel="0" collapsed="false">
      <c r="A18" s="4" t="s">
        <v>664</v>
      </c>
      <c r="B18" s="11"/>
      <c r="C18" s="22" t="n">
        <v>0</v>
      </c>
      <c r="D18" s="22" t="n">
        <v>0</v>
      </c>
      <c r="E18" s="22" t="n">
        <v>0</v>
      </c>
      <c r="F18" s="11"/>
      <c r="G18" s="11"/>
      <c r="H18" s="23"/>
      <c r="I18" s="23"/>
      <c r="J18" s="11"/>
      <c r="K18" s="11"/>
      <c r="L18" s="11"/>
      <c r="M18" s="11"/>
      <c r="N18" s="11"/>
    </row>
    <row r="19" customFormat="false" ht="15" hidden="false" customHeight="false" outlineLevel="0" collapsed="false">
      <c r="A19" s="4" t="s">
        <v>665</v>
      </c>
      <c r="B19" s="11"/>
      <c r="C19" s="22" t="n">
        <v>0</v>
      </c>
      <c r="D19" s="22" t="n">
        <v>0</v>
      </c>
      <c r="E19" s="22" t="n">
        <v>0</v>
      </c>
      <c r="F19" s="11"/>
      <c r="G19" s="11"/>
      <c r="H19" s="23"/>
      <c r="I19" s="23"/>
      <c r="J19" s="11"/>
      <c r="K19" s="11"/>
      <c r="L19" s="11"/>
      <c r="M19" s="11"/>
      <c r="N19" s="11"/>
    </row>
    <row r="20" customFormat="false" ht="15" hidden="false" customHeight="false" outlineLevel="0" collapsed="false">
      <c r="A20" s="4" t="s">
        <v>666</v>
      </c>
      <c r="B20" s="11"/>
      <c r="C20" s="22" t="n">
        <v>0</v>
      </c>
      <c r="D20" s="22" t="n">
        <v>0</v>
      </c>
      <c r="E20" s="22" t="n">
        <v>0</v>
      </c>
      <c r="F20" s="11"/>
      <c r="G20" s="11"/>
      <c r="H20" s="23"/>
      <c r="I20" s="23"/>
      <c r="J20" s="11"/>
      <c r="K20" s="11"/>
      <c r="L20" s="11"/>
      <c r="M20" s="11"/>
      <c r="N20" s="11"/>
    </row>
    <row r="21" customFormat="false" ht="15" hidden="false" customHeight="false" outlineLevel="0" collapsed="false">
      <c r="A21" s="4" t="s">
        <v>667</v>
      </c>
      <c r="B21" s="11"/>
      <c r="C21" s="22" t="n">
        <v>0</v>
      </c>
      <c r="D21" s="22" t="n">
        <v>0</v>
      </c>
      <c r="E21" s="22" t="n">
        <v>0</v>
      </c>
      <c r="F21" s="11"/>
      <c r="G21" s="11"/>
      <c r="H21" s="23"/>
      <c r="I21" s="23"/>
      <c r="J21" s="11"/>
      <c r="K21" s="11"/>
      <c r="L21" s="11"/>
      <c r="M21" s="11"/>
      <c r="N21" s="11"/>
    </row>
    <row r="22" customFormat="false" ht="15" hidden="false" customHeight="false" outlineLevel="0" collapsed="false">
      <c r="A22" s="4" t="s">
        <v>668</v>
      </c>
      <c r="B22" s="11"/>
      <c r="C22" s="22" t="n">
        <v>0</v>
      </c>
      <c r="D22" s="22" t="n">
        <v>0</v>
      </c>
      <c r="E22" s="22" t="n">
        <v>0</v>
      </c>
      <c r="F22" s="11"/>
      <c r="G22" s="11"/>
      <c r="H22" s="23"/>
      <c r="I22" s="23"/>
      <c r="J22" s="11"/>
      <c r="K22" s="11"/>
      <c r="L22" s="11"/>
      <c r="M22" s="11"/>
      <c r="N22" s="11"/>
    </row>
    <row r="23" customFormat="false" ht="15" hidden="false" customHeight="false" outlineLevel="0" collapsed="false">
      <c r="A23" s="4" t="s">
        <v>669</v>
      </c>
      <c r="B23" s="11"/>
      <c r="C23" s="22" t="n">
        <v>0</v>
      </c>
      <c r="D23" s="22" t="n">
        <v>0</v>
      </c>
      <c r="E23" s="22" t="n">
        <v>0</v>
      </c>
      <c r="F23" s="11"/>
      <c r="G23" s="11"/>
      <c r="H23" s="23"/>
      <c r="I23" s="23"/>
      <c r="J23" s="11"/>
      <c r="K23" s="11"/>
      <c r="L23" s="11"/>
      <c r="M23" s="11"/>
      <c r="N23" s="11"/>
    </row>
    <row r="24" customFormat="false" ht="15" hidden="false" customHeight="false" outlineLevel="0" collapsed="false">
      <c r="A24" s="4" t="s">
        <v>670</v>
      </c>
      <c r="B24" s="11"/>
      <c r="C24" s="22" t="n">
        <v>0</v>
      </c>
      <c r="D24" s="22" t="n">
        <v>0</v>
      </c>
      <c r="E24" s="22" t="n">
        <v>0</v>
      </c>
      <c r="F24" s="11"/>
      <c r="G24" s="11"/>
      <c r="H24" s="23"/>
      <c r="I24" s="23"/>
      <c r="J24" s="11"/>
      <c r="K24" s="11"/>
      <c r="L24" s="11"/>
      <c r="M24" s="11"/>
      <c r="N24" s="11"/>
    </row>
    <row r="25" customFormat="false" ht="15" hidden="false" customHeight="false" outlineLevel="0" collapsed="false">
      <c r="A25" s="4" t="s">
        <v>671</v>
      </c>
      <c r="B25" s="11"/>
      <c r="C25" s="22" t="n">
        <v>0</v>
      </c>
      <c r="D25" s="22" t="n">
        <v>0</v>
      </c>
      <c r="E25" s="22" t="n">
        <v>0</v>
      </c>
      <c r="F25" s="11"/>
      <c r="G25" s="11"/>
      <c r="H25" s="23"/>
      <c r="I25" s="23"/>
      <c r="J25" s="11"/>
      <c r="K25" s="11"/>
      <c r="L25" s="11"/>
      <c r="M25" s="11"/>
      <c r="N25" s="11"/>
    </row>
    <row r="26" customFormat="false" ht="15" hidden="false" customHeight="false" outlineLevel="0" collapsed="false">
      <c r="A26" s="4" t="s">
        <v>672</v>
      </c>
      <c r="B26" s="11"/>
      <c r="C26" s="22" t="n">
        <v>0</v>
      </c>
      <c r="D26" s="22" t="n">
        <v>0</v>
      </c>
      <c r="E26" s="22" t="n">
        <v>0</v>
      </c>
      <c r="F26" s="11"/>
      <c r="G26" s="11"/>
      <c r="H26" s="23"/>
      <c r="I26" s="23"/>
      <c r="J26" s="11"/>
      <c r="K26" s="11"/>
      <c r="L26" s="11"/>
      <c r="M26" s="11"/>
      <c r="N26" s="11"/>
    </row>
    <row r="27" customFormat="false" ht="15" hidden="false" customHeight="false" outlineLevel="0" collapsed="false">
      <c r="A27" s="4" t="s">
        <v>673</v>
      </c>
      <c r="B27" s="11"/>
      <c r="C27" s="22" t="n">
        <v>0</v>
      </c>
      <c r="D27" s="22" t="n">
        <v>0</v>
      </c>
      <c r="E27" s="22" t="n">
        <v>0</v>
      </c>
      <c r="F27" s="11"/>
      <c r="G27" s="11"/>
      <c r="H27" s="23"/>
      <c r="I27" s="23"/>
      <c r="J27" s="11"/>
      <c r="K27" s="11"/>
      <c r="L27" s="11"/>
      <c r="M27" s="11"/>
      <c r="N27" s="11"/>
    </row>
    <row r="28" customFormat="false" ht="15" hidden="false" customHeight="false" outlineLevel="0" collapsed="false">
      <c r="A28" s="4" t="s">
        <v>674</v>
      </c>
      <c r="B28" s="11"/>
      <c r="C28" s="22" t="n">
        <v>0</v>
      </c>
      <c r="D28" s="22" t="n">
        <v>0</v>
      </c>
      <c r="E28" s="22" t="n">
        <v>0</v>
      </c>
      <c r="F28" s="11"/>
      <c r="G28" s="11"/>
      <c r="H28" s="23"/>
      <c r="I28" s="23"/>
      <c r="J28" s="11"/>
      <c r="K28" s="11"/>
      <c r="L28" s="11"/>
      <c r="M28" s="11"/>
      <c r="N28" s="11"/>
    </row>
    <row r="29" customFormat="false" ht="15" hidden="false" customHeight="false" outlineLevel="0" collapsed="false">
      <c r="A29" s="4" t="s">
        <v>675</v>
      </c>
      <c r="B29" s="11"/>
      <c r="C29" s="22" t="n">
        <v>0</v>
      </c>
      <c r="D29" s="22" t="n">
        <v>0</v>
      </c>
      <c r="E29" s="22" t="n">
        <v>0</v>
      </c>
      <c r="F29" s="11"/>
      <c r="G29" s="11"/>
      <c r="H29" s="23"/>
      <c r="I29" s="23"/>
      <c r="J29" s="11"/>
      <c r="K29" s="11"/>
      <c r="L29" s="11"/>
      <c r="M29" s="11"/>
      <c r="N29" s="11"/>
    </row>
    <row r="30" customFormat="false" ht="15" hidden="false" customHeight="false" outlineLevel="0" collapsed="false">
      <c r="A30" s="4" t="s">
        <v>676</v>
      </c>
      <c r="B30" s="11"/>
      <c r="C30" s="22" t="n">
        <v>0</v>
      </c>
      <c r="D30" s="22" t="n">
        <v>0</v>
      </c>
      <c r="E30" s="22" t="n">
        <v>0</v>
      </c>
      <c r="F30" s="11"/>
      <c r="G30" s="11"/>
      <c r="H30" s="23"/>
      <c r="I30" s="23"/>
      <c r="J30" s="11"/>
      <c r="K30" s="11"/>
      <c r="L30" s="11"/>
      <c r="M30" s="11"/>
      <c r="N30" s="11"/>
    </row>
    <row r="31" customFormat="false" ht="15" hidden="false" customHeight="false" outlineLevel="0" collapsed="false">
      <c r="A31" s="4" t="s">
        <v>677</v>
      </c>
      <c r="B31" s="11"/>
      <c r="C31" s="22" t="n">
        <v>0</v>
      </c>
      <c r="D31" s="22" t="n">
        <v>0</v>
      </c>
      <c r="E31" s="22" t="n">
        <v>0</v>
      </c>
      <c r="F31" s="11"/>
      <c r="G31" s="11"/>
      <c r="H31" s="23"/>
      <c r="I31" s="23"/>
      <c r="J31" s="11"/>
      <c r="K31" s="11"/>
      <c r="L31" s="11"/>
      <c r="M31" s="11"/>
      <c r="N31" s="11"/>
    </row>
    <row r="32" customFormat="false" ht="15" hidden="false" customHeight="false" outlineLevel="0" collapsed="false">
      <c r="A32" s="4" t="s">
        <v>678</v>
      </c>
      <c r="B32" s="11"/>
      <c r="C32" s="22" t="n">
        <v>0</v>
      </c>
      <c r="D32" s="22" t="n">
        <v>0</v>
      </c>
      <c r="E32" s="22" t="n">
        <v>0</v>
      </c>
      <c r="F32" s="11"/>
      <c r="G32" s="11"/>
      <c r="H32" s="23"/>
      <c r="I32" s="23"/>
      <c r="J32" s="11"/>
      <c r="K32" s="11"/>
      <c r="L32" s="11"/>
      <c r="M32" s="11"/>
      <c r="N32" s="11"/>
    </row>
    <row r="33" customFormat="false" ht="15" hidden="false" customHeight="false" outlineLevel="0" collapsed="false">
      <c r="A33" s="4" t="s">
        <v>679</v>
      </c>
      <c r="B33" s="11"/>
      <c r="C33" s="22" t="n">
        <v>0</v>
      </c>
      <c r="D33" s="22" t="n">
        <v>0</v>
      </c>
      <c r="E33" s="22" t="n">
        <v>0</v>
      </c>
      <c r="F33" s="11"/>
      <c r="G33" s="11"/>
      <c r="H33" s="23"/>
      <c r="I33" s="23"/>
      <c r="J33" s="11"/>
      <c r="K33" s="11"/>
      <c r="L33" s="11"/>
      <c r="M33" s="11"/>
      <c r="N33" s="11"/>
    </row>
    <row r="34" customFormat="false" ht="15" hidden="false" customHeight="false" outlineLevel="0" collapsed="false">
      <c r="A34" s="4" t="s">
        <v>680</v>
      </c>
      <c r="B34" s="11"/>
      <c r="C34" s="22" t="n">
        <v>0</v>
      </c>
      <c r="D34" s="22" t="n">
        <v>0</v>
      </c>
      <c r="E34" s="22" t="n">
        <v>0</v>
      </c>
      <c r="F34" s="11"/>
      <c r="G34" s="11"/>
      <c r="H34" s="23"/>
      <c r="I34" s="23"/>
      <c r="J34" s="11"/>
      <c r="K34" s="11"/>
      <c r="L34" s="11"/>
      <c r="M34" s="11"/>
      <c r="N34" s="11"/>
    </row>
    <row r="35" customFormat="false" ht="15" hidden="false" customHeight="false" outlineLevel="0" collapsed="false">
      <c r="A35" s="4" t="s">
        <v>681</v>
      </c>
      <c r="B35" s="11"/>
      <c r="C35" s="22" t="n">
        <v>0</v>
      </c>
      <c r="D35" s="22" t="n">
        <v>0</v>
      </c>
      <c r="E35" s="22" t="n">
        <v>0</v>
      </c>
      <c r="F35" s="11"/>
      <c r="G35" s="11"/>
      <c r="H35" s="23"/>
      <c r="I35" s="23"/>
      <c r="J35" s="11"/>
      <c r="K35" s="11"/>
      <c r="L35" s="11"/>
      <c r="M35" s="11"/>
      <c r="N35" s="11"/>
    </row>
  </sheetData>
  <mergeCells count="2">
    <mergeCell ref="A1:N1"/>
    <mergeCell ref="A2: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38"/>
    <col collapsed="false" customWidth="true" hidden="false" outlineLevel="0" max="5" min="5" style="0" width="15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9" min="8" style="0" width="14"/>
  </cols>
  <sheetData>
    <row r="1" customFormat="false" ht="30" hidden="false" customHeight="true" outlineLevel="0" collapsed="false">
      <c r="A1" s="1" t="s">
        <v>682</v>
      </c>
      <c r="B1" s="1"/>
      <c r="C1" s="1"/>
      <c r="D1" s="1"/>
      <c r="E1" s="1"/>
      <c r="F1" s="1"/>
      <c r="G1" s="1"/>
      <c r="H1" s="1"/>
      <c r="I1" s="1"/>
    </row>
    <row r="2" customFormat="false" ht="28" hidden="false" customHeight="true" outlineLevel="0" collapsed="false">
      <c r="A2" s="2" t="s">
        <v>683</v>
      </c>
      <c r="B2" s="2"/>
      <c r="C2" s="2"/>
      <c r="D2" s="2"/>
      <c r="E2" s="2"/>
      <c r="F2" s="2"/>
      <c r="G2" s="2"/>
      <c r="H2" s="2"/>
      <c r="I2" s="2"/>
    </row>
    <row r="5" customFormat="false" ht="34" hidden="false" customHeight="true" outlineLevel="0" collapsed="false">
      <c r="A5" s="3" t="s">
        <v>684</v>
      </c>
      <c r="B5" s="3" t="s">
        <v>685</v>
      </c>
      <c r="C5" s="3" t="s">
        <v>686</v>
      </c>
      <c r="D5" s="3" t="s">
        <v>687</v>
      </c>
      <c r="E5" s="3" t="s">
        <v>688</v>
      </c>
      <c r="F5" s="3" t="s">
        <v>222</v>
      </c>
      <c r="G5" s="3" t="s">
        <v>104</v>
      </c>
      <c r="H5" s="3" t="s">
        <v>689</v>
      </c>
      <c r="I5" s="3" t="s">
        <v>690</v>
      </c>
    </row>
    <row r="6" customFormat="false" ht="15" hidden="false" customHeight="false" outlineLevel="0" collapsed="false">
      <c r="A6" s="4" t="s">
        <v>691</v>
      </c>
      <c r="B6" s="11"/>
      <c r="C6" s="11" t="s">
        <v>692</v>
      </c>
      <c r="D6" s="11"/>
      <c r="E6" s="13" t="n">
        <v>0</v>
      </c>
      <c r="F6" s="11"/>
      <c r="G6" s="11" t="s">
        <v>283</v>
      </c>
      <c r="H6" s="11"/>
      <c r="I6" s="14"/>
    </row>
    <row r="7" customFormat="false" ht="15" hidden="false" customHeight="false" outlineLevel="0" collapsed="false">
      <c r="A7" s="4" t="s">
        <v>693</v>
      </c>
      <c r="B7" s="11"/>
      <c r="C7" s="11" t="s">
        <v>692</v>
      </c>
      <c r="D7" s="11"/>
      <c r="E7" s="13" t="n">
        <v>0</v>
      </c>
      <c r="F7" s="11"/>
      <c r="G7" s="11" t="s">
        <v>283</v>
      </c>
      <c r="H7" s="11"/>
      <c r="I7" s="14"/>
    </row>
    <row r="8" customFormat="false" ht="15" hidden="false" customHeight="false" outlineLevel="0" collapsed="false">
      <c r="A8" s="4" t="s">
        <v>694</v>
      </c>
      <c r="B8" s="11"/>
      <c r="C8" s="11" t="s">
        <v>692</v>
      </c>
      <c r="D8" s="11"/>
      <c r="E8" s="13" t="n">
        <v>0</v>
      </c>
      <c r="F8" s="11"/>
      <c r="G8" s="11" t="s">
        <v>283</v>
      </c>
      <c r="H8" s="11"/>
      <c r="I8" s="14"/>
    </row>
    <row r="9" customFormat="false" ht="15" hidden="false" customHeight="false" outlineLevel="0" collapsed="false">
      <c r="A9" s="4" t="s">
        <v>695</v>
      </c>
      <c r="B9" s="11"/>
      <c r="C9" s="11" t="s">
        <v>692</v>
      </c>
      <c r="D9" s="11"/>
      <c r="E9" s="13" t="n">
        <v>0</v>
      </c>
      <c r="F9" s="11"/>
      <c r="G9" s="11" t="s">
        <v>283</v>
      </c>
      <c r="H9" s="11"/>
      <c r="I9" s="14"/>
    </row>
    <row r="10" customFormat="false" ht="15" hidden="false" customHeight="false" outlineLevel="0" collapsed="false">
      <c r="A10" s="4" t="s">
        <v>696</v>
      </c>
      <c r="B10" s="11"/>
      <c r="C10" s="11" t="s">
        <v>692</v>
      </c>
      <c r="D10" s="11"/>
      <c r="E10" s="13" t="n">
        <v>0</v>
      </c>
      <c r="F10" s="11"/>
      <c r="G10" s="11" t="s">
        <v>283</v>
      </c>
      <c r="H10" s="11"/>
      <c r="I10" s="14"/>
    </row>
    <row r="11" customFormat="false" ht="15" hidden="false" customHeight="false" outlineLevel="0" collapsed="false">
      <c r="A11" s="4" t="s">
        <v>697</v>
      </c>
      <c r="B11" s="11"/>
      <c r="C11" s="11" t="s">
        <v>692</v>
      </c>
      <c r="D11" s="11"/>
      <c r="E11" s="13" t="n">
        <v>0</v>
      </c>
      <c r="F11" s="11"/>
      <c r="G11" s="11" t="s">
        <v>283</v>
      </c>
      <c r="H11" s="11"/>
      <c r="I11" s="14"/>
    </row>
    <row r="12" customFormat="false" ht="15" hidden="false" customHeight="false" outlineLevel="0" collapsed="false">
      <c r="A12" s="4" t="s">
        <v>698</v>
      </c>
      <c r="B12" s="11"/>
      <c r="C12" s="11" t="s">
        <v>692</v>
      </c>
      <c r="D12" s="11"/>
      <c r="E12" s="13" t="n">
        <v>0</v>
      </c>
      <c r="F12" s="11"/>
      <c r="G12" s="11" t="s">
        <v>283</v>
      </c>
      <c r="H12" s="11"/>
      <c r="I12" s="14"/>
    </row>
    <row r="13" customFormat="false" ht="15" hidden="false" customHeight="false" outlineLevel="0" collapsed="false">
      <c r="A13" s="4" t="s">
        <v>699</v>
      </c>
      <c r="B13" s="11"/>
      <c r="C13" s="11" t="s">
        <v>692</v>
      </c>
      <c r="D13" s="11"/>
      <c r="E13" s="13" t="n">
        <v>0</v>
      </c>
      <c r="F13" s="11"/>
      <c r="G13" s="11" t="s">
        <v>283</v>
      </c>
      <c r="H13" s="11"/>
      <c r="I13" s="14"/>
    </row>
    <row r="14" customFormat="false" ht="15" hidden="false" customHeight="false" outlineLevel="0" collapsed="false">
      <c r="A14" s="4" t="s">
        <v>700</v>
      </c>
      <c r="B14" s="11"/>
      <c r="C14" s="11" t="s">
        <v>692</v>
      </c>
      <c r="D14" s="11"/>
      <c r="E14" s="13" t="n">
        <v>0</v>
      </c>
      <c r="F14" s="11"/>
      <c r="G14" s="11" t="s">
        <v>283</v>
      </c>
      <c r="H14" s="11"/>
      <c r="I14" s="14"/>
    </row>
    <row r="15" customFormat="false" ht="15" hidden="false" customHeight="false" outlineLevel="0" collapsed="false">
      <c r="A15" s="4" t="s">
        <v>701</v>
      </c>
      <c r="B15" s="11"/>
      <c r="C15" s="11" t="s">
        <v>692</v>
      </c>
      <c r="D15" s="11"/>
      <c r="E15" s="13" t="n">
        <v>0</v>
      </c>
      <c r="F15" s="11"/>
      <c r="G15" s="11" t="s">
        <v>283</v>
      </c>
      <c r="H15" s="11"/>
      <c r="I15" s="14"/>
    </row>
    <row r="16" customFormat="false" ht="15" hidden="false" customHeight="false" outlineLevel="0" collapsed="false">
      <c r="A16" s="4" t="s">
        <v>702</v>
      </c>
      <c r="B16" s="11"/>
      <c r="C16" s="11" t="s">
        <v>692</v>
      </c>
      <c r="D16" s="11"/>
      <c r="E16" s="13" t="n">
        <v>0</v>
      </c>
      <c r="F16" s="11"/>
      <c r="G16" s="11" t="s">
        <v>283</v>
      </c>
      <c r="H16" s="11"/>
      <c r="I16" s="14"/>
    </row>
    <row r="17" customFormat="false" ht="15" hidden="false" customHeight="false" outlineLevel="0" collapsed="false">
      <c r="A17" s="4" t="s">
        <v>703</v>
      </c>
      <c r="B17" s="11"/>
      <c r="C17" s="11" t="s">
        <v>692</v>
      </c>
      <c r="D17" s="11"/>
      <c r="E17" s="13" t="n">
        <v>0</v>
      </c>
      <c r="F17" s="11"/>
      <c r="G17" s="11" t="s">
        <v>283</v>
      </c>
      <c r="H17" s="11"/>
      <c r="I17" s="14"/>
    </row>
    <row r="18" customFormat="false" ht="15" hidden="false" customHeight="false" outlineLevel="0" collapsed="false">
      <c r="A18" s="4" t="s">
        <v>704</v>
      </c>
      <c r="B18" s="11"/>
      <c r="C18" s="11" t="s">
        <v>692</v>
      </c>
      <c r="D18" s="11"/>
      <c r="E18" s="13" t="n">
        <v>0</v>
      </c>
      <c r="F18" s="11"/>
      <c r="G18" s="11" t="s">
        <v>283</v>
      </c>
      <c r="H18" s="11"/>
      <c r="I18" s="14"/>
    </row>
    <row r="19" customFormat="false" ht="15" hidden="false" customHeight="false" outlineLevel="0" collapsed="false">
      <c r="A19" s="4" t="s">
        <v>705</v>
      </c>
      <c r="B19" s="11"/>
      <c r="C19" s="11" t="s">
        <v>692</v>
      </c>
      <c r="D19" s="11"/>
      <c r="E19" s="13" t="n">
        <v>0</v>
      </c>
      <c r="F19" s="11"/>
      <c r="G19" s="11" t="s">
        <v>283</v>
      </c>
      <c r="H19" s="11"/>
      <c r="I19" s="14"/>
    </row>
    <row r="20" customFormat="false" ht="15" hidden="false" customHeight="false" outlineLevel="0" collapsed="false">
      <c r="A20" s="4" t="s">
        <v>706</v>
      </c>
      <c r="B20" s="11"/>
      <c r="C20" s="11" t="s">
        <v>692</v>
      </c>
      <c r="D20" s="11"/>
      <c r="E20" s="13" t="n">
        <v>0</v>
      </c>
      <c r="F20" s="11"/>
      <c r="G20" s="11" t="s">
        <v>283</v>
      </c>
      <c r="H20" s="11"/>
      <c r="I20" s="14"/>
    </row>
    <row r="21" customFormat="false" ht="15" hidden="false" customHeight="false" outlineLevel="0" collapsed="false">
      <c r="A21" s="4" t="s">
        <v>707</v>
      </c>
      <c r="B21" s="11"/>
      <c r="C21" s="11" t="s">
        <v>692</v>
      </c>
      <c r="D21" s="11"/>
      <c r="E21" s="13" t="n">
        <v>0</v>
      </c>
      <c r="F21" s="11"/>
      <c r="G21" s="11" t="s">
        <v>283</v>
      </c>
      <c r="H21" s="11"/>
      <c r="I21" s="14"/>
    </row>
    <row r="22" customFormat="false" ht="15" hidden="false" customHeight="false" outlineLevel="0" collapsed="false">
      <c r="A22" s="4" t="s">
        <v>708</v>
      </c>
      <c r="B22" s="11"/>
      <c r="C22" s="11" t="s">
        <v>692</v>
      </c>
      <c r="D22" s="11"/>
      <c r="E22" s="13" t="n">
        <v>0</v>
      </c>
      <c r="F22" s="11"/>
      <c r="G22" s="11" t="s">
        <v>283</v>
      </c>
      <c r="H22" s="11"/>
      <c r="I22" s="14"/>
    </row>
    <row r="23" customFormat="false" ht="15" hidden="false" customHeight="false" outlineLevel="0" collapsed="false">
      <c r="A23" s="4" t="s">
        <v>709</v>
      </c>
      <c r="B23" s="11"/>
      <c r="C23" s="11" t="s">
        <v>692</v>
      </c>
      <c r="D23" s="11"/>
      <c r="E23" s="13" t="n">
        <v>0</v>
      </c>
      <c r="F23" s="11"/>
      <c r="G23" s="11" t="s">
        <v>283</v>
      </c>
      <c r="H23" s="11"/>
      <c r="I23" s="14"/>
    </row>
    <row r="24" customFormat="false" ht="15" hidden="false" customHeight="false" outlineLevel="0" collapsed="false">
      <c r="A24" s="4" t="s">
        <v>710</v>
      </c>
      <c r="B24" s="11"/>
      <c r="C24" s="11" t="s">
        <v>692</v>
      </c>
      <c r="D24" s="11"/>
      <c r="E24" s="13" t="n">
        <v>0</v>
      </c>
      <c r="F24" s="11"/>
      <c r="G24" s="11" t="s">
        <v>283</v>
      </c>
      <c r="H24" s="11"/>
      <c r="I24" s="14"/>
    </row>
    <row r="25" customFormat="false" ht="15" hidden="false" customHeight="false" outlineLevel="0" collapsed="false">
      <c r="A25" s="4" t="s">
        <v>711</v>
      </c>
      <c r="B25" s="11"/>
      <c r="C25" s="11" t="s">
        <v>692</v>
      </c>
      <c r="D25" s="11"/>
      <c r="E25" s="13" t="n">
        <v>0</v>
      </c>
      <c r="F25" s="11"/>
      <c r="G25" s="11" t="s">
        <v>283</v>
      </c>
      <c r="H25" s="11"/>
      <c r="I25" s="14"/>
    </row>
    <row r="26" customFormat="false" ht="15" hidden="false" customHeight="false" outlineLevel="0" collapsed="false">
      <c r="A26" s="4" t="s">
        <v>712</v>
      </c>
      <c r="B26" s="11"/>
      <c r="C26" s="11" t="s">
        <v>692</v>
      </c>
      <c r="D26" s="11"/>
      <c r="E26" s="13" t="n">
        <v>0</v>
      </c>
      <c r="F26" s="11"/>
      <c r="G26" s="11" t="s">
        <v>283</v>
      </c>
      <c r="H26" s="11"/>
      <c r="I26" s="14"/>
    </row>
  </sheetData>
  <mergeCells count="2">
    <mergeCell ref="A1:I1"/>
    <mergeCell ref="A2:I2"/>
  </mergeCells>
  <conditionalFormatting sqref="G6:G26">
    <cfRule type="containsText" priority="2" operator="containsText" aboveAverage="0" equalAverage="0" bottom="0" percent="0" rank="0" text="已完成" dxfId="23">
      <formula>NOT(ISERROR(SEARCH("已完成",G6)))</formula>
    </cfRule>
    <cfRule type="containsText" priority="3" operator="containsText" aboveAverage="0" equalAverage="0" bottom="0" percent="0" rank="0" text="高" dxfId="24">
      <formula>NOT(ISERROR(SEARCH("高",G6)))</formula>
    </cfRule>
  </conditionalFormatting>
  <dataValidations count="1">
    <dataValidation allowBlank="false" errorStyle="stop" operator="between" showDropDown="false" showErrorMessage="false" showInputMessage="false" sqref="G6:G26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4" min="4" style="0" width="50"/>
    <col collapsed="false" customWidth="true" hidden="false" outlineLevel="0" max="5" min="5" style="0" width="13"/>
  </cols>
  <sheetData>
    <row r="1" customFormat="false" ht="30" hidden="false" customHeight="true" outlineLevel="0" collapsed="false">
      <c r="A1" s="1" t="s">
        <v>713</v>
      </c>
      <c r="B1" s="1"/>
      <c r="C1" s="1"/>
      <c r="D1" s="1"/>
      <c r="E1" s="1"/>
    </row>
    <row r="2" customFormat="false" ht="28" hidden="false" customHeight="true" outlineLevel="0" collapsed="false">
      <c r="A2" s="2" t="s">
        <v>714</v>
      </c>
      <c r="B2" s="2"/>
      <c r="C2" s="2"/>
      <c r="D2" s="2"/>
      <c r="E2" s="2"/>
    </row>
    <row r="5" customFormat="false" ht="34" hidden="false" customHeight="true" outlineLevel="0" collapsed="false">
      <c r="A5" s="3" t="s">
        <v>715</v>
      </c>
      <c r="B5" s="3" t="s">
        <v>42</v>
      </c>
      <c r="C5" s="3" t="s">
        <v>684</v>
      </c>
      <c r="D5" s="3" t="s">
        <v>716</v>
      </c>
      <c r="E5" s="3" t="s">
        <v>104</v>
      </c>
    </row>
    <row r="6" customFormat="false" ht="15" hidden="false" customHeight="false" outlineLevel="0" collapsed="false">
      <c r="A6" s="4" t="s">
        <v>717</v>
      </c>
      <c r="B6" s="4" t="s">
        <v>718</v>
      </c>
      <c r="C6" s="4" t="s">
        <v>719</v>
      </c>
      <c r="D6" s="11"/>
      <c r="E6" s="11" t="s">
        <v>283</v>
      </c>
    </row>
    <row r="7" customFormat="false" ht="15" hidden="false" customHeight="false" outlineLevel="0" collapsed="false">
      <c r="A7" s="4" t="s">
        <v>717</v>
      </c>
      <c r="B7" s="4" t="s">
        <v>720</v>
      </c>
      <c r="C7" s="4" t="s">
        <v>721</v>
      </c>
      <c r="D7" s="11"/>
      <c r="E7" s="11" t="s">
        <v>283</v>
      </c>
    </row>
    <row r="8" customFormat="false" ht="15" hidden="false" customHeight="false" outlineLevel="0" collapsed="false">
      <c r="A8" s="4" t="s">
        <v>717</v>
      </c>
      <c r="B8" s="4" t="s">
        <v>722</v>
      </c>
      <c r="C8" s="4" t="s">
        <v>723</v>
      </c>
      <c r="D8" s="11"/>
      <c r="E8" s="11" t="s">
        <v>283</v>
      </c>
    </row>
    <row r="9" customFormat="false" ht="15" hidden="false" customHeight="false" outlineLevel="0" collapsed="false">
      <c r="A9" s="4" t="s">
        <v>724</v>
      </c>
      <c r="B9" s="4" t="s">
        <v>725</v>
      </c>
      <c r="C9" s="4" t="s">
        <v>726</v>
      </c>
      <c r="D9" s="11"/>
      <c r="E9" s="11" t="s">
        <v>283</v>
      </c>
    </row>
    <row r="10" customFormat="false" ht="15" hidden="false" customHeight="false" outlineLevel="0" collapsed="false">
      <c r="A10" s="4" t="s">
        <v>724</v>
      </c>
      <c r="B10" s="4" t="s">
        <v>727</v>
      </c>
      <c r="C10" s="4" t="s">
        <v>728</v>
      </c>
      <c r="D10" s="11"/>
      <c r="E10" s="11" t="s">
        <v>283</v>
      </c>
    </row>
    <row r="11" customFormat="false" ht="15" hidden="false" customHeight="false" outlineLevel="0" collapsed="false">
      <c r="A11" s="4" t="s">
        <v>724</v>
      </c>
      <c r="B11" s="4" t="s">
        <v>729</v>
      </c>
      <c r="C11" s="4" t="s">
        <v>730</v>
      </c>
      <c r="D11" s="11"/>
      <c r="E11" s="11" t="s">
        <v>283</v>
      </c>
    </row>
    <row r="12" customFormat="false" ht="15" hidden="false" customHeight="false" outlineLevel="0" collapsed="false">
      <c r="A12" s="4" t="s">
        <v>731</v>
      </c>
      <c r="B12" s="4" t="s">
        <v>732</v>
      </c>
      <c r="C12" s="4" t="s">
        <v>733</v>
      </c>
      <c r="D12" s="11"/>
      <c r="E12" s="11" t="s">
        <v>283</v>
      </c>
    </row>
    <row r="13" customFormat="false" ht="15" hidden="false" customHeight="false" outlineLevel="0" collapsed="false">
      <c r="A13" s="4" t="s">
        <v>731</v>
      </c>
      <c r="B13" s="4" t="s">
        <v>734</v>
      </c>
      <c r="C13" s="4" t="s">
        <v>735</v>
      </c>
      <c r="D13" s="11"/>
      <c r="E13" s="11" t="s">
        <v>283</v>
      </c>
    </row>
  </sheetData>
  <mergeCells count="2">
    <mergeCell ref="A1:E1"/>
    <mergeCell ref="A2:E2"/>
  </mergeCells>
  <conditionalFormatting sqref="E6:E13">
    <cfRule type="containsText" priority="2" operator="containsText" aboveAverage="0" equalAverage="0" bottom="0" percent="0" rank="0" text="已完成" dxfId="25">
      <formula>NOT(ISERROR(SEARCH("已完成",E6)))</formula>
    </cfRule>
    <cfRule type="containsText" priority="3" operator="containsText" aboveAverage="0" equalAverage="0" bottom="0" percent="0" rank="0" text="高" dxfId="26">
      <formula>NOT(ISERROR(SEARCH("高",E6)))</formula>
    </cfRule>
  </conditionalFormatting>
  <dataValidations count="1">
    <dataValidation allowBlank="false" errorStyle="stop" operator="between" showDropDown="false" showErrorMessage="false" showInputMessage="false" sqref="E6:E13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48"/>
    <col collapsed="false" customWidth="true" hidden="false" outlineLevel="0" max="5" min="5" style="0" width="44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736</v>
      </c>
      <c r="B1" s="1"/>
      <c r="C1" s="1"/>
      <c r="D1" s="1"/>
      <c r="E1" s="1"/>
      <c r="F1" s="1"/>
    </row>
    <row r="2" customFormat="false" ht="28" hidden="false" customHeight="true" outlineLevel="0" collapsed="false">
      <c r="A2" s="2" t="s">
        <v>737</v>
      </c>
      <c r="B2" s="2"/>
      <c r="C2" s="2"/>
      <c r="D2" s="2"/>
      <c r="E2" s="2"/>
      <c r="F2" s="2"/>
    </row>
    <row r="5" customFormat="false" ht="34" hidden="false" customHeight="true" outlineLevel="0" collapsed="false">
      <c r="A5" s="3" t="s">
        <v>2</v>
      </c>
      <c r="B5" s="3" t="s">
        <v>738</v>
      </c>
      <c r="C5" s="3" t="s">
        <v>739</v>
      </c>
      <c r="D5" s="3" t="s">
        <v>740</v>
      </c>
      <c r="E5" s="3" t="s">
        <v>741</v>
      </c>
      <c r="F5" s="3" t="s">
        <v>742</v>
      </c>
    </row>
    <row r="6" customFormat="false" ht="15" hidden="false" customHeight="false" outlineLevel="0" collapsed="false">
      <c r="A6" s="4" t="s">
        <v>743</v>
      </c>
      <c r="B6" s="4" t="s">
        <v>744</v>
      </c>
      <c r="C6" s="4" t="s">
        <v>745</v>
      </c>
      <c r="D6" s="4" t="s">
        <v>746</v>
      </c>
      <c r="E6" s="4" t="s">
        <v>747</v>
      </c>
      <c r="F6" s="4" t="s">
        <v>748</v>
      </c>
    </row>
    <row r="7" customFormat="false" ht="15" hidden="false" customHeight="false" outlineLevel="0" collapsed="false">
      <c r="A7" s="4" t="s">
        <v>33</v>
      </c>
      <c r="B7" s="4" t="s">
        <v>749</v>
      </c>
      <c r="C7" s="4" t="s">
        <v>750</v>
      </c>
      <c r="D7" s="4" t="s">
        <v>751</v>
      </c>
      <c r="E7" s="4" t="s">
        <v>752</v>
      </c>
      <c r="F7" s="4" t="s">
        <v>748</v>
      </c>
    </row>
    <row r="8" customFormat="false" ht="15" hidden="false" customHeight="false" outlineLevel="0" collapsed="false">
      <c r="A8" s="4" t="s">
        <v>753</v>
      </c>
      <c r="B8" s="4" t="s">
        <v>754</v>
      </c>
      <c r="C8" s="4" t="s">
        <v>755</v>
      </c>
      <c r="D8" s="4" t="s">
        <v>756</v>
      </c>
      <c r="E8" s="4" t="s">
        <v>757</v>
      </c>
      <c r="F8" s="4" t="s">
        <v>758</v>
      </c>
    </row>
    <row r="9" customFormat="false" ht="15" hidden="false" customHeight="false" outlineLevel="0" collapsed="false">
      <c r="A9" s="4" t="s">
        <v>759</v>
      </c>
      <c r="B9" s="4" t="s">
        <v>760</v>
      </c>
      <c r="C9" s="4" t="s">
        <v>761</v>
      </c>
      <c r="D9" s="4" t="s">
        <v>762</v>
      </c>
      <c r="E9" s="4" t="s">
        <v>763</v>
      </c>
      <c r="F9" s="4" t="s">
        <v>748</v>
      </c>
    </row>
    <row r="10" customFormat="false" ht="15" hidden="false" customHeight="false" outlineLevel="0" collapsed="false">
      <c r="A10" s="4" t="s">
        <v>764</v>
      </c>
      <c r="B10" s="4" t="s">
        <v>765</v>
      </c>
      <c r="C10" s="4" t="s">
        <v>766</v>
      </c>
      <c r="D10" s="4" t="s">
        <v>767</v>
      </c>
      <c r="E10" s="4" t="s">
        <v>768</v>
      </c>
      <c r="F10" s="4" t="s">
        <v>748</v>
      </c>
    </row>
    <row r="11" customFormat="false" ht="15" hidden="false" customHeight="false" outlineLevel="0" collapsed="false">
      <c r="A11" s="4" t="s">
        <v>769</v>
      </c>
      <c r="B11" s="4" t="s">
        <v>770</v>
      </c>
      <c r="C11" s="4" t="s">
        <v>771</v>
      </c>
      <c r="D11" s="4" t="s">
        <v>772</v>
      </c>
      <c r="E11" s="4" t="s">
        <v>773</v>
      </c>
      <c r="F11" s="4" t="s">
        <v>774</v>
      </c>
    </row>
    <row r="12" customFormat="false" ht="15" hidden="false" customHeight="false" outlineLevel="0" collapsed="false">
      <c r="A12" s="4" t="s">
        <v>775</v>
      </c>
      <c r="B12" s="4" t="s">
        <v>776</v>
      </c>
      <c r="C12" s="4" t="s">
        <v>777</v>
      </c>
      <c r="D12" s="4" t="s">
        <v>778</v>
      </c>
      <c r="E12" s="4" t="s">
        <v>779</v>
      </c>
      <c r="F12" s="4" t="s">
        <v>780</v>
      </c>
    </row>
    <row r="13" customFormat="false" ht="15" hidden="false" customHeight="false" outlineLevel="0" collapsed="false">
      <c r="A13" s="4" t="s">
        <v>781</v>
      </c>
      <c r="B13" s="4" t="s">
        <v>782</v>
      </c>
      <c r="C13" s="4" t="s">
        <v>783</v>
      </c>
      <c r="D13" s="4" t="s">
        <v>784</v>
      </c>
      <c r="E13" s="4" t="s">
        <v>785</v>
      </c>
      <c r="F13" s="4" t="s">
        <v>786</v>
      </c>
    </row>
    <row r="14" customFormat="false" ht="15" hidden="false" customHeight="false" outlineLevel="0" collapsed="false">
      <c r="A14" s="4" t="s">
        <v>787</v>
      </c>
      <c r="B14" s="4" t="s">
        <v>788</v>
      </c>
      <c r="C14" s="4" t="s">
        <v>789</v>
      </c>
      <c r="D14" s="4" t="s">
        <v>790</v>
      </c>
      <c r="E14" s="4" t="s">
        <v>791</v>
      </c>
      <c r="F14" s="4" t="s">
        <v>786</v>
      </c>
    </row>
    <row r="15" customFormat="false" ht="15" hidden="false" customHeight="false" outlineLevel="0" collapsed="false">
      <c r="A15" s="4" t="s">
        <v>792</v>
      </c>
      <c r="B15" s="4" t="s">
        <v>793</v>
      </c>
      <c r="C15" s="4" t="s">
        <v>794</v>
      </c>
      <c r="D15" s="4" t="s">
        <v>795</v>
      </c>
      <c r="E15" s="4" t="s">
        <v>796</v>
      </c>
      <c r="F15" s="4" t="s">
        <v>748</v>
      </c>
    </row>
    <row r="16" customFormat="false" ht="15" hidden="false" customHeight="false" outlineLevel="0" collapsed="false">
      <c r="A16" s="4" t="s">
        <v>797</v>
      </c>
      <c r="B16" s="4" t="s">
        <v>798</v>
      </c>
      <c r="C16" s="4" t="s">
        <v>799</v>
      </c>
      <c r="D16" s="4" t="s">
        <v>800</v>
      </c>
      <c r="E16" s="4" t="s">
        <v>801</v>
      </c>
      <c r="F16" s="4" t="s">
        <v>786</v>
      </c>
    </row>
    <row r="17" customFormat="false" ht="15" hidden="false" customHeight="false" outlineLevel="0" collapsed="false">
      <c r="A17" s="4" t="s">
        <v>802</v>
      </c>
      <c r="B17" s="4" t="s">
        <v>803</v>
      </c>
      <c r="C17" s="4" t="s">
        <v>804</v>
      </c>
      <c r="D17" s="4" t="s">
        <v>805</v>
      </c>
      <c r="E17" s="4" t="s">
        <v>806</v>
      </c>
      <c r="F17" s="4" t="s">
        <v>748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8"/>
    <col collapsed="false" customWidth="true" hidden="false" outlineLevel="0" max="4" min="3" style="0" width="56"/>
  </cols>
  <sheetData>
    <row r="1" customFormat="false" ht="30" hidden="false" customHeight="true" outlineLevel="0" collapsed="false">
      <c r="A1" s="1" t="s">
        <v>807</v>
      </c>
      <c r="B1" s="1"/>
      <c r="C1" s="1"/>
      <c r="D1" s="1"/>
    </row>
    <row r="2" customFormat="false" ht="28" hidden="false" customHeight="true" outlineLevel="0" collapsed="false">
      <c r="A2" s="2" t="s">
        <v>808</v>
      </c>
      <c r="B2" s="2"/>
      <c r="C2" s="2"/>
      <c r="D2" s="2"/>
    </row>
    <row r="5" customFormat="false" ht="34" hidden="false" customHeight="true" outlineLevel="0" collapsed="false">
      <c r="A5" s="3" t="s">
        <v>809</v>
      </c>
      <c r="B5" s="3" t="s">
        <v>810</v>
      </c>
      <c r="C5" s="3" t="s">
        <v>811</v>
      </c>
      <c r="D5" s="3" t="s">
        <v>812</v>
      </c>
    </row>
    <row r="6" customFormat="false" ht="15" hidden="false" customHeight="false" outlineLevel="0" collapsed="false">
      <c r="A6" s="4" t="s">
        <v>813</v>
      </c>
      <c r="B6" s="11" t="s">
        <v>814</v>
      </c>
      <c r="C6" s="11" t="s">
        <v>815</v>
      </c>
      <c r="D6" s="11" t="s">
        <v>816</v>
      </c>
    </row>
    <row r="7" customFormat="false" ht="15" hidden="false" customHeight="false" outlineLevel="0" collapsed="false">
      <c r="A7" s="4" t="s">
        <v>817</v>
      </c>
      <c r="B7" s="11" t="s">
        <v>818</v>
      </c>
      <c r="C7" s="11" t="s">
        <v>32</v>
      </c>
      <c r="D7" s="11" t="s">
        <v>819</v>
      </c>
    </row>
    <row r="8" customFormat="false" ht="15" hidden="false" customHeight="false" outlineLevel="0" collapsed="false">
      <c r="A8" s="4" t="s">
        <v>820</v>
      </c>
      <c r="B8" s="11" t="s">
        <v>821</v>
      </c>
      <c r="C8" s="11" t="s">
        <v>822</v>
      </c>
      <c r="D8" s="11" t="s">
        <v>823</v>
      </c>
    </row>
    <row r="9" customFormat="false" ht="15" hidden="false" customHeight="false" outlineLevel="0" collapsed="false">
      <c r="A9" s="4" t="s">
        <v>824</v>
      </c>
      <c r="B9" s="11" t="s">
        <v>825</v>
      </c>
      <c r="C9" s="11" t="s">
        <v>826</v>
      </c>
      <c r="D9" s="11" t="s">
        <v>827</v>
      </c>
    </row>
    <row r="10" customFormat="false" ht="15" hidden="false" customHeight="false" outlineLevel="0" collapsed="false">
      <c r="A10" s="4" t="s">
        <v>828</v>
      </c>
      <c r="B10" s="11" t="s">
        <v>829</v>
      </c>
      <c r="C10" s="11" t="s">
        <v>830</v>
      </c>
      <c r="D10" s="11" t="s">
        <v>831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3" min="3" style="0" width="64"/>
  </cols>
  <sheetData>
    <row r="1" customFormat="false" ht="30" hidden="false" customHeight="true" outlineLevel="0" collapsed="false">
      <c r="A1" s="1" t="s">
        <v>832</v>
      </c>
      <c r="B1" s="1"/>
      <c r="C1" s="1"/>
    </row>
    <row r="2" customFormat="false" ht="28" hidden="false" customHeight="true" outlineLevel="0" collapsed="false">
      <c r="A2" s="2" t="s">
        <v>833</v>
      </c>
      <c r="B2" s="2"/>
      <c r="C2" s="2"/>
    </row>
    <row r="5" customFormat="false" ht="34" hidden="false" customHeight="true" outlineLevel="0" collapsed="false">
      <c r="A5" s="3" t="s">
        <v>279</v>
      </c>
      <c r="B5" s="3" t="s">
        <v>834</v>
      </c>
      <c r="C5" s="3" t="s">
        <v>835</v>
      </c>
    </row>
    <row r="6" customFormat="false" ht="15" hidden="false" customHeight="false" outlineLevel="0" collapsed="false">
      <c r="A6" s="4" t="s">
        <v>836</v>
      </c>
      <c r="B6" s="4" t="s">
        <v>837</v>
      </c>
      <c r="C6" s="4" t="s">
        <v>838</v>
      </c>
    </row>
    <row r="7" customFormat="false" ht="15" hidden="false" customHeight="false" outlineLevel="0" collapsed="false">
      <c r="A7" s="4" t="s">
        <v>839</v>
      </c>
      <c r="B7" s="4" t="s">
        <v>840</v>
      </c>
      <c r="C7" s="4" t="s">
        <v>841</v>
      </c>
    </row>
    <row r="8" customFormat="false" ht="15" hidden="false" customHeight="false" outlineLevel="0" collapsed="false">
      <c r="A8" s="4" t="s">
        <v>842</v>
      </c>
      <c r="B8" s="4" t="s">
        <v>843</v>
      </c>
      <c r="C8" s="4" t="s">
        <v>844</v>
      </c>
    </row>
    <row r="9" customFormat="false" ht="15" hidden="false" customHeight="false" outlineLevel="0" collapsed="false">
      <c r="A9" s="4" t="s">
        <v>845</v>
      </c>
      <c r="B9" s="4" t="s">
        <v>846</v>
      </c>
      <c r="C9" s="4" t="s">
        <v>847</v>
      </c>
    </row>
    <row r="10" customFormat="false" ht="15" hidden="false" customHeight="false" outlineLevel="0" collapsed="false">
      <c r="A10" s="4" t="s">
        <v>848</v>
      </c>
      <c r="B10" s="4" t="s">
        <v>849</v>
      </c>
      <c r="C10" s="4" t="s">
        <v>850</v>
      </c>
    </row>
    <row r="11" customFormat="false" ht="15" hidden="false" customHeight="false" outlineLevel="0" collapsed="false">
      <c r="A11" s="4" t="s">
        <v>851</v>
      </c>
      <c r="B11" s="4" t="s">
        <v>852</v>
      </c>
      <c r="C11" s="4" t="s">
        <v>853</v>
      </c>
    </row>
    <row r="12" customFormat="false" ht="15" hidden="false" customHeight="false" outlineLevel="0" collapsed="false">
      <c r="A12" s="4" t="s">
        <v>854</v>
      </c>
      <c r="B12" s="4" t="s">
        <v>855</v>
      </c>
      <c r="C12" s="4" t="s">
        <v>856</v>
      </c>
    </row>
    <row r="13" customFormat="false" ht="15" hidden="false" customHeight="false" outlineLevel="0" collapsed="false">
      <c r="A13" s="4" t="s">
        <v>857</v>
      </c>
      <c r="B13" s="4" t="s">
        <v>858</v>
      </c>
      <c r="C13" s="4" t="s">
        <v>859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14"/>
    <col collapsed="false" customWidth="true" hidden="false" outlineLevel="0" max="8" min="8" style="0" width="44"/>
    <col collapsed="false" customWidth="true" hidden="false" outlineLevel="0" max="10" min="9" style="0" width="14"/>
    <col collapsed="false" customWidth="true" hidden="false" outlineLevel="0" max="11" min="11" style="0" width="42"/>
  </cols>
  <sheetData>
    <row r="1" customFormat="false" ht="30" hidden="false" customHeight="true" outlineLevel="0" collapsed="false">
      <c r="A1" s="1" t="s">
        <v>860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8" hidden="false" customHeight="true" outlineLevel="0" collapsed="false">
      <c r="A2" s="2" t="s">
        <v>861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customFormat="false" ht="34" hidden="false" customHeight="true" outlineLevel="0" collapsed="false">
      <c r="A5" s="3" t="s">
        <v>862</v>
      </c>
      <c r="B5" s="3" t="s">
        <v>863</v>
      </c>
      <c r="C5" s="3" t="s">
        <v>864</v>
      </c>
      <c r="D5" s="3" t="s">
        <v>277</v>
      </c>
      <c r="E5" s="3" t="s">
        <v>865</v>
      </c>
      <c r="F5" s="3" t="s">
        <v>484</v>
      </c>
      <c r="G5" s="3" t="s">
        <v>424</v>
      </c>
      <c r="H5" s="3" t="s">
        <v>544</v>
      </c>
      <c r="I5" s="3" t="s">
        <v>689</v>
      </c>
      <c r="J5" s="3" t="s">
        <v>104</v>
      </c>
      <c r="K5" s="3" t="s">
        <v>485</v>
      </c>
    </row>
    <row r="6" customFormat="false" ht="15" hidden="false" customHeight="false" outlineLevel="0" collapsed="false">
      <c r="A6" s="4" t="s">
        <v>866</v>
      </c>
      <c r="B6" s="11" t="s">
        <v>867</v>
      </c>
      <c r="C6" s="11" t="s">
        <v>868</v>
      </c>
      <c r="D6" s="11" t="s">
        <v>72</v>
      </c>
      <c r="E6" s="11" t="s">
        <v>869</v>
      </c>
      <c r="F6" s="11" t="s">
        <v>870</v>
      </c>
      <c r="G6" s="14" t="s">
        <v>871</v>
      </c>
      <c r="H6" s="11" t="s">
        <v>872</v>
      </c>
      <c r="I6" s="11" t="s">
        <v>873</v>
      </c>
      <c r="J6" s="11" t="s">
        <v>426</v>
      </c>
      <c r="K6" s="11"/>
    </row>
    <row r="7" customFormat="false" ht="15" hidden="false" customHeight="false" outlineLevel="0" collapsed="false">
      <c r="A7" s="4" t="s">
        <v>874</v>
      </c>
      <c r="B7" s="11"/>
      <c r="C7" s="11"/>
      <c r="D7" s="11"/>
      <c r="E7" s="11" t="s">
        <v>875</v>
      </c>
      <c r="F7" s="11"/>
      <c r="G7" s="14"/>
      <c r="H7" s="11"/>
      <c r="I7" s="11"/>
      <c r="J7" s="11" t="s">
        <v>426</v>
      </c>
      <c r="K7" s="11"/>
    </row>
    <row r="8" customFormat="false" ht="15" hidden="false" customHeight="false" outlineLevel="0" collapsed="false">
      <c r="A8" s="4" t="s">
        <v>876</v>
      </c>
      <c r="B8" s="11"/>
      <c r="C8" s="11"/>
      <c r="D8" s="11"/>
      <c r="E8" s="11" t="s">
        <v>875</v>
      </c>
      <c r="F8" s="11"/>
      <c r="G8" s="14"/>
      <c r="H8" s="11"/>
      <c r="I8" s="11"/>
      <c r="J8" s="11" t="s">
        <v>426</v>
      </c>
      <c r="K8" s="11"/>
    </row>
    <row r="9" customFormat="false" ht="15" hidden="false" customHeight="false" outlineLevel="0" collapsed="false">
      <c r="A9" s="4" t="s">
        <v>877</v>
      </c>
      <c r="B9" s="11"/>
      <c r="C9" s="11"/>
      <c r="D9" s="11"/>
      <c r="E9" s="11" t="s">
        <v>875</v>
      </c>
      <c r="F9" s="11"/>
      <c r="G9" s="14"/>
      <c r="H9" s="11"/>
      <c r="I9" s="11"/>
      <c r="J9" s="11" t="s">
        <v>426</v>
      </c>
      <c r="K9" s="11"/>
    </row>
    <row r="10" customFormat="false" ht="15" hidden="false" customHeight="false" outlineLevel="0" collapsed="false">
      <c r="A10" s="4" t="s">
        <v>878</v>
      </c>
      <c r="B10" s="11"/>
      <c r="C10" s="11"/>
      <c r="D10" s="11"/>
      <c r="E10" s="11" t="s">
        <v>875</v>
      </c>
      <c r="F10" s="11"/>
      <c r="G10" s="14"/>
      <c r="H10" s="11"/>
      <c r="I10" s="11"/>
      <c r="J10" s="11" t="s">
        <v>426</v>
      </c>
      <c r="K10" s="11"/>
    </row>
    <row r="11" customFormat="false" ht="15" hidden="false" customHeight="false" outlineLevel="0" collapsed="false">
      <c r="A11" s="4" t="s">
        <v>879</v>
      </c>
      <c r="B11" s="11"/>
      <c r="C11" s="11"/>
      <c r="D11" s="11"/>
      <c r="E11" s="11" t="s">
        <v>875</v>
      </c>
      <c r="F11" s="11"/>
      <c r="G11" s="14"/>
      <c r="H11" s="11"/>
      <c r="I11" s="11"/>
      <c r="J11" s="11" t="s">
        <v>426</v>
      </c>
      <c r="K11" s="11"/>
    </row>
    <row r="12" customFormat="false" ht="15" hidden="false" customHeight="false" outlineLevel="0" collapsed="false">
      <c r="A12" s="4" t="s">
        <v>880</v>
      </c>
      <c r="B12" s="11"/>
      <c r="C12" s="11"/>
      <c r="D12" s="11"/>
      <c r="E12" s="11" t="s">
        <v>875</v>
      </c>
      <c r="F12" s="11"/>
      <c r="G12" s="14"/>
      <c r="H12" s="11"/>
      <c r="I12" s="11"/>
      <c r="J12" s="11" t="s">
        <v>426</v>
      </c>
      <c r="K12" s="11"/>
    </row>
    <row r="13" customFormat="false" ht="15" hidden="false" customHeight="false" outlineLevel="0" collapsed="false">
      <c r="A13" s="4" t="s">
        <v>881</v>
      </c>
      <c r="B13" s="11"/>
      <c r="C13" s="11"/>
      <c r="D13" s="11"/>
      <c r="E13" s="11" t="s">
        <v>875</v>
      </c>
      <c r="F13" s="11"/>
      <c r="G13" s="14"/>
      <c r="H13" s="11"/>
      <c r="I13" s="11"/>
      <c r="J13" s="11" t="s">
        <v>426</v>
      </c>
      <c r="K13" s="11"/>
    </row>
    <row r="14" customFormat="false" ht="15" hidden="false" customHeight="false" outlineLevel="0" collapsed="false">
      <c r="A14" s="4" t="s">
        <v>882</v>
      </c>
      <c r="B14" s="11"/>
      <c r="C14" s="11"/>
      <c r="D14" s="11"/>
      <c r="E14" s="11" t="s">
        <v>875</v>
      </c>
      <c r="F14" s="11"/>
      <c r="G14" s="14"/>
      <c r="H14" s="11"/>
      <c r="I14" s="11"/>
      <c r="J14" s="11" t="s">
        <v>426</v>
      </c>
      <c r="K14" s="11"/>
    </row>
    <row r="15" customFormat="false" ht="15" hidden="false" customHeight="false" outlineLevel="0" collapsed="false">
      <c r="A15" s="4" t="s">
        <v>883</v>
      </c>
      <c r="B15" s="11"/>
      <c r="C15" s="11"/>
      <c r="D15" s="11"/>
      <c r="E15" s="11" t="s">
        <v>875</v>
      </c>
      <c r="F15" s="11"/>
      <c r="G15" s="14"/>
      <c r="H15" s="11"/>
      <c r="I15" s="11"/>
      <c r="J15" s="11" t="s">
        <v>426</v>
      </c>
      <c r="K15" s="11"/>
    </row>
    <row r="16" customFormat="false" ht="15" hidden="false" customHeight="false" outlineLevel="0" collapsed="false">
      <c r="A16" s="4" t="s">
        <v>884</v>
      </c>
      <c r="B16" s="11"/>
      <c r="C16" s="11"/>
      <c r="D16" s="11"/>
      <c r="E16" s="11" t="s">
        <v>875</v>
      </c>
      <c r="F16" s="11"/>
      <c r="G16" s="14"/>
      <c r="H16" s="11"/>
      <c r="I16" s="11"/>
      <c r="J16" s="11" t="s">
        <v>426</v>
      </c>
      <c r="K16" s="11"/>
    </row>
    <row r="17" customFormat="false" ht="15" hidden="false" customHeight="false" outlineLevel="0" collapsed="false">
      <c r="A17" s="4" t="s">
        <v>885</v>
      </c>
      <c r="B17" s="11"/>
      <c r="C17" s="11"/>
      <c r="D17" s="11"/>
      <c r="E17" s="11" t="s">
        <v>875</v>
      </c>
      <c r="F17" s="11"/>
      <c r="G17" s="14"/>
      <c r="H17" s="11"/>
      <c r="I17" s="11"/>
      <c r="J17" s="11" t="s">
        <v>426</v>
      </c>
      <c r="K17" s="11"/>
    </row>
    <row r="18" customFormat="false" ht="15" hidden="false" customHeight="false" outlineLevel="0" collapsed="false">
      <c r="A18" s="4" t="s">
        <v>886</v>
      </c>
      <c r="B18" s="11"/>
      <c r="C18" s="11"/>
      <c r="D18" s="11"/>
      <c r="E18" s="11" t="s">
        <v>875</v>
      </c>
      <c r="F18" s="11"/>
      <c r="G18" s="14"/>
      <c r="H18" s="11"/>
      <c r="I18" s="11"/>
      <c r="J18" s="11" t="s">
        <v>426</v>
      </c>
      <c r="K18" s="11"/>
    </row>
    <row r="19" customFormat="false" ht="15" hidden="false" customHeight="false" outlineLevel="0" collapsed="false">
      <c r="A19" s="4" t="s">
        <v>887</v>
      </c>
      <c r="B19" s="11"/>
      <c r="C19" s="11"/>
      <c r="D19" s="11"/>
      <c r="E19" s="11" t="s">
        <v>875</v>
      </c>
      <c r="F19" s="11"/>
      <c r="G19" s="14"/>
      <c r="H19" s="11"/>
      <c r="I19" s="11"/>
      <c r="J19" s="11" t="s">
        <v>426</v>
      </c>
      <c r="K19" s="11"/>
    </row>
    <row r="20" customFormat="false" ht="15" hidden="false" customHeight="false" outlineLevel="0" collapsed="false">
      <c r="A20" s="4" t="s">
        <v>888</v>
      </c>
      <c r="B20" s="11"/>
      <c r="C20" s="11"/>
      <c r="D20" s="11"/>
      <c r="E20" s="11" t="s">
        <v>875</v>
      </c>
      <c r="F20" s="11"/>
      <c r="G20" s="14"/>
      <c r="H20" s="11"/>
      <c r="I20" s="11"/>
      <c r="J20" s="11" t="s">
        <v>426</v>
      </c>
      <c r="K20" s="11"/>
    </row>
    <row r="21" customFormat="false" ht="15" hidden="false" customHeight="false" outlineLevel="0" collapsed="false">
      <c r="A21" s="4" t="s">
        <v>889</v>
      </c>
      <c r="B21" s="11"/>
      <c r="C21" s="11"/>
      <c r="D21" s="11"/>
      <c r="E21" s="11" t="s">
        <v>875</v>
      </c>
      <c r="F21" s="11"/>
      <c r="G21" s="14"/>
      <c r="H21" s="11"/>
      <c r="I21" s="11"/>
      <c r="J21" s="11" t="s">
        <v>426</v>
      </c>
      <c r="K21" s="11"/>
    </row>
    <row r="22" customFormat="false" ht="15" hidden="false" customHeight="false" outlineLevel="0" collapsed="false">
      <c r="A22" s="4" t="s">
        <v>890</v>
      </c>
      <c r="B22" s="11"/>
      <c r="C22" s="11"/>
      <c r="D22" s="11"/>
      <c r="E22" s="11" t="s">
        <v>875</v>
      </c>
      <c r="F22" s="11"/>
      <c r="G22" s="14"/>
      <c r="H22" s="11"/>
      <c r="I22" s="11"/>
      <c r="J22" s="11" t="s">
        <v>426</v>
      </c>
      <c r="K22" s="11"/>
    </row>
    <row r="23" customFormat="false" ht="15" hidden="false" customHeight="false" outlineLevel="0" collapsed="false">
      <c r="A23" s="4" t="s">
        <v>891</v>
      </c>
      <c r="B23" s="11"/>
      <c r="C23" s="11"/>
      <c r="D23" s="11"/>
      <c r="E23" s="11" t="s">
        <v>875</v>
      </c>
      <c r="F23" s="11"/>
      <c r="G23" s="14"/>
      <c r="H23" s="11"/>
      <c r="I23" s="11"/>
      <c r="J23" s="11" t="s">
        <v>426</v>
      </c>
      <c r="K23" s="11"/>
    </row>
    <row r="24" customFormat="false" ht="15" hidden="false" customHeight="false" outlineLevel="0" collapsed="false">
      <c r="A24" s="4" t="s">
        <v>892</v>
      </c>
      <c r="B24" s="11"/>
      <c r="C24" s="11"/>
      <c r="D24" s="11"/>
      <c r="E24" s="11" t="s">
        <v>875</v>
      </c>
      <c r="F24" s="11"/>
      <c r="G24" s="14"/>
      <c r="H24" s="11"/>
      <c r="I24" s="11"/>
      <c r="J24" s="11" t="s">
        <v>426</v>
      </c>
      <c r="K24" s="11"/>
    </row>
    <row r="25" customFormat="false" ht="15" hidden="false" customHeight="false" outlineLevel="0" collapsed="false">
      <c r="A25" s="4" t="s">
        <v>893</v>
      </c>
      <c r="B25" s="11"/>
      <c r="C25" s="11"/>
      <c r="D25" s="11"/>
      <c r="E25" s="11" t="s">
        <v>875</v>
      </c>
      <c r="F25" s="11"/>
      <c r="G25" s="14"/>
      <c r="H25" s="11"/>
      <c r="I25" s="11"/>
      <c r="J25" s="11" t="s">
        <v>426</v>
      </c>
      <c r="K25" s="11"/>
    </row>
    <row r="26" customFormat="false" ht="15" hidden="false" customHeight="false" outlineLevel="0" collapsed="false">
      <c r="A26" s="4" t="s">
        <v>894</v>
      </c>
      <c r="B26" s="11"/>
      <c r="C26" s="11"/>
      <c r="D26" s="11"/>
      <c r="E26" s="11" t="s">
        <v>875</v>
      </c>
      <c r="F26" s="11"/>
      <c r="G26" s="14"/>
      <c r="H26" s="11"/>
      <c r="I26" s="11"/>
      <c r="J26" s="11" t="s">
        <v>426</v>
      </c>
      <c r="K26" s="11"/>
    </row>
    <row r="27" customFormat="false" ht="15" hidden="false" customHeight="false" outlineLevel="0" collapsed="false">
      <c r="A27" s="4" t="s">
        <v>895</v>
      </c>
      <c r="B27" s="11"/>
      <c r="C27" s="11"/>
      <c r="D27" s="11"/>
      <c r="E27" s="11" t="s">
        <v>875</v>
      </c>
      <c r="F27" s="11"/>
      <c r="G27" s="14"/>
      <c r="H27" s="11"/>
      <c r="I27" s="11"/>
      <c r="J27" s="11" t="s">
        <v>426</v>
      </c>
      <c r="K27" s="11"/>
    </row>
    <row r="28" customFormat="false" ht="15" hidden="false" customHeight="false" outlineLevel="0" collapsed="false">
      <c r="A28" s="4" t="s">
        <v>896</v>
      </c>
      <c r="B28" s="11"/>
      <c r="C28" s="11"/>
      <c r="D28" s="11"/>
      <c r="E28" s="11" t="s">
        <v>875</v>
      </c>
      <c r="F28" s="11"/>
      <c r="G28" s="14"/>
      <c r="H28" s="11"/>
      <c r="I28" s="11"/>
      <c r="J28" s="11" t="s">
        <v>426</v>
      </c>
      <c r="K28" s="11"/>
    </row>
    <row r="29" customFormat="false" ht="15" hidden="false" customHeight="false" outlineLevel="0" collapsed="false">
      <c r="A29" s="4" t="s">
        <v>897</v>
      </c>
      <c r="B29" s="11"/>
      <c r="C29" s="11"/>
      <c r="D29" s="11"/>
      <c r="E29" s="11" t="s">
        <v>875</v>
      </c>
      <c r="F29" s="11"/>
      <c r="G29" s="14"/>
      <c r="H29" s="11"/>
      <c r="I29" s="11"/>
      <c r="J29" s="11" t="s">
        <v>426</v>
      </c>
      <c r="K29" s="11"/>
    </row>
    <row r="30" customFormat="false" ht="15" hidden="false" customHeight="false" outlineLevel="0" collapsed="false">
      <c r="A30" s="4" t="s">
        <v>898</v>
      </c>
      <c r="B30" s="11"/>
      <c r="C30" s="11"/>
      <c r="D30" s="11"/>
      <c r="E30" s="11" t="s">
        <v>875</v>
      </c>
      <c r="F30" s="11"/>
      <c r="G30" s="14"/>
      <c r="H30" s="11"/>
      <c r="I30" s="11"/>
      <c r="J30" s="11" t="s">
        <v>426</v>
      </c>
      <c r="K30" s="11"/>
    </row>
    <row r="31" customFormat="false" ht="15" hidden="false" customHeight="false" outlineLevel="0" collapsed="false">
      <c r="A31" s="4" t="s">
        <v>899</v>
      </c>
      <c r="B31" s="11"/>
      <c r="C31" s="11"/>
      <c r="D31" s="11"/>
      <c r="E31" s="11" t="s">
        <v>875</v>
      </c>
      <c r="F31" s="11"/>
      <c r="G31" s="14"/>
      <c r="H31" s="11"/>
      <c r="I31" s="11"/>
      <c r="J31" s="11" t="s">
        <v>426</v>
      </c>
      <c r="K31" s="11"/>
    </row>
    <row r="32" customFormat="false" ht="15" hidden="false" customHeight="false" outlineLevel="0" collapsed="false">
      <c r="A32" s="4" t="s">
        <v>900</v>
      </c>
      <c r="B32" s="11"/>
      <c r="C32" s="11"/>
      <c r="D32" s="11"/>
      <c r="E32" s="11" t="s">
        <v>875</v>
      </c>
      <c r="F32" s="11"/>
      <c r="G32" s="14"/>
      <c r="H32" s="11"/>
      <c r="I32" s="11"/>
      <c r="J32" s="11" t="s">
        <v>426</v>
      </c>
      <c r="K32" s="11"/>
    </row>
    <row r="33" customFormat="false" ht="15" hidden="false" customHeight="false" outlineLevel="0" collapsed="false">
      <c r="A33" s="4" t="s">
        <v>901</v>
      </c>
      <c r="B33" s="11"/>
      <c r="C33" s="11"/>
      <c r="D33" s="11"/>
      <c r="E33" s="11" t="s">
        <v>875</v>
      </c>
      <c r="F33" s="11"/>
      <c r="G33" s="14"/>
      <c r="H33" s="11"/>
      <c r="I33" s="11"/>
      <c r="J33" s="11" t="s">
        <v>426</v>
      </c>
      <c r="K33" s="11"/>
    </row>
    <row r="34" customFormat="false" ht="15" hidden="false" customHeight="false" outlineLevel="0" collapsed="false">
      <c r="A34" s="4" t="s">
        <v>902</v>
      </c>
      <c r="B34" s="11"/>
      <c r="C34" s="11"/>
      <c r="D34" s="11"/>
      <c r="E34" s="11" t="s">
        <v>875</v>
      </c>
      <c r="F34" s="11"/>
      <c r="G34" s="14"/>
      <c r="H34" s="11"/>
      <c r="I34" s="11"/>
      <c r="J34" s="11" t="s">
        <v>426</v>
      </c>
      <c r="K34" s="11"/>
    </row>
    <row r="35" customFormat="false" ht="15" hidden="false" customHeight="false" outlineLevel="0" collapsed="false">
      <c r="A35" s="4" t="s">
        <v>903</v>
      </c>
      <c r="B35" s="11"/>
      <c r="C35" s="11"/>
      <c r="D35" s="11"/>
      <c r="E35" s="11" t="s">
        <v>875</v>
      </c>
      <c r="F35" s="11"/>
      <c r="G35" s="14"/>
      <c r="H35" s="11"/>
      <c r="I35" s="11"/>
      <c r="J35" s="11" t="s">
        <v>426</v>
      </c>
      <c r="K35" s="11"/>
    </row>
    <row r="36" customFormat="false" ht="15" hidden="false" customHeight="false" outlineLevel="0" collapsed="false">
      <c r="A36" s="4" t="s">
        <v>904</v>
      </c>
      <c r="B36" s="11"/>
      <c r="C36" s="11"/>
      <c r="D36" s="11"/>
      <c r="E36" s="11" t="s">
        <v>875</v>
      </c>
      <c r="F36" s="11"/>
      <c r="G36" s="14"/>
      <c r="H36" s="11"/>
      <c r="I36" s="11"/>
      <c r="J36" s="11" t="s">
        <v>426</v>
      </c>
      <c r="K36" s="11"/>
    </row>
    <row r="37" customFormat="false" ht="15" hidden="false" customHeight="false" outlineLevel="0" collapsed="false">
      <c r="A37" s="4" t="s">
        <v>905</v>
      </c>
      <c r="B37" s="11"/>
      <c r="C37" s="11"/>
      <c r="D37" s="11"/>
      <c r="E37" s="11" t="s">
        <v>875</v>
      </c>
      <c r="F37" s="11"/>
      <c r="G37" s="14"/>
      <c r="H37" s="11"/>
      <c r="I37" s="11"/>
      <c r="J37" s="11" t="s">
        <v>426</v>
      </c>
      <c r="K37" s="11"/>
    </row>
    <row r="38" customFormat="false" ht="15" hidden="false" customHeight="false" outlineLevel="0" collapsed="false">
      <c r="A38" s="4" t="s">
        <v>906</v>
      </c>
      <c r="B38" s="11"/>
      <c r="C38" s="11"/>
      <c r="D38" s="11"/>
      <c r="E38" s="11" t="s">
        <v>875</v>
      </c>
      <c r="F38" s="11"/>
      <c r="G38" s="14"/>
      <c r="H38" s="11"/>
      <c r="I38" s="11"/>
      <c r="J38" s="11" t="s">
        <v>426</v>
      </c>
      <c r="K38" s="11"/>
    </row>
    <row r="39" customFormat="false" ht="15" hidden="false" customHeight="false" outlineLevel="0" collapsed="false">
      <c r="A39" s="4" t="s">
        <v>907</v>
      </c>
      <c r="B39" s="11"/>
      <c r="C39" s="11"/>
      <c r="D39" s="11"/>
      <c r="E39" s="11" t="s">
        <v>875</v>
      </c>
      <c r="F39" s="11"/>
      <c r="G39" s="14"/>
      <c r="H39" s="11"/>
      <c r="I39" s="11"/>
      <c r="J39" s="11" t="s">
        <v>426</v>
      </c>
      <c r="K39" s="11"/>
    </row>
    <row r="40" customFormat="false" ht="15" hidden="false" customHeight="false" outlineLevel="0" collapsed="false">
      <c r="A40" s="4" t="s">
        <v>908</v>
      </c>
      <c r="B40" s="11"/>
      <c r="C40" s="11"/>
      <c r="D40" s="11"/>
      <c r="E40" s="11" t="s">
        <v>875</v>
      </c>
      <c r="F40" s="11"/>
      <c r="G40" s="14"/>
      <c r="H40" s="11"/>
      <c r="I40" s="11"/>
      <c r="J40" s="11" t="s">
        <v>426</v>
      </c>
      <c r="K40" s="11"/>
    </row>
    <row r="41" customFormat="false" ht="15" hidden="false" customHeight="false" outlineLevel="0" collapsed="false">
      <c r="A41" s="4" t="s">
        <v>909</v>
      </c>
      <c r="B41" s="11"/>
      <c r="C41" s="11"/>
      <c r="D41" s="11"/>
      <c r="E41" s="11" t="s">
        <v>875</v>
      </c>
      <c r="F41" s="11"/>
      <c r="G41" s="14"/>
      <c r="H41" s="11"/>
      <c r="I41" s="11"/>
      <c r="J41" s="11" t="s">
        <v>426</v>
      </c>
      <c r="K41" s="11"/>
    </row>
    <row r="42" customFormat="false" ht="15" hidden="false" customHeight="false" outlineLevel="0" collapsed="false">
      <c r="A42" s="4" t="s">
        <v>910</v>
      </c>
      <c r="B42" s="11"/>
      <c r="C42" s="11"/>
      <c r="D42" s="11"/>
      <c r="E42" s="11" t="s">
        <v>875</v>
      </c>
      <c r="F42" s="11"/>
      <c r="G42" s="14"/>
      <c r="H42" s="11"/>
      <c r="I42" s="11"/>
      <c r="J42" s="11" t="s">
        <v>426</v>
      </c>
      <c r="K42" s="11"/>
    </row>
    <row r="43" customFormat="false" ht="15" hidden="false" customHeight="false" outlineLevel="0" collapsed="false">
      <c r="A43" s="4" t="s">
        <v>911</v>
      </c>
      <c r="B43" s="11"/>
      <c r="C43" s="11"/>
      <c r="D43" s="11"/>
      <c r="E43" s="11" t="s">
        <v>875</v>
      </c>
      <c r="F43" s="11"/>
      <c r="G43" s="14"/>
      <c r="H43" s="11"/>
      <c r="I43" s="11"/>
      <c r="J43" s="11" t="s">
        <v>426</v>
      </c>
      <c r="K43" s="11"/>
    </row>
    <row r="44" customFormat="false" ht="15" hidden="false" customHeight="false" outlineLevel="0" collapsed="false">
      <c r="A44" s="4" t="s">
        <v>912</v>
      </c>
      <c r="B44" s="11"/>
      <c r="C44" s="11"/>
      <c r="D44" s="11"/>
      <c r="E44" s="11" t="s">
        <v>875</v>
      </c>
      <c r="F44" s="11"/>
      <c r="G44" s="14"/>
      <c r="H44" s="11"/>
      <c r="I44" s="11"/>
      <c r="J44" s="11" t="s">
        <v>426</v>
      </c>
      <c r="K44" s="11"/>
    </row>
    <row r="45" customFormat="false" ht="15" hidden="false" customHeight="false" outlineLevel="0" collapsed="false">
      <c r="A45" s="4" t="s">
        <v>913</v>
      </c>
      <c r="B45" s="11"/>
      <c r="C45" s="11"/>
      <c r="D45" s="11"/>
      <c r="E45" s="11" t="s">
        <v>875</v>
      </c>
      <c r="F45" s="11"/>
      <c r="G45" s="14"/>
      <c r="H45" s="11"/>
      <c r="I45" s="11"/>
      <c r="J45" s="11" t="s">
        <v>426</v>
      </c>
      <c r="K45" s="11"/>
    </row>
  </sheetData>
  <mergeCells count="2">
    <mergeCell ref="A1:K1"/>
    <mergeCell ref="A2:K2"/>
  </mergeCells>
  <conditionalFormatting sqref="J6:J45">
    <cfRule type="containsText" priority="2" operator="containsText" aboveAverage="0" equalAverage="0" bottom="0" percent="0" rank="0" text="已完成" dxfId="27">
      <formula>NOT(ISERROR(SEARCH("已完成",J6)))</formula>
    </cfRule>
    <cfRule type="containsText" priority="3" operator="containsText" aboveAverage="0" equalAverage="0" bottom="0" percent="0" rank="0" text="高" dxfId="28">
      <formula>NOT(ISERROR(SEARCH("高",J6)))</formula>
    </cfRule>
  </conditionalFormatting>
  <dataValidations count="2">
    <dataValidation allowBlank="false" errorStyle="stop" operator="between" showDropDown="false" showErrorMessage="false" showInputMessage="false" sqref="E6:E45" type="list">
      <formula1>"低,中,高,重大"</formula1>
      <formula2>0</formula2>
    </dataValidation>
    <dataValidation allowBlank="false" errorStyle="stop" operator="between" showDropDown="false" showErrorMessage="false" showInputMessage="false" sqref="J6:J45" type="list">
      <formula1>"Open,In Progress,Resolved,Closed,Accepted Risk"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54"/>
    <col collapsed="false" customWidth="true" hidden="false" outlineLevel="0" max="4" min="4" style="0" width="28"/>
    <col collapsed="false" customWidth="true" hidden="false" outlineLevel="0" max="5" min="5" style="0" width="60"/>
    <col collapsed="false" customWidth="true" hidden="false" outlineLevel="0" max="6" min="6" style="0" width="44"/>
    <col collapsed="false" customWidth="true" hidden="false" outlineLevel="0" max="7" min="7" style="0" width="56"/>
  </cols>
  <sheetData>
    <row r="1" customFormat="false" ht="30" hidden="false" customHeight="true" outlineLevel="0" collapsed="false">
      <c r="A1" s="1" t="s">
        <v>914</v>
      </c>
      <c r="B1" s="1"/>
      <c r="C1" s="1"/>
      <c r="D1" s="1"/>
      <c r="E1" s="1"/>
      <c r="F1" s="1"/>
      <c r="G1" s="1"/>
    </row>
    <row r="2" customFormat="false" ht="28" hidden="false" customHeight="true" outlineLevel="0" collapsed="false">
      <c r="A2" s="2" t="s">
        <v>915</v>
      </c>
      <c r="B2" s="2"/>
      <c r="C2" s="2"/>
      <c r="D2" s="2"/>
      <c r="E2" s="2"/>
      <c r="F2" s="2"/>
      <c r="G2" s="2"/>
    </row>
    <row r="5" customFormat="false" ht="34" hidden="false" customHeight="true" outlineLevel="0" collapsed="false">
      <c r="A5" s="3" t="s">
        <v>916</v>
      </c>
      <c r="B5" s="3" t="s">
        <v>917</v>
      </c>
      <c r="C5" s="3" t="s">
        <v>918</v>
      </c>
      <c r="D5" s="3" t="s">
        <v>919</v>
      </c>
      <c r="E5" s="3" t="s">
        <v>920</v>
      </c>
      <c r="F5" s="3" t="s">
        <v>921</v>
      </c>
      <c r="G5" s="3" t="s">
        <v>922</v>
      </c>
    </row>
    <row r="6" customFormat="false" ht="15" hidden="false" customHeight="false" outlineLevel="0" collapsed="false">
      <c r="A6" s="4" t="s">
        <v>923</v>
      </c>
      <c r="B6" s="4" t="s">
        <v>924</v>
      </c>
      <c r="C6" s="4" t="s">
        <v>925</v>
      </c>
      <c r="D6" s="4" t="s">
        <v>926</v>
      </c>
      <c r="E6" s="4" t="s">
        <v>927</v>
      </c>
      <c r="F6" s="4" t="s">
        <v>928</v>
      </c>
      <c r="G6" s="11"/>
    </row>
    <row r="7" customFormat="false" ht="15" hidden="false" customHeight="false" outlineLevel="0" collapsed="false">
      <c r="A7" s="4" t="s">
        <v>929</v>
      </c>
      <c r="B7" s="4" t="s">
        <v>930</v>
      </c>
      <c r="C7" s="4" t="s">
        <v>931</v>
      </c>
      <c r="D7" s="4" t="s">
        <v>932</v>
      </c>
      <c r="E7" s="4" t="s">
        <v>933</v>
      </c>
      <c r="F7" s="4" t="s">
        <v>934</v>
      </c>
      <c r="G7" s="11"/>
    </row>
    <row r="8" customFormat="false" ht="15" hidden="false" customHeight="false" outlineLevel="0" collapsed="false">
      <c r="A8" s="4" t="s">
        <v>935</v>
      </c>
      <c r="B8" s="4" t="s">
        <v>936</v>
      </c>
      <c r="C8" s="4" t="s">
        <v>937</v>
      </c>
      <c r="D8" s="4" t="s">
        <v>938</v>
      </c>
      <c r="E8" s="4" t="s">
        <v>939</v>
      </c>
      <c r="F8" s="4" t="s">
        <v>940</v>
      </c>
      <c r="G8" s="11"/>
    </row>
    <row r="9" customFormat="false" ht="15" hidden="false" customHeight="false" outlineLevel="0" collapsed="false">
      <c r="A9" s="4" t="s">
        <v>941</v>
      </c>
      <c r="B9" s="4" t="s">
        <v>942</v>
      </c>
      <c r="C9" s="4" t="s">
        <v>943</v>
      </c>
      <c r="D9" s="4" t="s">
        <v>944</v>
      </c>
      <c r="E9" s="4" t="s">
        <v>945</v>
      </c>
      <c r="F9" s="4" t="s">
        <v>946</v>
      </c>
      <c r="G9" s="11"/>
    </row>
    <row r="10" customFormat="false" ht="15" hidden="false" customHeight="false" outlineLevel="0" collapsed="false">
      <c r="A10" s="4" t="s">
        <v>947</v>
      </c>
      <c r="B10" s="4" t="s">
        <v>948</v>
      </c>
      <c r="C10" s="4" t="s">
        <v>949</v>
      </c>
      <c r="D10" s="4" t="s">
        <v>950</v>
      </c>
      <c r="E10" s="4" t="s">
        <v>951</v>
      </c>
      <c r="F10" s="4" t="s">
        <v>952</v>
      </c>
      <c r="G10" s="11"/>
    </row>
    <row r="11" customFormat="false" ht="15" hidden="false" customHeight="false" outlineLevel="0" collapsed="false">
      <c r="A11" s="4" t="s">
        <v>953</v>
      </c>
      <c r="B11" s="4" t="s">
        <v>954</v>
      </c>
      <c r="C11" s="4" t="s">
        <v>955</v>
      </c>
      <c r="D11" s="4" t="s">
        <v>956</v>
      </c>
      <c r="E11" s="4" t="s">
        <v>957</v>
      </c>
      <c r="F11" s="4" t="s">
        <v>958</v>
      </c>
      <c r="G11" s="11"/>
    </row>
    <row r="12" customFormat="false" ht="15" hidden="false" customHeight="false" outlineLevel="0" collapsed="false">
      <c r="A12" s="4" t="s">
        <v>959</v>
      </c>
      <c r="B12" s="4" t="s">
        <v>960</v>
      </c>
      <c r="C12" s="4" t="s">
        <v>961</v>
      </c>
      <c r="D12" s="4" t="s">
        <v>962</v>
      </c>
      <c r="E12" s="4" t="s">
        <v>963</v>
      </c>
      <c r="F12" s="4" t="s">
        <v>964</v>
      </c>
      <c r="G12" s="11"/>
    </row>
    <row r="13" customFormat="false" ht="15" hidden="false" customHeight="false" outlineLevel="0" collapsed="false">
      <c r="A13" s="4" t="s">
        <v>965</v>
      </c>
      <c r="B13" s="4" t="s">
        <v>966</v>
      </c>
      <c r="C13" s="4" t="s">
        <v>967</v>
      </c>
      <c r="D13" s="4" t="s">
        <v>968</v>
      </c>
      <c r="E13" s="4" t="s">
        <v>969</v>
      </c>
      <c r="F13" s="4" t="s">
        <v>970</v>
      </c>
      <c r="G13" s="11"/>
    </row>
    <row r="14" customFormat="false" ht="15" hidden="false" customHeight="false" outlineLevel="0" collapsed="false">
      <c r="A14" s="4" t="s">
        <v>971</v>
      </c>
      <c r="B14" s="4" t="s">
        <v>972</v>
      </c>
      <c r="C14" s="4" t="s">
        <v>973</v>
      </c>
      <c r="D14" s="4" t="s">
        <v>974</v>
      </c>
      <c r="E14" s="4" t="s">
        <v>975</v>
      </c>
      <c r="F14" s="4" t="s">
        <v>976</v>
      </c>
      <c r="G14" s="11"/>
    </row>
    <row r="15" customFormat="false" ht="15" hidden="false" customHeight="false" outlineLevel="0" collapsed="false">
      <c r="A15" s="4" t="s">
        <v>977</v>
      </c>
      <c r="B15" s="4" t="s">
        <v>978</v>
      </c>
      <c r="C15" s="4" t="s">
        <v>979</v>
      </c>
      <c r="D15" s="4" t="s">
        <v>980</v>
      </c>
      <c r="E15" s="4" t="s">
        <v>981</v>
      </c>
      <c r="F15" s="4" t="s">
        <v>982</v>
      </c>
      <c r="G15" s="11"/>
    </row>
    <row r="16" customFormat="false" ht="15" hidden="false" customHeight="false" outlineLevel="0" collapsed="false">
      <c r="A16" s="4" t="s">
        <v>983</v>
      </c>
      <c r="B16" s="4" t="s">
        <v>984</v>
      </c>
      <c r="C16" s="4" t="s">
        <v>985</v>
      </c>
      <c r="D16" s="4" t="s">
        <v>986</v>
      </c>
      <c r="E16" s="4" t="s">
        <v>987</v>
      </c>
      <c r="F16" s="4" t="s">
        <v>988</v>
      </c>
      <c r="G16" s="11"/>
    </row>
    <row r="17" customFormat="false" ht="15" hidden="false" customHeight="false" outlineLevel="0" collapsed="false">
      <c r="A17" s="4" t="s">
        <v>989</v>
      </c>
      <c r="B17" s="4" t="s">
        <v>990</v>
      </c>
      <c r="C17" s="4" t="s">
        <v>991</v>
      </c>
      <c r="D17" s="4" t="s">
        <v>992</v>
      </c>
      <c r="E17" s="4" t="s">
        <v>993</v>
      </c>
      <c r="F17" s="4" t="s">
        <v>994</v>
      </c>
      <c r="G17" s="11"/>
    </row>
    <row r="18" customFormat="false" ht="15" hidden="false" customHeight="false" outlineLevel="0" collapsed="false">
      <c r="A18" s="4" t="s">
        <v>995</v>
      </c>
      <c r="B18" s="4" t="s">
        <v>996</v>
      </c>
      <c r="C18" s="4" t="s">
        <v>997</v>
      </c>
      <c r="D18" s="4" t="s">
        <v>998</v>
      </c>
      <c r="E18" s="4" t="s">
        <v>999</v>
      </c>
      <c r="F18" s="4" t="s">
        <v>1000</v>
      </c>
      <c r="G18" s="11"/>
    </row>
    <row r="19" customFormat="false" ht="15" hidden="false" customHeight="false" outlineLevel="0" collapsed="false">
      <c r="A19" s="4" t="s">
        <v>1001</v>
      </c>
      <c r="B19" s="4" t="s">
        <v>1002</v>
      </c>
      <c r="C19" s="4" t="s">
        <v>1003</v>
      </c>
      <c r="D19" s="4" t="s">
        <v>1004</v>
      </c>
      <c r="E19" s="4" t="s">
        <v>1005</v>
      </c>
      <c r="F19" s="4" t="s">
        <v>1006</v>
      </c>
      <c r="G19" s="11"/>
    </row>
    <row r="20" customFormat="false" ht="15" hidden="false" customHeight="false" outlineLevel="0" collapsed="false">
      <c r="A20" s="4" t="s">
        <v>1007</v>
      </c>
      <c r="B20" s="4" t="s">
        <v>1008</v>
      </c>
      <c r="C20" s="4" t="s">
        <v>1009</v>
      </c>
      <c r="D20" s="4" t="s">
        <v>1010</v>
      </c>
      <c r="E20" s="4" t="s">
        <v>1011</v>
      </c>
      <c r="F20" s="4" t="s">
        <v>1012</v>
      </c>
      <c r="G20" s="11"/>
    </row>
    <row r="21" customFormat="false" ht="15" hidden="false" customHeight="false" outlineLevel="0" collapsed="false">
      <c r="A21" s="4" t="s">
        <v>1013</v>
      </c>
      <c r="B21" s="4" t="s">
        <v>1014</v>
      </c>
      <c r="C21" s="4" t="s">
        <v>1015</v>
      </c>
      <c r="D21" s="4" t="s">
        <v>1016</v>
      </c>
      <c r="E21" s="4" t="s">
        <v>1017</v>
      </c>
      <c r="F21" s="4" t="s">
        <v>1018</v>
      </c>
      <c r="G21" s="11"/>
    </row>
    <row r="22" customFormat="false" ht="15" hidden="false" customHeight="false" outlineLevel="0" collapsed="false">
      <c r="A22" s="4" t="s">
        <v>1019</v>
      </c>
      <c r="B22" s="4" t="s">
        <v>1020</v>
      </c>
      <c r="C22" s="4" t="s">
        <v>1021</v>
      </c>
      <c r="D22" s="4" t="s">
        <v>1022</v>
      </c>
      <c r="E22" s="4" t="s">
        <v>1023</v>
      </c>
      <c r="F22" s="4" t="s">
        <v>1024</v>
      </c>
      <c r="G22" s="11"/>
    </row>
    <row r="23" customFormat="false" ht="15" hidden="false" customHeight="false" outlineLevel="0" collapsed="false">
      <c r="A23" s="4" t="s">
        <v>1025</v>
      </c>
      <c r="B23" s="4" t="s">
        <v>1026</v>
      </c>
      <c r="C23" s="4" t="s">
        <v>1027</v>
      </c>
      <c r="D23" s="4" t="s">
        <v>1028</v>
      </c>
      <c r="E23" s="4" t="s">
        <v>1029</v>
      </c>
      <c r="F23" s="4" t="s">
        <v>1030</v>
      </c>
      <c r="G23" s="11"/>
    </row>
    <row r="24" customFormat="false" ht="15" hidden="false" customHeight="false" outlineLevel="0" collapsed="false">
      <c r="A24" s="4" t="s">
        <v>1031</v>
      </c>
      <c r="B24" s="4" t="s">
        <v>1032</v>
      </c>
      <c r="C24" s="4" t="s">
        <v>1033</v>
      </c>
      <c r="D24" s="4" t="s">
        <v>1034</v>
      </c>
      <c r="E24" s="4" t="s">
        <v>1035</v>
      </c>
      <c r="F24" s="4" t="s">
        <v>1036</v>
      </c>
      <c r="G24" s="11"/>
    </row>
    <row r="25" customFormat="false" ht="15" hidden="false" customHeight="false" outlineLevel="0" collapsed="false">
      <c r="A25" s="4" t="s">
        <v>1037</v>
      </c>
      <c r="B25" s="4" t="s">
        <v>1038</v>
      </c>
      <c r="C25" s="4" t="s">
        <v>1039</v>
      </c>
      <c r="D25" s="4" t="s">
        <v>1040</v>
      </c>
      <c r="E25" s="4" t="s">
        <v>1041</v>
      </c>
      <c r="F25" s="4" t="s">
        <v>1042</v>
      </c>
      <c r="G25" s="11"/>
    </row>
    <row r="26" customFormat="false" ht="15" hidden="false" customHeight="false" outlineLevel="0" collapsed="false">
      <c r="A26" s="4" t="s">
        <v>1043</v>
      </c>
      <c r="B26" s="4" t="s">
        <v>1044</v>
      </c>
      <c r="C26" s="4" t="s">
        <v>1045</v>
      </c>
      <c r="D26" s="4" t="s">
        <v>1046</v>
      </c>
      <c r="E26" s="4" t="s">
        <v>1047</v>
      </c>
      <c r="F26" s="4" t="s">
        <v>1048</v>
      </c>
      <c r="G26" s="11"/>
    </row>
    <row r="27" customFormat="false" ht="15" hidden="false" customHeight="false" outlineLevel="0" collapsed="false">
      <c r="A27" s="4" t="s">
        <v>1049</v>
      </c>
      <c r="B27" s="4" t="s">
        <v>1050</v>
      </c>
      <c r="C27" s="4" t="s">
        <v>1051</v>
      </c>
      <c r="D27" s="4" t="s">
        <v>1052</v>
      </c>
      <c r="E27" s="4" t="s">
        <v>1053</v>
      </c>
      <c r="F27" s="4" t="s">
        <v>1054</v>
      </c>
      <c r="G27" s="11"/>
    </row>
    <row r="28" customFormat="false" ht="15" hidden="false" customHeight="false" outlineLevel="0" collapsed="false">
      <c r="A28" s="4" t="s">
        <v>1055</v>
      </c>
      <c r="B28" s="4" t="s">
        <v>1056</v>
      </c>
      <c r="C28" s="4" t="s">
        <v>1057</v>
      </c>
      <c r="D28" s="4" t="s">
        <v>1058</v>
      </c>
      <c r="E28" s="4" t="s">
        <v>1059</v>
      </c>
      <c r="F28" s="4" t="s">
        <v>1060</v>
      </c>
      <c r="G28" s="11"/>
    </row>
    <row r="29" customFormat="false" ht="15" hidden="false" customHeight="false" outlineLevel="0" collapsed="false">
      <c r="A29" s="4" t="s">
        <v>1061</v>
      </c>
      <c r="B29" s="4" t="s">
        <v>1062</v>
      </c>
      <c r="C29" s="4" t="s">
        <v>1063</v>
      </c>
      <c r="D29" s="4" t="s">
        <v>1064</v>
      </c>
      <c r="E29" s="4" t="s">
        <v>1065</v>
      </c>
      <c r="F29" s="4" t="s">
        <v>1066</v>
      </c>
      <c r="G29" s="11"/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2"/>
    <col collapsed="false" customWidth="true" hidden="false" outlineLevel="0" max="3" min="3" style="0" width="62"/>
    <col collapsed="false" customWidth="true" hidden="false" outlineLevel="0" max="4" min="4" style="0" width="66"/>
  </cols>
  <sheetData>
    <row r="1" customFormat="false" ht="30" hidden="false" customHeight="true" outlineLevel="0" collapsed="false">
      <c r="A1" s="1" t="s">
        <v>1067</v>
      </c>
      <c r="B1" s="1"/>
      <c r="C1" s="1"/>
      <c r="D1" s="1"/>
    </row>
    <row r="2" customFormat="false" ht="28" hidden="false" customHeight="true" outlineLevel="0" collapsed="false">
      <c r="A2" s="2" t="s">
        <v>1068</v>
      </c>
      <c r="B2" s="2"/>
      <c r="C2" s="2"/>
      <c r="D2" s="2"/>
    </row>
    <row r="5" customFormat="false" ht="34" hidden="false" customHeight="true" outlineLevel="0" collapsed="false">
      <c r="A5" s="3" t="s">
        <v>95</v>
      </c>
      <c r="B5" s="3" t="s">
        <v>1069</v>
      </c>
      <c r="C5" s="3" t="s">
        <v>1070</v>
      </c>
      <c r="D5" s="3" t="s">
        <v>1071</v>
      </c>
    </row>
    <row r="6" customFormat="false" ht="15" hidden="false" customHeight="false" outlineLevel="0" collapsed="false">
      <c r="A6" s="4" t="s">
        <v>1072</v>
      </c>
      <c r="B6" s="4" t="s">
        <v>1073</v>
      </c>
      <c r="C6" s="4" t="s">
        <v>1074</v>
      </c>
      <c r="D6" s="4" t="s">
        <v>1075</v>
      </c>
    </row>
    <row r="7" customFormat="false" ht="15" hidden="false" customHeight="false" outlineLevel="0" collapsed="false">
      <c r="A7" s="4" t="s">
        <v>1076</v>
      </c>
      <c r="B7" s="4" t="s">
        <v>1077</v>
      </c>
      <c r="C7" s="4" t="s">
        <v>1078</v>
      </c>
      <c r="D7" s="4" t="s">
        <v>1079</v>
      </c>
    </row>
    <row r="8" customFormat="false" ht="15" hidden="false" customHeight="false" outlineLevel="0" collapsed="false">
      <c r="A8" s="4" t="s">
        <v>1080</v>
      </c>
      <c r="B8" s="4" t="s">
        <v>1081</v>
      </c>
      <c r="C8" s="4" t="s">
        <v>1082</v>
      </c>
      <c r="D8" s="4" t="s">
        <v>1083</v>
      </c>
    </row>
    <row r="9" customFormat="false" ht="15" hidden="false" customHeight="false" outlineLevel="0" collapsed="false">
      <c r="A9" s="4" t="s">
        <v>1084</v>
      </c>
      <c r="B9" s="4" t="s">
        <v>1085</v>
      </c>
      <c r="C9" s="4" t="s">
        <v>1086</v>
      </c>
      <c r="D9" s="4" t="s">
        <v>1087</v>
      </c>
    </row>
    <row r="10" customFormat="false" ht="15" hidden="false" customHeight="false" outlineLevel="0" collapsed="false">
      <c r="A10" s="4" t="s">
        <v>1088</v>
      </c>
      <c r="B10" s="4" t="s">
        <v>1089</v>
      </c>
      <c r="C10" s="4" t="s">
        <v>1090</v>
      </c>
      <c r="D10" s="4" t="s">
        <v>1091</v>
      </c>
    </row>
    <row r="11" customFormat="false" ht="15" hidden="false" customHeight="false" outlineLevel="0" collapsed="false">
      <c r="A11" s="4" t="s">
        <v>1092</v>
      </c>
      <c r="B11" s="4" t="s">
        <v>1093</v>
      </c>
      <c r="C11" s="4" t="s">
        <v>1094</v>
      </c>
      <c r="D11" s="4" t="s">
        <v>1095</v>
      </c>
    </row>
    <row r="12" customFormat="false" ht="15" hidden="false" customHeight="false" outlineLevel="0" collapsed="false">
      <c r="A12" s="4" t="s">
        <v>1096</v>
      </c>
      <c r="B12" s="4" t="s">
        <v>1097</v>
      </c>
      <c r="C12" s="4" t="s">
        <v>1098</v>
      </c>
      <c r="D12" s="4" t="s">
        <v>1099</v>
      </c>
    </row>
    <row r="13" customFormat="false" ht="15" hidden="false" customHeight="false" outlineLevel="0" collapsed="false">
      <c r="A13" s="4" t="s">
        <v>1100</v>
      </c>
      <c r="B13" s="4" t="s">
        <v>1101</v>
      </c>
      <c r="C13" s="4" t="s">
        <v>1102</v>
      </c>
      <c r="D13" s="4" t="s">
        <v>1103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