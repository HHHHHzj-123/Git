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9e1cfa3fe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使用说明与月结看板" sheetId="1" r:id="Rd44c13ab5faa4ecd"/>
    <x:sheet xmlns:r="http://schemas.openxmlformats.org/officeDocument/2006/relationships" name="01-月结Checklist" sheetId="2" r:id="Rf272494b98f349ff"/>
    <x:sheet xmlns:r="http://schemas.openxmlformats.org/officeDocument/2006/relationships" name="02-银行账户与余额调节" sheetId="3" r:id="Ra57efcdfda9a4cdc"/>
    <x:sheet xmlns:r="http://schemas.openxmlformats.org/officeDocument/2006/relationships" name="03-AR与GL核对" sheetId="4" r:id="Re88fa566ca444f52"/>
    <x:sheet xmlns:r="http://schemas.openxmlformats.org/officeDocument/2006/relationships" name="04-AP与GL核对" sheetId="5" r:id="R51f3983e094c481f"/>
    <x:sheet xmlns:r="http://schemas.openxmlformats.org/officeDocument/2006/relationships" name="05-暂估台账" sheetId="6" r:id="R60ea65d6d9954fab"/>
    <x:sheet xmlns:r="http://schemas.openxmlformats.org/officeDocument/2006/relationships" name="06-预提费用" sheetId="7" r:id="R079fecb6b9614657"/>
    <x:sheet xmlns:r="http://schemas.openxmlformats.org/officeDocument/2006/relationships" name="07-待摊长期待摊" sheetId="8" r:id="R1bf31e6bafc14de4"/>
    <x:sheet xmlns:r="http://schemas.openxmlformats.org/officeDocument/2006/relationships" name="08-应收应付账龄" sheetId="9" r:id="R721fbcf4d96f41c1"/>
    <x:sheet xmlns:r="http://schemas.openxmlformats.org/officeDocument/2006/relationships" name="09-长期挂账" sheetId="10" r:id="R267e57db5d004434"/>
    <x:sheet xmlns:r="http://schemas.openxmlformats.org/officeDocument/2006/relationships" name="10-员工借款" sheetId="11" r:id="R549cf4f1651e49d8"/>
    <x:sheet xmlns:r="http://schemas.openxmlformats.org/officeDocument/2006/relationships" name="11-关联方往来" sheetId="12" r:id="R46d5823842ed4492"/>
    <x:sheet xmlns:r="http://schemas.openxmlformats.org/officeDocument/2006/relationships" name="12-存货与成本检查" sheetId="13" r:id="R33986efc06614123"/>
    <x:sheet xmlns:r="http://schemas.openxmlformats.org/officeDocument/2006/relationships" name="13-固定资产与在建工程" sheetId="14" r:id="R4638a221e250443f"/>
    <x:sheet xmlns:r="http://schemas.openxmlformats.org/officeDocument/2006/relationships" name="14-薪酬核对" sheetId="15" r:id="R87cebf83170f47c4"/>
    <x:sheet xmlns:r="http://schemas.openxmlformats.org/officeDocument/2006/relationships" name="15-税务资料包" sheetId="16" r:id="Rb703a3963384454a"/>
    <x:sheet xmlns:r="http://schemas.openxmlformats.org/officeDocument/2006/relationships" name="16-调整分录" sheetId="17" r:id="Rb1f8b59dc6dc4cf3"/>
    <x:sheet xmlns:r="http://schemas.openxmlformats.org/officeDocument/2006/relationships" name="17-报表重分类" sheetId="18" r:id="Rd368ec6b31bd4a63"/>
    <x:sheet xmlns:r="http://schemas.openxmlformats.org/officeDocument/2006/relationships" name="18-未决事项与主管复核" sheetId="19" r:id="Rdcbe2565abe94e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#,##0.00;[Red](#,##0.00);-"/>
  </x:numFmts>
  <x:fonts count="5">
    <x:font>
      <x:sz val="11"/>
      <x:name val="Carlito"/>
    </x:font>
    <x:font>
      <x:b/>
      <x:sz val="16"/>
      <x:name val="Microsoft YaHei"/>
    </x:font>
    <x:font>
      <x:i/>
      <x:sz val="9"/>
      <x:color rgb="FF666666"/>
      <x:name val="Microsoft YaHei"/>
    </x:font>
    <x:font>
      <x:b/>
      <x:sz val="8"/>
      <x:color rgb="FFFFFFFF"/>
      <x:name val="Microsoft YaHei"/>
    </x:font>
    <x:font>
      <x:sz val="8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202" fontId="4" fillId="0" borderId="2" xfId="0" applyNumberFormat="1" applyFont="1" applyFill="1" applyBorder="1" applyAlignment="1">
      <x:alignment vertical="center" wrapText="1"/>
    </x:xf>
    <x:xf numFmtId="202" fontId="4" fillId="3" borderId="2" xfId="0" applyNumberFormat="1" applyFont="1" applyFill="1" applyBorder="1" applyAlignment="1">
      <x:alignment vertical="center" wrapText="1"/>
    </x:xf>
    <x:xf numFmtId="201" fontId="4" fillId="3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4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b3ad7c62041a6" /><Relationship Type="http://schemas.openxmlformats.org/officeDocument/2006/relationships/theme" Target="/xl/theme/theme1.xml" Id="Rd843ac0b6e4a4175" /><Relationship Type="http://schemas.openxmlformats.org/officeDocument/2006/relationships/sharedStrings" Target="/xl/sharedStrings.xml" Id="R4947a4c6ac4e40d4" /><Relationship Type="http://schemas.openxmlformats.org/officeDocument/2006/relationships/worksheet" Target="/xl/worksheets/sheet1.xml" Id="Rd44c13ab5faa4ecd" /><Relationship Type="http://schemas.openxmlformats.org/officeDocument/2006/relationships/worksheet" Target="/xl/worksheets/sheet2.xml" Id="Rf272494b98f349ff" /><Relationship Type="http://schemas.openxmlformats.org/officeDocument/2006/relationships/worksheet" Target="/xl/worksheets/sheet3.xml" Id="Ra57efcdfda9a4cdc" /><Relationship Type="http://schemas.openxmlformats.org/officeDocument/2006/relationships/worksheet" Target="/xl/worksheets/sheet4.xml" Id="Re88fa566ca444f52" /><Relationship Type="http://schemas.openxmlformats.org/officeDocument/2006/relationships/worksheet" Target="/xl/worksheets/sheet5.xml" Id="R51f3983e094c481f" /><Relationship Type="http://schemas.openxmlformats.org/officeDocument/2006/relationships/worksheet" Target="/xl/worksheets/sheet6.xml" Id="R60ea65d6d9954fab" /><Relationship Type="http://schemas.openxmlformats.org/officeDocument/2006/relationships/worksheet" Target="/xl/worksheets/sheet7.xml" Id="R079fecb6b9614657" /><Relationship Type="http://schemas.openxmlformats.org/officeDocument/2006/relationships/worksheet" Target="/xl/worksheets/sheet8.xml" Id="R1bf31e6bafc14de4" /><Relationship Type="http://schemas.openxmlformats.org/officeDocument/2006/relationships/worksheet" Target="/xl/worksheets/sheet9.xml" Id="R721fbcf4d96f41c1" /><Relationship Type="http://schemas.openxmlformats.org/officeDocument/2006/relationships/worksheet" Target="/xl/worksheets/sheet10.xml" Id="R267e57db5d004434" /><Relationship Type="http://schemas.openxmlformats.org/officeDocument/2006/relationships/worksheet" Target="/xl/worksheets/sheet11.xml" Id="R549cf4f1651e49d8" /><Relationship Type="http://schemas.openxmlformats.org/officeDocument/2006/relationships/worksheet" Target="/xl/worksheets/sheet12.xml" Id="R46d5823842ed4492" /><Relationship Type="http://schemas.openxmlformats.org/officeDocument/2006/relationships/worksheet" Target="/xl/worksheets/sheet13.xml" Id="R33986efc06614123" /><Relationship Type="http://schemas.openxmlformats.org/officeDocument/2006/relationships/worksheet" Target="/xl/worksheets/sheet14.xml" Id="R4638a221e250443f" /><Relationship Type="http://schemas.openxmlformats.org/officeDocument/2006/relationships/worksheet" Target="/xl/worksheets/sheet15.xml" Id="R87cebf83170f47c4" /><Relationship Type="http://schemas.openxmlformats.org/officeDocument/2006/relationships/worksheet" Target="/xl/worksheets/sheet16.xml" Id="Rb703a3963384454a" /><Relationship Type="http://schemas.openxmlformats.org/officeDocument/2006/relationships/worksheet" Target="/xl/worksheets/sheet17.xml" Id="Rb1f8b59dc6dc4cf3" /><Relationship Type="http://schemas.openxmlformats.org/officeDocument/2006/relationships/worksheet" Target="/xl/worksheets/sheet18.xml" Id="Rd368ec6b31bd4a63" /><Relationship Type="http://schemas.openxmlformats.org/officeDocument/2006/relationships/worksheet" Target="/xl/worksheets/sheet19.xml" Id="Rdcbe2565abe94e0d" /></Relationships>
</file>

<file path=xl/tables/table1.xml><?xml version="1.0" encoding="utf-8"?>
<x:table xmlns:x="http://schemas.openxmlformats.org/spreadsheetml/2006/main" id="1" name="CloseChecklist" displayName="CloseChecklist" ref="A5:K35" headerRowCount="1" totalsRowCount="0" totalsRowShown="0">
  <x:tableColumns count="11">
    <x:tableColumn id="1" name="编号"/>
    <x:tableColumn id="2" name="阶段"/>
    <x:tableColumn id="3" name="任务"/>
    <x:tableColumn id="4" name="责任人"/>
    <x:tableColumn id="5" name="截止日期"/>
    <x:tableColumn id="6" name="频率"/>
    <x:tableColumn id="7" name="完成证据"/>
    <x:tableColumn id="8" name="是否阻断"/>
    <x:tableColumn id="9" name="状态"/>
    <x:tableColumn id="10" name="异常说明"/>
    <x:tableColumn id="11" name="复核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nkRecon" displayName="BankRecon" ref="A5:K25" headerRowCount="1" totalsRowCount="0" totalsRowShown="0">
  <x:tableColumns count="11">
    <x:tableColumn id="1" name="账户编号"/>
    <x:tableColumn id="2" name="开户行"/>
    <x:tableColumn id="3" name="账号后四位"/>
    <x:tableColumn id="4" name="币种"/>
    <x:tableColumn id="5" name="账面余额"/>
    <x:tableColumn id="6" name="银行余额"/>
    <x:tableColumn id="7" name="未达调整净额"/>
    <x:tableColumn id="8" name="调节后差异"/>
    <x:tableColumn id="9" name="未达事项"/>
    <x:tableColumn id="10" name="责任人"/>
    <x:tableColumn id="11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Recon" displayName="ARRecon" ref="A5:J25" headerRowCount="1" totalsRowCount="0" totalsRowShown="0">
  <x:tableColumns count="10">
    <x:tableColumn id="1" name="对象编号"/>
    <x:tableColumn id="2" name="对象名称"/>
    <x:tableColumn id="3" name="子模块余额"/>
    <x:tableColumn id="4" name="总账余额"/>
    <x:tableColumn id="5" name="调整项目"/>
    <x:tableColumn id="6" name="差异"/>
    <x:tableColumn id="7" name="差异原因"/>
    <x:tableColumn id="8" name="处理方案"/>
    <x:tableColumn id="9" name="责任人"/>
    <x:tableColumn id="10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Recon" displayName="APRecon" ref="A5:J25" headerRowCount="1" totalsRowCount="0" totalsRowShown="0">
  <x:tableColumns count="10">
    <x:tableColumn id="1" name="对象编号"/>
    <x:tableColumn id="2" name="对象名称"/>
    <x:tableColumn id="3" name="子模块余额"/>
    <x:tableColumn id="4" name="总账余额"/>
    <x:tableColumn id="5" name="调整项目"/>
    <x:tableColumn id="6" name="差异"/>
    <x:tableColumn id="7" name="差异原因"/>
    <x:tableColumn id="8" name="处理方案"/>
    <x:tableColumn id="9" name="责任人"/>
    <x:tableColumn id="10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rualLog" displayName="AccrualLog" ref="A5:L45" headerRowCount="1" totalsRowCount="0" totalsRowShown="0">
  <x:tableColumns count="12">
    <x:tableColumn id="1" name="编号"/>
    <x:tableColumn id="2" name="供应商"/>
    <x:tableColumn id="3" name="业务/PO"/>
    <x:tableColumn id="4" name="收货/验收日"/>
    <x:tableColumn id="5" name="不含税暂估"/>
    <x:tableColumn id="6" name="已到票金额"/>
    <x:tableColumn id="7" name="未到票余额"/>
    <x:tableColumn id="8" name="账龄天数"/>
    <x:tableColumn id="9" name="价差"/>
    <x:tableColumn id="10" name="下步动作"/>
    <x:tableColumn id="11" name="责任人"/>
    <x:tableColumn id="12" name="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Timing" displayName="PRTiming" ref="A5:L35" headerRowCount="1" totalsRowCount="0" totalsRowShown="0">
  <x:tableColumns count="12">
    <x:tableColumn id="1" name="编号"/>
    <x:tableColumn id="2" name="事项"/>
    <x:tableColumn id="3" name="部门/供应商"/>
    <x:tableColumn id="4" name="开始日"/>
    <x:tableColumn id="5" name="结束日"/>
    <x:tableColumn id="6" name="总金额"/>
    <x:tableColumn id="7" name="以前确认"/>
    <x:tableColumn id="8" name="本月应确认"/>
    <x:tableColumn id="9" name="期末余额"/>
    <x:tableColumn id="10" name="科目"/>
    <x:tableColumn id="11" name="依据"/>
    <x:tableColumn id="12" name="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PTiming" displayName="PPTiming" ref="A5:L35" headerRowCount="1" totalsRowCount="0" totalsRowShown="0">
  <x:tableColumns count="12">
    <x:tableColumn id="1" name="编号"/>
    <x:tableColumn id="2" name="事项"/>
    <x:tableColumn id="3" name="部门/供应商"/>
    <x:tableColumn id="4" name="开始日"/>
    <x:tableColumn id="5" name="结束日"/>
    <x:tableColumn id="6" name="总金额"/>
    <x:tableColumn id="7" name="以前确认"/>
    <x:tableColumn id="8" name="本月应确认"/>
    <x:tableColumn id="9" name="期末余额"/>
    <x:tableColumn id="10" name="科目"/>
    <x:tableColumn id="11" name="依据"/>
    <x:tableColumn id="12" name="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ging" displayName="Aging" ref="A5:M55" headerRowCount="1" totalsRowCount="0" totalsRowShown="0">
  <x:tableColumns count="13">
    <x:tableColumn id="1" name="类型"/>
    <x:tableColumn id="2" name="对象"/>
    <x:tableColumn id="3" name="单据号"/>
    <x:tableColumn id="4" name="业务日期"/>
    <x:tableColumn id="5" name="到期日"/>
    <x:tableColumn id="6" name="余额"/>
    <x:tableColumn id="7" name="未到期"/>
    <x:tableColumn id="8" name="1-30天"/>
    <x:tableColumn id="9" name="31-60天"/>
    <x:tableColumn id="10" name="61-90天"/>
    <x:tableColumn id="11" name="90天以上"/>
    <x:tableColumn id="12" name="责任人"/>
    <x:tableColumn id="13" name="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TIssues" displayName="LTIssues" ref="A5:L45" headerRowCount="1" totalsRowCount="0" totalsRowShown="0">
  <x:tableColumns count="12">
    <x:tableColumn id="1" name="编号"/>
    <x:tableColumn id="2" name="对象/人员"/>
    <x:tableColumn id="3" name="事项"/>
    <x:tableColumn id="4" name="发生日"/>
    <x:tableColumn id="5" name="金额"/>
    <x:tableColumn id="6" name="账龄天数"/>
    <x:tableColumn id="7" name="原因"/>
    <x:tableColumn id="8" name="处理动作"/>
    <x:tableColumn id="9" name="期限"/>
    <x:tableColumn id="10" name="责任人"/>
    <x:tableColumn id="11" name="关闭证据"/>
    <x:tableColumn id="12" name="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AIssues" displayName="EAIssues" ref="A5:L45" headerRowCount="1" totalsRowCount="0" totalsRowShown="0">
  <x:tableColumns count="12">
    <x:tableColumn id="1" name="编号"/>
    <x:tableColumn id="2" name="对象/人员"/>
    <x:tableColumn id="3" name="事项"/>
    <x:tableColumn id="4" name="发生日"/>
    <x:tableColumn id="5" name="金额"/>
    <x:tableColumn id="6" name="账龄天数"/>
    <x:tableColumn id="7" name="原因"/>
    <x:tableColumn id="8" name="处理动作"/>
    <x:tableColumn id="9" name="期限"/>
    <x:tableColumn id="10" name="责任人"/>
    <x:tableColumn id="11" name="关闭证据"/>
    <x:tableColumn id="12" name="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PIssues" displayName="RPIssues" ref="A5:L45" headerRowCount="1" totalsRowCount="0" totalsRowShown="0">
  <x:tableColumns count="12">
    <x:tableColumn id="1" name="编号"/>
    <x:tableColumn id="2" name="对象/人员"/>
    <x:tableColumn id="3" name="事项"/>
    <x:tableColumn id="4" name="发生日"/>
    <x:tableColumn id="5" name="金额"/>
    <x:tableColumn id="6" name="账龄天数"/>
    <x:tableColumn id="7" name="原因"/>
    <x:tableColumn id="8" name="处理动作"/>
    <x:tableColumn id="9" name="期限"/>
    <x:tableColumn id="10" name="责任人"/>
    <x:tableColumn id="11" name="关闭证据"/>
    <x:tableColumn id="12" name="状态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CControl" displayName="ICControl" ref="A5:J13" headerRowCount="1" totalsRowCount="0" totalsRowShown="0">
  <x:tableColumns count="10">
    <x:tableColumn id="1" name="编号"/>
    <x:tableColumn id="2" name="检查项目"/>
    <x:tableColumn id="3" name="数据来源"/>
    <x:tableColumn id="4" name="业务/模块金额"/>
    <x:tableColumn id="5" name="总账金额"/>
    <x:tableColumn id="6" name="差异"/>
    <x:tableColumn id="7" name="差异解释"/>
    <x:tableColumn id="8" name="调整凭证"/>
    <x:tableColumn id="9" name="责任人"/>
    <x:tableColumn id="10" name="状态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AControl" displayName="FAControl" ref="A5:J12" headerRowCount="1" totalsRowCount="0" totalsRowShown="0">
  <x:tableColumns count="10">
    <x:tableColumn id="1" name="编号"/>
    <x:tableColumn id="2" name="检查项目"/>
    <x:tableColumn id="3" name="数据来源"/>
    <x:tableColumn id="4" name="业务/模块金额"/>
    <x:tableColumn id="5" name="总账金额"/>
    <x:tableColumn id="6" name="差异"/>
    <x:tableColumn id="7" name="差异解释"/>
    <x:tableColumn id="8" name="调整凭证"/>
    <x:tableColumn id="9" name="责任人"/>
    <x:tableColumn id="10" name="状态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YControl" displayName="PYControl" ref="A5:J12" headerRowCount="1" totalsRowCount="0" totalsRowShown="0">
  <x:tableColumns count="10">
    <x:tableColumn id="1" name="编号"/>
    <x:tableColumn id="2" name="检查项目"/>
    <x:tableColumn id="3" name="数据来源"/>
    <x:tableColumn id="4" name="业务/模块金额"/>
    <x:tableColumn id="5" name="总账金额"/>
    <x:tableColumn id="6" name="差异"/>
    <x:tableColumn id="7" name="差异解释"/>
    <x:tableColumn id="8" name="调整凭证"/>
    <x:tableColumn id="9" name="责任人"/>
    <x:tableColumn id="10" name="状态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XControl" displayName="TXControl" ref="A5:J13" headerRowCount="1" totalsRowCount="0" totalsRowShown="0">
  <x:tableColumns count="10">
    <x:tableColumn id="1" name="编号"/>
    <x:tableColumn id="2" name="检查项目"/>
    <x:tableColumn id="3" name="数据来源"/>
    <x:tableColumn id="4" name="业务/模块金额"/>
    <x:tableColumn id="5" name="总账金额"/>
    <x:tableColumn id="6" name="差异"/>
    <x:tableColumn id="7" name="差异解释"/>
    <x:tableColumn id="8" name="调整凭证"/>
    <x:tableColumn id="9" name="责任人"/>
    <x:tableColumn id="10" name="状态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Adjustments" displayName="Adjustments" ref="A5:L45" headerRowCount="1" totalsRowCount="0" totalsRowShown="0">
  <x:tableColumns count="12">
    <x:tableColumn id="1" name="编号"/>
    <x:tableColumn id="2" name="原因"/>
    <x:tableColumn id="3" name="借方科目"/>
    <x:tableColumn id="4" name="借方金额"/>
    <x:tableColumn id="5" name="贷方科目"/>
    <x:tableColumn id="6" name="贷方金额"/>
    <x:tableColumn id="7" name="凭证号"/>
    <x:tableColumn id="8" name="是否过账"/>
    <x:tableColumn id="9" name="税务影响"/>
    <x:tableColumn id="10" name="编制人"/>
    <x:tableColumn id="11" name="复核人"/>
    <x:tableColumn id="12" name="状态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eclasses" displayName="Reclasses" ref="A5:K35" headerRowCount="1" totalsRowCount="0" totalsRowShown="0">
  <x:tableColumns count="11">
    <x:tableColumn id="1" name="编号"/>
    <x:tableColumn id="2" name="事项"/>
    <x:tableColumn id="3" name="原列报项目"/>
    <x:tableColumn id="4" name="调整金额"/>
    <x:tableColumn id="5" name="调整后项目"/>
    <x:tableColumn id="6" name="报表"/>
    <x:tableColumn id="7" name="原因"/>
    <x:tableColumn id="8" name="是否影响账"/>
    <x:tableColumn id="9" name="编制人"/>
    <x:tableColumn id="10" name="复核人"/>
    <x:tableColumn id="11" name="状态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OpenItems" displayName="OpenItems" ref="A5:L45" headerRowCount="1" totalsRowCount="0" totalsRowShown="0">
  <x:tableColumns count="12">
    <x:tableColumn id="1" name="编号"/>
    <x:tableColumn id="2" name="事项"/>
    <x:tableColumn id="3" name="金额"/>
    <x:tableColumn id="4" name="报表影响"/>
    <x:tableColumn id="5" name="税务影响"/>
    <x:tableColumn id="6" name="是否阻断月结"/>
    <x:tableColumn id="7" name="处理方案"/>
    <x:tableColumn id="8" name="责任人"/>
    <x:tableColumn id="9" name="截止日期"/>
    <x:tableColumn id="10" name="主管结论"/>
    <x:tableColumn id="11" name="状态"/>
    <x:tableColumn id="12" name="关闭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86cbaed76942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1acae6d3ca45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00513493b347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24d3b41d8546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1047825a9b45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a069c5179245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f42232b4214e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bfde906c1a4da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b4e58e59e3849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4bda1375f984d8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92ecca5cbd847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cb70c1d80f145f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ac50d985cec4d9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baa23a12bc245c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b94b807e2744ad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6adc78d852e44c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9a1c428577ea4b5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6a3aa7d3df60438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46" hidden="0" customWidth="1"/>
  </x:cols>
  <x:sheetData>
    <x:row r="1" ht="30" customHeight="1">
      <x:c r="A1" s="1" t="str">
        <x:v>总账会计月结底稿模板包</x:v>
      </x:c>
    </x:row>
    <x:row r="2" ht="25" customHeight="1">
      <x:c r="A2" s="3" t="str">
        <x:v>黄色单元格为输入区；差异和逾期项目自动提示。金额单位由企业统一设定。版本日期：2026-09-10</x:v>
      </x:c>
    </x:row>
    <x:row r="5" ht="35" customHeight="1">
      <x:c r="A5" s="9" t="str">
        <x:v>指标</x:v>
      </x:c>
      <x:c r="B5" s="9" t="str">
        <x:v>当前值</x:v>
      </x:c>
      <x:c r="C5" s="9" t="str">
        <x:v>目标</x:v>
      </x:c>
      <x:c r="D5" s="9" t="str">
        <x:v>使用说明</x:v>
      </x:c>
    </x:row>
    <x:row r="6">
      <x:c r="A6" s="13" t="str">
        <x:v>月结任务数</x:v>
      </x:c>
      <x:c r="B6" s="13" t="n">
        <x:f>COUNTA('01-月结Checklist'!A6:A35)</x:f>
        <x:v>30</x:v>
      </x:c>
      <x:c r="C6" s="13" t="n">
        <x:v>30</x:v>
      </x:c>
      <x:c r="D6" s="13" t="str">
        <x:v>来源于月结Checklist</x:v>
      </x:c>
    </x:row>
    <x:row r="7">
      <x:c r="A7" s="13" t="str">
        <x:v>已完成</x:v>
      </x:c>
      <x:c r="B7" s="13" t="n">
        <x:f>COUNTIF('01-月结Checklist'!I6:I35,"已完成")</x:f>
        <x:v>0</x:v>
      </x:c>
      <x:c r="C7" s="13" t="n">
        <x:v>30</x:v>
      </x:c>
      <x:c r="D7" s="13" t="str">
        <x:v>状态选择已完成</x:v>
      </x:c>
    </x:row>
    <x:row r="8">
      <x:c r="A8" s="13" t="str">
        <x:v>逾期未完成</x:v>
      </x:c>
      <x:c r="B8" s="13" t="n">
        <x:f>COUNTIFS('01-月结Checklist'!I6:I35,"&lt;&gt;已完成",'01-月结Checklist'!E6:E35,"&lt;"&amp;TODAY())</x:f>
        <x:v>30</x:v>
      </x:c>
      <x:c r="C8" s="13" t="n">
        <x:v>0</x:v>
      </x:c>
      <x:c r="D8" s="13" t="str">
        <x:v>截止日早于今天且未完成</x:v>
      </x:c>
    </x:row>
    <x:row r="9">
      <x:c r="A9" s="13" t="str">
        <x:v>对账差异总额</x:v>
      </x:c>
      <x:c r="B9" s="13" t="n">
        <x:f>ABS('02-银行账户与余额调节'!H6)+ABS('02-银行账户与余额调节'!H7)+ABS('02-银行账户与余额调节'!H8)+ABS('02-银行账户与余额调节'!H9)+ABS('02-银行账户与余额调节'!H10)+ABS('02-银行账户与余额调节'!H11)+ABS('02-银行账户与余额调节'!H12)+ABS('02-银行账户与余额调节'!H13)+ABS('02-银行账户与余额调节'!H14)+ABS('02-银行账户与余额调节'!H15)+ABS('02-银行账户与余额调节'!H16)+ABS('02-银行账户与余额调节'!H17)+ABS('02-银行账户与余额调节'!H18)+ABS('02-银行账户与余额调节'!H19)+ABS('02-银行账户与余额调节'!H20)+ABS('02-银行账户与余额调节'!H21)+ABS('02-银行账户与余额调节'!H22)+ABS('02-银行账户与余额调节'!H23)+ABS('02-银行账户与余额调节'!H24)+ABS('02-银行账户与余额调节'!H25)+ABS('03-AR与GL核对'!F6)+ABS('03-AR与GL核对'!F7)+ABS('03-AR与GL核对'!F8)+ABS('03-AR与GL核对'!F9)+ABS('03-AR与GL核对'!F10)+ABS('03-AR与GL核对'!F11)+ABS('03-AR与GL核对'!F12)+ABS('03-AR与GL核对'!F13)+ABS('03-AR与GL核对'!F14)+ABS('03-AR与GL核对'!F15)+ABS('03-AR与GL核对'!F16)+ABS('03-AR与GL核对'!F17)+ABS('03-AR与GL核对'!F18)+ABS('03-AR与GL核对'!F19)+ABS('03-AR与GL核对'!F20)+ABS('03-AR与GL核对'!F21)+ABS('03-AR与GL核对'!F22)+ABS('03-AR与GL核对'!F23)+ABS('03-AR与GL核对'!F24)+ABS('03-AR与GL核对'!F25)+ABS('04-AP与GL核对'!F6)+ABS('04-AP与GL核对'!F7)+ABS('04-AP与GL核对'!F8)+ABS('04-AP与GL核对'!F9)+ABS('04-AP与GL核对'!F10)+ABS('04-AP与GL核对'!F11)+ABS('04-AP与GL核对'!F12)+ABS('04-AP与GL核对'!F13)+ABS('04-AP与GL核对'!F14)+ABS('04-AP与GL核对'!F15)+ABS('04-AP与GL核对'!F16)+ABS('04-AP与GL核对'!F17)+ABS('04-AP与GL核对'!F18)+ABS('04-AP与GL核对'!F19)+ABS('04-AP与GL核对'!F20)+ABS('04-AP与GL核对'!F21)+ABS('04-AP与GL核对'!F22)+ABS('04-AP与GL核对'!F23)+ABS('04-AP与GL核对'!F24)+ABS('04-AP与GL核对'!F25)</x:f>
        <x:v>0</x:v>
      </x:c>
      <x:c r="C9" s="13" t="n">
        <x:v>0</x:v>
      </x:c>
      <x:c r="D9" s="13" t="str">
        <x:v>银行、AR和AP示例差异绝对值</x:v>
      </x:c>
    </x:row>
    <x:row r="10">
      <x:c r="A10" s="13" t="str">
        <x:v>未决事项数</x:v>
      </x:c>
      <x:c r="B10" s="13" t="n">
        <x:f>COUNTIF('18-未决事项与主管复核'!K6:K45,"&lt;&gt;已关闭")</x:f>
        <x:v>40</x:v>
      </x:c>
      <x:c r="C10" s="13" t="n">
        <x:v>0</x:v>
      </x:c>
      <x:c r="D10" s="13" t="str">
        <x:v>未决事项状态未关闭</x:v>
      </x:c>
    </x:row>
    <x:row r="11">
      <x:c r="A11" s="13" t="str">
        <x:v>待主管复核</x:v>
      </x:c>
      <x:c r="B11" s="13" t="n">
        <x:f>COUNTIF('18-未决事项与主管复核'!K6:K45,"待复核")</x:f>
        <x:v>0</x:v>
      </x:c>
      <x:c r="C11" s="13" t="n">
        <x:v>0</x:v>
      </x:c>
      <x:c r="D11" s="13" t="str">
        <x:v>主管应查看证据和结论</x:v>
      </x:c>
    </x:row>
    <x:row r="12">
      <x:c r="A12" s="13" t="str">
        <x:v>月结完成率</x:v>
      </x:c>
      <x:c r="B12" s="14" t="n">
        <x:f>IF(B6=0,0,B7/B6)</x:f>
        <x:v>0</x:v>
      </x:c>
      <x:c r="C12" s="14" t="n">
        <x:v>1</x:v>
      </x:c>
      <x:c r="D12" s="13" t="str">
        <x:v>已完成/任务数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35" hidden="0" customWidth="1"/>
    <x:col min="4" max="4" width="13" hidden="0" customWidth="1"/>
    <x:col min="5" max="5" width="14" hidden="0" customWidth="1"/>
    <x:col min="6" max="6" width="10" hidden="0" customWidth="1"/>
    <x:col min="7" max="7" width="32" hidden="0" customWidth="1"/>
    <x:col min="8" max="8" width="12" hidden="0" customWidth="1"/>
    <x:col min="9" max="9" width="11" hidden="0" customWidth="1"/>
    <x:col min="10" max="10" width="30" hidden="0" customWidth="1"/>
    <x:col min="11" max="11" width="13" hidden="0" customWidth="1"/>
  </x:cols>
  <x:sheetData>
    <x:row r="1" ht="30" customHeight="1">
      <x:c r="A1" s="1" t="str">
        <x:v>月结Checklist</x:v>
      </x:c>
    </x:row>
    <x:row r="2" ht="25" customHeight="1">
      <x:c r="A2" s="3" t="str">
        <x:v>先定义截止和依赖，再按证据关闭任务。</x:v>
      </x:c>
    </x:row>
    <x:row r="5" ht="35" customHeight="1">
      <x:c r="A5" s="9" t="str">
        <x:v>编号</x:v>
      </x:c>
      <x:c r="B5" s="9" t="str">
        <x:v>阶段</x:v>
      </x:c>
      <x:c r="C5" s="9" t="str">
        <x:v>任务</x:v>
      </x:c>
      <x:c r="D5" s="9" t="str">
        <x:v>责任人</x:v>
      </x:c>
      <x:c r="E5" s="9" t="str">
        <x:v>截止日期</x:v>
      </x:c>
      <x:c r="F5" s="9" t="str">
        <x:v>频率</x:v>
      </x:c>
      <x:c r="G5" s="9" t="str">
        <x:v>完成证据</x:v>
      </x:c>
      <x:c r="H5" s="9" t="str">
        <x:v>是否阻断</x:v>
      </x:c>
      <x:c r="I5" s="9" t="str">
        <x:v>状态</x:v>
      </x:c>
      <x:c r="J5" s="9" t="str">
        <x:v>异常说明</x:v>
      </x:c>
      <x:c r="K5" s="9" t="str">
        <x:v>复核人</x:v>
      </x:c>
    </x:row>
    <x:row r="6">
      <x:c r="A6" s="13" t="str">
        <x:v>CL-01</x:v>
      </x:c>
      <x:c r="B6" s="13" t="str">
        <x:v>业务截止</x:v>
      </x:c>
      <x:c r="C6" s="13" t="str">
        <x:v>确认业务单据截止</x:v>
      </x:c>
      <x:c r="D6" s="13" t="str">
        <x:v>业务</x:v>
      </x:c>
      <x:c r="E6" s="15"/>
      <x:c r="F6" s="13" t="str">
        <x:v>月度</x:v>
      </x:c>
      <x:c r="G6" s="13" t="str">
        <x:v>系统报表/底稿/审批记录</x:v>
      </x:c>
      <x:c r="H6" s="13" t="str">
        <x:v>是</x:v>
      </x:c>
      <x:c r="I6" s="13" t="str">
        <x:v>未开始</x:v>
      </x:c>
      <x:c r="J6" s="13" t="str"/>
      <x:c r="K6" s="13" t="str"/>
    </x:row>
    <x:row r="7">
      <x:c r="A7" s="13" t="str">
        <x:v>CL-02</x:v>
      </x:c>
      <x:c r="B7" s="13" t="str">
        <x:v>接口检查</x:v>
      </x:c>
      <x:c r="C7" s="13" t="str">
        <x:v>检查接口批次</x:v>
      </x:c>
      <x:c r="D7" s="13" t="str">
        <x:v>IT</x:v>
      </x:c>
      <x:c r="E7" s="15"/>
      <x:c r="F7" s="13" t="str">
        <x:v>月度</x:v>
      </x:c>
      <x:c r="G7" s="13" t="str">
        <x:v>系统报表/底稿/审批记录</x:v>
      </x:c>
      <x:c r="H7" s="13" t="str">
        <x:v>是</x:v>
      </x:c>
      <x:c r="I7" s="13" t="str">
        <x:v>未开始</x:v>
      </x:c>
      <x:c r="J7" s="13" t="str"/>
      <x:c r="K7" s="13" t="str"/>
    </x:row>
    <x:row r="8">
      <x:c r="A8" s="13" t="str">
        <x:v>CL-03</x:v>
      </x:c>
      <x:c r="B8" s="13" t="str">
        <x:v>资金</x:v>
      </x:c>
      <x:c r="C8" s="13" t="str">
        <x:v>完成银行调节</x:v>
      </x:c>
      <x:c r="D8" s="13" t="str">
        <x:v>资金</x:v>
      </x:c>
      <x:c r="E8" s="15"/>
      <x:c r="F8" s="13" t="str">
        <x:v>月度</x:v>
      </x:c>
      <x:c r="G8" s="13" t="str">
        <x:v>系统报表/底稿/审批记录</x:v>
      </x:c>
      <x:c r="H8" s="13" t="str">
        <x:v>是</x:v>
      </x:c>
      <x:c r="I8" s="13" t="str">
        <x:v>未开始</x:v>
      </x:c>
      <x:c r="J8" s="13" t="str"/>
      <x:c r="K8" s="13" t="str"/>
    </x:row>
    <x:row r="9">
      <x:c r="A9" s="13" t="str">
        <x:v>CL-04</x:v>
      </x:c>
      <x:c r="B9" s="13" t="str">
        <x:v>AP</x:v>
      </x:c>
      <x:c r="C9" s="13" t="str">
        <x:v>核对应付和暂估</x:v>
      </x:c>
      <x:c r="D9" s="13" t="str">
        <x:v>AP</x:v>
      </x:c>
      <x:c r="E9" s="15"/>
      <x:c r="F9" s="13" t="str">
        <x:v>月度</x:v>
      </x:c>
      <x:c r="G9" s="13" t="str">
        <x:v>系统报表/底稿/审批记录</x:v>
      </x:c>
      <x:c r="H9" s="13" t="str">
        <x:v>是</x:v>
      </x:c>
      <x:c r="I9" s="13" t="str">
        <x:v>未开始</x:v>
      </x:c>
      <x:c r="J9" s="13" t="str"/>
      <x:c r="K9" s="13" t="str"/>
    </x:row>
    <x:row r="10">
      <x:c r="A10" s="13" t="str">
        <x:v>CL-05</x:v>
      </x:c>
      <x:c r="B10" s="13" t="str">
        <x:v>AR</x:v>
      </x:c>
      <x:c r="C10" s="13" t="str">
        <x:v>核对应收和收入</x:v>
      </x:c>
      <x:c r="D10" s="13" t="str">
        <x:v>AR</x:v>
      </x:c>
      <x:c r="E10" s="15"/>
      <x:c r="F10" s="13" t="str">
        <x:v>月度</x:v>
      </x:c>
      <x:c r="G10" s="13" t="str">
        <x:v>系统报表/底稿/审批记录</x:v>
      </x:c>
      <x:c r="H10" s="13" t="str">
        <x:v>是</x:v>
      </x:c>
      <x:c r="I10" s="13" t="str">
        <x:v>未开始</x:v>
      </x:c>
      <x:c r="J10" s="13" t="str"/>
      <x:c r="K10" s="13" t="str"/>
    </x:row>
    <x:row r="11">
      <x:c r="A11" s="13" t="str">
        <x:v>CL-06</x:v>
      </x:c>
      <x:c r="B11" s="13" t="str">
        <x:v>库存</x:v>
      </x:c>
      <x:c r="C11" s="13" t="str">
        <x:v>锁定库存并盘点</x:v>
      </x:c>
      <x:c r="D11" s="13" t="str">
        <x:v>仓库</x:v>
      </x:c>
      <x:c r="E11" s="15"/>
      <x:c r="F11" s="13" t="str">
        <x:v>月度</x:v>
      </x:c>
      <x:c r="G11" s="13" t="str">
        <x:v>系统报表/底稿/审批记录</x:v>
      </x:c>
      <x:c r="H11" s="13" t="str">
        <x:v>是</x:v>
      </x:c>
      <x:c r="I11" s="13" t="str">
        <x:v>未开始</x:v>
      </x:c>
      <x:c r="J11" s="13" t="str"/>
      <x:c r="K11" s="13" t="str"/>
    </x:row>
    <x:row r="12">
      <x:c r="A12" s="13" t="str">
        <x:v>CL-07</x:v>
      </x:c>
      <x:c r="B12" s="13" t="str">
        <x:v>成本</x:v>
      </x:c>
      <x:c r="C12" s="13" t="str">
        <x:v>运行成本并分析差异</x:v>
      </x:c>
      <x:c r="D12" s="13" t="str">
        <x:v>成本</x:v>
      </x:c>
      <x:c r="E12" s="15"/>
      <x:c r="F12" s="13" t="str">
        <x:v>月度</x:v>
      </x:c>
      <x:c r="G12" s="13" t="str">
        <x:v>系统报表/底稿/审批记录</x:v>
      </x:c>
      <x:c r="H12" s="13" t="str">
        <x:v>是</x:v>
      </x:c>
      <x:c r="I12" s="13" t="str">
        <x:v>未开始</x:v>
      </x:c>
      <x:c r="J12" s="13" t="str"/>
      <x:c r="K12" s="13" t="str"/>
    </x:row>
    <x:row r="13">
      <x:c r="A13" s="13" t="str">
        <x:v>CL-08</x:v>
      </x:c>
      <x:c r="B13" s="13" t="str">
        <x:v>固定资产</x:v>
      </x:c>
      <x:c r="C13" s="13" t="str">
        <x:v>运行折旧并核对卡片</x:v>
      </x:c>
      <x:c r="D13" s="13" t="str">
        <x:v>资产</x:v>
      </x:c>
      <x:c r="E13" s="15"/>
      <x:c r="F13" s="13" t="str">
        <x:v>月度</x:v>
      </x:c>
      <x:c r="G13" s="13" t="str">
        <x:v>系统报表/底稿/审批记录</x:v>
      </x:c>
      <x:c r="H13" s="13" t="str">
        <x:v>是</x:v>
      </x:c>
      <x:c r="I13" s="13" t="str">
        <x:v>未开始</x:v>
      </x:c>
      <x:c r="J13" s="13" t="str"/>
      <x:c r="K13" s="13" t="str"/>
    </x:row>
    <x:row r="14">
      <x:c r="A14" s="13" t="str">
        <x:v>CL-09</x:v>
      </x:c>
      <x:c r="B14" s="13" t="str">
        <x:v>薪酬</x:v>
      </x:c>
      <x:c r="C14" s="13" t="str">
        <x:v>工资接口及个税核对</x:v>
      </x:c>
      <x:c r="D14" s="13" t="str">
        <x:v>薪酬</x:v>
      </x:c>
      <x:c r="E14" s="15"/>
      <x:c r="F14" s="13" t="str">
        <x:v>月度</x:v>
      </x:c>
      <x:c r="G14" s="13" t="str">
        <x:v>系统报表/底稿/审批记录</x:v>
      </x:c>
      <x:c r="H14" s="13" t="str">
        <x:v>是</x:v>
      </x:c>
      <x:c r="I14" s="13" t="str">
        <x:v>未开始</x:v>
      </x:c>
      <x:c r="J14" s="13" t="str"/>
      <x:c r="K14" s="13" t="str"/>
    </x:row>
    <x:row r="15">
      <x:c r="A15" s="13" t="str">
        <x:v>CL-10</x:v>
      </x:c>
      <x:c r="B15" s="13" t="str">
        <x:v>税务</x:v>
      </x:c>
      <x:c r="C15" s="13" t="str">
        <x:v>账票税勾稽</x:v>
      </x:c>
      <x:c r="D15" s="13" t="str">
        <x:v>税务</x:v>
      </x:c>
      <x:c r="E15" s="15"/>
      <x:c r="F15" s="13" t="str">
        <x:v>月度</x:v>
      </x:c>
      <x:c r="G15" s="13" t="str">
        <x:v>系统报表/底稿/审批记录</x:v>
      </x:c>
      <x:c r="H15" s="13" t="str">
        <x:v>是</x:v>
      </x:c>
      <x:c r="I15" s="13" t="str">
        <x:v>未开始</x:v>
      </x:c>
      <x:c r="J15" s="13" t="str"/>
      <x:c r="K15" s="13" t="str"/>
    </x:row>
    <x:row r="16">
      <x:c r="A16" s="13" t="str">
        <x:v>CL-11</x:v>
      </x:c>
      <x:c r="B16" s="13" t="str">
        <x:v>GL</x:v>
      </x:c>
      <x:c r="C16" s="13" t="str">
        <x:v>调整分录及损益结转</x:v>
      </x:c>
      <x:c r="D16" s="13" t="str">
        <x:v>总账</x:v>
      </x:c>
      <x:c r="E16" s="15"/>
      <x:c r="F16" s="13" t="str">
        <x:v>月度</x:v>
      </x:c>
      <x:c r="G16" s="13" t="str">
        <x:v>系统报表/底稿/审批记录</x:v>
      </x:c>
      <x:c r="H16" s="13" t="str">
        <x:v>是</x:v>
      </x:c>
      <x:c r="I16" s="13" t="str">
        <x:v>未开始</x:v>
      </x:c>
      <x:c r="J16" s="13" t="str"/>
      <x:c r="K16" s="13" t="str"/>
    </x:row>
    <x:row r="17">
      <x:c r="A17" s="13" t="str">
        <x:v>CL-12</x:v>
      </x:c>
      <x:c r="B17" s="13" t="str">
        <x:v>报表</x:v>
      </x:c>
      <x:c r="C17" s="13" t="str">
        <x:v>报表勾稽和版本锁定</x:v>
      </x:c>
      <x:c r="D17" s="13" t="str">
        <x:v>财务主管</x:v>
      </x:c>
      <x:c r="E17" s="15"/>
      <x:c r="F17" s="13" t="str">
        <x:v>月度</x:v>
      </x:c>
      <x:c r="G17" s="13" t="str">
        <x:v>系统报表/底稿/审批记录</x:v>
      </x:c>
      <x:c r="H17" s="13" t="str">
        <x:v>是</x:v>
      </x:c>
      <x:c r="I17" s="13" t="str">
        <x:v>未开始</x:v>
      </x:c>
      <x:c r="J17" s="13" t="str"/>
      <x:c r="K17" s="13" t="str"/>
    </x:row>
    <x:row r="18">
      <x:c r="A18" s="13" t="str">
        <x:v>CL-13</x:v>
      </x:c>
      <x:c r="B18" s="13" t="str">
        <x:v>业务截止</x:v>
      </x:c>
      <x:c r="C18" s="13" t="str">
        <x:v>确认业务单据截止</x:v>
      </x:c>
      <x:c r="D18" s="13" t="str">
        <x:v>业务</x:v>
      </x:c>
      <x:c r="E18" s="15"/>
      <x:c r="F18" s="13" t="str">
        <x:v>月度</x:v>
      </x:c>
      <x:c r="G18" s="13" t="str">
        <x:v>系统报表/底稿/审批记录</x:v>
      </x:c>
      <x:c r="H18" s="13" t="str">
        <x:v>是</x:v>
      </x:c>
      <x:c r="I18" s="13" t="str">
        <x:v>未开始</x:v>
      </x:c>
      <x:c r="J18" s="13" t="str"/>
      <x:c r="K18" s="13" t="str"/>
    </x:row>
    <x:row r="19">
      <x:c r="A19" s="13" t="str">
        <x:v>CL-14</x:v>
      </x:c>
      <x:c r="B19" s="13" t="str">
        <x:v>接口检查</x:v>
      </x:c>
      <x:c r="C19" s="13" t="str">
        <x:v>检查接口批次</x:v>
      </x:c>
      <x:c r="D19" s="13" t="str">
        <x:v>IT</x:v>
      </x:c>
      <x:c r="E19" s="15"/>
      <x:c r="F19" s="13" t="str">
        <x:v>月度</x:v>
      </x:c>
      <x:c r="G19" s="13" t="str">
        <x:v>系统报表/底稿/审批记录</x:v>
      </x:c>
      <x:c r="H19" s="13" t="str">
        <x:v>是</x:v>
      </x:c>
      <x:c r="I19" s="13" t="str">
        <x:v>未开始</x:v>
      </x:c>
      <x:c r="J19" s="13" t="str"/>
      <x:c r="K19" s="13" t="str"/>
    </x:row>
    <x:row r="20">
      <x:c r="A20" s="13" t="str">
        <x:v>CL-15</x:v>
      </x:c>
      <x:c r="B20" s="13" t="str">
        <x:v>资金</x:v>
      </x:c>
      <x:c r="C20" s="13" t="str">
        <x:v>完成银行调节</x:v>
      </x:c>
      <x:c r="D20" s="13" t="str">
        <x:v>资金</x:v>
      </x:c>
      <x:c r="E20" s="15"/>
      <x:c r="F20" s="13" t="str">
        <x:v>月度</x:v>
      </x:c>
      <x:c r="G20" s="13" t="str">
        <x:v>系统报表/底稿/审批记录</x:v>
      </x:c>
      <x:c r="H20" s="13" t="str">
        <x:v>是</x:v>
      </x:c>
      <x:c r="I20" s="13" t="str">
        <x:v>未开始</x:v>
      </x:c>
      <x:c r="J20" s="13" t="str"/>
      <x:c r="K20" s="13" t="str"/>
    </x:row>
    <x:row r="21">
      <x:c r="A21" s="13" t="str">
        <x:v>CL-16</x:v>
      </x:c>
      <x:c r="B21" s="13" t="str">
        <x:v>AP</x:v>
      </x:c>
      <x:c r="C21" s="13" t="str">
        <x:v>核对应付和暂估</x:v>
      </x:c>
      <x:c r="D21" s="13" t="str">
        <x:v>AP</x:v>
      </x:c>
      <x:c r="E21" s="15"/>
      <x:c r="F21" s="13" t="str">
        <x:v>月度</x:v>
      </x:c>
      <x:c r="G21" s="13" t="str">
        <x:v>系统报表/底稿/审批记录</x:v>
      </x:c>
      <x:c r="H21" s="13" t="str">
        <x:v>是</x:v>
      </x:c>
      <x:c r="I21" s="13" t="str">
        <x:v>未开始</x:v>
      </x:c>
      <x:c r="J21" s="13" t="str"/>
      <x:c r="K21" s="13" t="str"/>
    </x:row>
    <x:row r="22">
      <x:c r="A22" s="13" t="str">
        <x:v>CL-17</x:v>
      </x:c>
      <x:c r="B22" s="13" t="str">
        <x:v>AR</x:v>
      </x:c>
      <x:c r="C22" s="13" t="str">
        <x:v>核对应收和收入</x:v>
      </x:c>
      <x:c r="D22" s="13" t="str">
        <x:v>AR</x:v>
      </x:c>
      <x:c r="E22" s="15"/>
      <x:c r="F22" s="13" t="str">
        <x:v>月度</x:v>
      </x:c>
      <x:c r="G22" s="13" t="str">
        <x:v>系统报表/底稿/审批记录</x:v>
      </x:c>
      <x:c r="H22" s="13" t="str">
        <x:v>是</x:v>
      </x:c>
      <x:c r="I22" s="13" t="str">
        <x:v>未开始</x:v>
      </x:c>
      <x:c r="J22" s="13" t="str"/>
      <x:c r="K22" s="13" t="str"/>
    </x:row>
    <x:row r="23">
      <x:c r="A23" s="13" t="str">
        <x:v>CL-18</x:v>
      </x:c>
      <x:c r="B23" s="13" t="str">
        <x:v>库存</x:v>
      </x:c>
      <x:c r="C23" s="13" t="str">
        <x:v>锁定库存并盘点</x:v>
      </x:c>
      <x:c r="D23" s="13" t="str">
        <x:v>仓库</x:v>
      </x:c>
      <x:c r="E23" s="15"/>
      <x:c r="F23" s="13" t="str">
        <x:v>月度</x:v>
      </x:c>
      <x:c r="G23" s="13" t="str">
        <x:v>系统报表/底稿/审批记录</x:v>
      </x:c>
      <x:c r="H23" s="13" t="str">
        <x:v>是</x:v>
      </x:c>
      <x:c r="I23" s="13" t="str">
        <x:v>未开始</x:v>
      </x:c>
      <x:c r="J23" s="13" t="str"/>
      <x:c r="K23" s="13" t="str"/>
    </x:row>
    <x:row r="24">
      <x:c r="A24" s="13" t="str">
        <x:v>CL-19</x:v>
      </x:c>
      <x:c r="B24" s="13" t="str">
        <x:v>成本</x:v>
      </x:c>
      <x:c r="C24" s="13" t="str">
        <x:v>运行成本并分析差异</x:v>
      </x:c>
      <x:c r="D24" s="13" t="str">
        <x:v>成本</x:v>
      </x:c>
      <x:c r="E24" s="15"/>
      <x:c r="F24" s="13" t="str">
        <x:v>月度</x:v>
      </x:c>
      <x:c r="G24" s="13" t="str">
        <x:v>系统报表/底稿/审批记录</x:v>
      </x:c>
      <x:c r="H24" s="13" t="str">
        <x:v>是</x:v>
      </x:c>
      <x:c r="I24" s="13" t="str">
        <x:v>未开始</x:v>
      </x:c>
      <x:c r="J24" s="13" t="str"/>
      <x:c r="K24" s="13" t="str"/>
    </x:row>
    <x:row r="25">
      <x:c r="A25" s="13" t="str">
        <x:v>CL-20</x:v>
      </x:c>
      <x:c r="B25" s="13" t="str">
        <x:v>固定资产</x:v>
      </x:c>
      <x:c r="C25" s="13" t="str">
        <x:v>运行折旧并核对卡片</x:v>
      </x:c>
      <x:c r="D25" s="13" t="str">
        <x:v>资产</x:v>
      </x:c>
      <x:c r="E25" s="15"/>
      <x:c r="F25" s="13" t="str">
        <x:v>月度</x:v>
      </x:c>
      <x:c r="G25" s="13" t="str">
        <x:v>系统报表/底稿/审批记录</x:v>
      </x:c>
      <x:c r="H25" s="13" t="str">
        <x:v>是</x:v>
      </x:c>
      <x:c r="I25" s="13" t="str">
        <x:v>未开始</x:v>
      </x:c>
      <x:c r="J25" s="13" t="str"/>
      <x:c r="K25" s="13" t="str"/>
    </x:row>
    <x:row r="26">
      <x:c r="A26" s="13" t="str">
        <x:v>CL-21</x:v>
      </x:c>
      <x:c r="B26" s="13" t="str">
        <x:v>薪酬</x:v>
      </x:c>
      <x:c r="C26" s="13" t="str">
        <x:v>工资接口及个税核对</x:v>
      </x:c>
      <x:c r="D26" s="13" t="str">
        <x:v>薪酬</x:v>
      </x:c>
      <x:c r="E26" s="15"/>
      <x:c r="F26" s="13" t="str">
        <x:v>月度</x:v>
      </x:c>
      <x:c r="G26" s="13" t="str">
        <x:v>系统报表/底稿/审批记录</x:v>
      </x:c>
      <x:c r="H26" s="13" t="str">
        <x:v>是</x:v>
      </x:c>
      <x:c r="I26" s="13" t="str">
        <x:v>未开始</x:v>
      </x:c>
      <x:c r="J26" s="13" t="str"/>
      <x:c r="K26" s="13" t="str"/>
    </x:row>
    <x:row r="27">
      <x:c r="A27" s="13" t="str">
        <x:v>CL-22</x:v>
      </x:c>
      <x:c r="B27" s="13" t="str">
        <x:v>税务</x:v>
      </x:c>
      <x:c r="C27" s="13" t="str">
        <x:v>账票税勾稽</x:v>
      </x:c>
      <x:c r="D27" s="13" t="str">
        <x:v>税务</x:v>
      </x:c>
      <x:c r="E27" s="15"/>
      <x:c r="F27" s="13" t="str">
        <x:v>月度</x:v>
      </x:c>
      <x:c r="G27" s="13" t="str">
        <x:v>系统报表/底稿/审批记录</x:v>
      </x:c>
      <x:c r="H27" s="13" t="str">
        <x:v>是</x:v>
      </x:c>
      <x:c r="I27" s="13" t="str">
        <x:v>未开始</x:v>
      </x:c>
      <x:c r="J27" s="13" t="str"/>
      <x:c r="K27" s="13" t="str"/>
    </x:row>
    <x:row r="28">
      <x:c r="A28" s="13" t="str">
        <x:v>CL-23</x:v>
      </x:c>
      <x:c r="B28" s="13" t="str">
        <x:v>GL</x:v>
      </x:c>
      <x:c r="C28" s="13" t="str">
        <x:v>调整分录及损益结转</x:v>
      </x:c>
      <x:c r="D28" s="13" t="str">
        <x:v>总账</x:v>
      </x:c>
      <x:c r="E28" s="15"/>
      <x:c r="F28" s="13" t="str">
        <x:v>月度</x:v>
      </x:c>
      <x:c r="G28" s="13" t="str">
        <x:v>系统报表/底稿/审批记录</x:v>
      </x:c>
      <x:c r="H28" s="13" t="str">
        <x:v>是</x:v>
      </x:c>
      <x:c r="I28" s="13" t="str">
        <x:v>未开始</x:v>
      </x:c>
      <x:c r="J28" s="13" t="str"/>
      <x:c r="K28" s="13" t="str"/>
    </x:row>
    <x:row r="29">
      <x:c r="A29" s="13" t="str">
        <x:v>CL-24</x:v>
      </x:c>
      <x:c r="B29" s="13" t="str">
        <x:v>报表</x:v>
      </x:c>
      <x:c r="C29" s="13" t="str">
        <x:v>报表勾稽和版本锁定</x:v>
      </x:c>
      <x:c r="D29" s="13" t="str">
        <x:v>财务主管</x:v>
      </x:c>
      <x:c r="E29" s="15"/>
      <x:c r="F29" s="13" t="str">
        <x:v>月度</x:v>
      </x:c>
      <x:c r="G29" s="13" t="str">
        <x:v>系统报表/底稿/审批记录</x:v>
      </x:c>
      <x:c r="H29" s="13" t="str">
        <x:v>是</x:v>
      </x:c>
      <x:c r="I29" s="13" t="str">
        <x:v>未开始</x:v>
      </x:c>
      <x:c r="J29" s="13" t="str"/>
      <x:c r="K29" s="13" t="str"/>
    </x:row>
    <x:row r="30">
      <x:c r="A30" s="13" t="str">
        <x:v>CL-25</x:v>
      </x:c>
      <x:c r="B30" s="13" t="str">
        <x:v>业务截止</x:v>
      </x:c>
      <x:c r="C30" s="13" t="str">
        <x:v>确认业务单据截止</x:v>
      </x:c>
      <x:c r="D30" s="13" t="str">
        <x:v>业务</x:v>
      </x:c>
      <x:c r="E30" s="15"/>
      <x:c r="F30" s="13" t="str">
        <x:v>月度</x:v>
      </x:c>
      <x:c r="G30" s="13" t="str">
        <x:v>系统报表/底稿/审批记录</x:v>
      </x:c>
      <x:c r="H30" s="13" t="str">
        <x:v>是</x:v>
      </x:c>
      <x:c r="I30" s="13" t="str">
        <x:v>未开始</x:v>
      </x:c>
      <x:c r="J30" s="13" t="str"/>
      <x:c r="K30" s="13" t="str"/>
    </x:row>
    <x:row r="31">
      <x:c r="A31" s="13" t="str">
        <x:v>CL-26</x:v>
      </x:c>
      <x:c r="B31" s="13" t="str">
        <x:v>接口检查</x:v>
      </x:c>
      <x:c r="C31" s="13" t="str">
        <x:v>检查接口批次</x:v>
      </x:c>
      <x:c r="D31" s="13" t="str">
        <x:v>IT</x:v>
      </x:c>
      <x:c r="E31" s="15"/>
      <x:c r="F31" s="13" t="str">
        <x:v>月度</x:v>
      </x:c>
      <x:c r="G31" s="13" t="str">
        <x:v>系统报表/底稿/审批记录</x:v>
      </x:c>
      <x:c r="H31" s="13" t="str">
        <x:v>是</x:v>
      </x:c>
      <x:c r="I31" s="13" t="str">
        <x:v>未开始</x:v>
      </x:c>
      <x:c r="J31" s="13" t="str"/>
      <x:c r="K31" s="13" t="str"/>
    </x:row>
    <x:row r="32">
      <x:c r="A32" s="13" t="str">
        <x:v>CL-27</x:v>
      </x:c>
      <x:c r="B32" s="13" t="str">
        <x:v>资金</x:v>
      </x:c>
      <x:c r="C32" s="13" t="str">
        <x:v>完成银行调节</x:v>
      </x:c>
      <x:c r="D32" s="13" t="str">
        <x:v>资金</x:v>
      </x:c>
      <x:c r="E32" s="15"/>
      <x:c r="F32" s="13" t="str">
        <x:v>月度</x:v>
      </x:c>
      <x:c r="G32" s="13" t="str">
        <x:v>系统报表/底稿/审批记录</x:v>
      </x:c>
      <x:c r="H32" s="13" t="str">
        <x:v>是</x:v>
      </x:c>
      <x:c r="I32" s="13" t="str">
        <x:v>未开始</x:v>
      </x:c>
      <x:c r="J32" s="13" t="str"/>
      <x:c r="K32" s="13" t="str"/>
    </x:row>
    <x:row r="33">
      <x:c r="A33" s="13" t="str">
        <x:v>CL-28</x:v>
      </x:c>
      <x:c r="B33" s="13" t="str">
        <x:v>AP</x:v>
      </x:c>
      <x:c r="C33" s="13" t="str">
        <x:v>核对应付和暂估</x:v>
      </x:c>
      <x:c r="D33" s="13" t="str">
        <x:v>AP</x:v>
      </x:c>
      <x:c r="E33" s="15"/>
      <x:c r="F33" s="13" t="str">
        <x:v>月度</x:v>
      </x:c>
      <x:c r="G33" s="13" t="str">
        <x:v>系统报表/底稿/审批记录</x:v>
      </x:c>
      <x:c r="H33" s="13" t="str">
        <x:v>是</x:v>
      </x:c>
      <x:c r="I33" s="13" t="str">
        <x:v>未开始</x:v>
      </x:c>
      <x:c r="J33" s="13" t="str"/>
      <x:c r="K33" s="13" t="str"/>
    </x:row>
    <x:row r="34">
      <x:c r="A34" s="13" t="str">
        <x:v>CL-29</x:v>
      </x:c>
      <x:c r="B34" s="13" t="str">
        <x:v>AR</x:v>
      </x:c>
      <x:c r="C34" s="13" t="str">
        <x:v>核对应收和收入</x:v>
      </x:c>
      <x:c r="D34" s="13" t="str">
        <x:v>AR</x:v>
      </x:c>
      <x:c r="E34" s="15"/>
      <x:c r="F34" s="13" t="str">
        <x:v>月度</x:v>
      </x:c>
      <x:c r="G34" s="13" t="str">
        <x:v>系统报表/底稿/审批记录</x:v>
      </x:c>
      <x:c r="H34" s="13" t="str">
        <x:v>是</x:v>
      </x:c>
      <x:c r="I34" s="13" t="str">
        <x:v>未开始</x:v>
      </x:c>
      <x:c r="J34" s="13" t="str"/>
      <x:c r="K34" s="13" t="str"/>
    </x:row>
    <x:row r="35">
      <x:c r="A35" s="13" t="str">
        <x:v>CL-30</x:v>
      </x:c>
      <x:c r="B35" s="13" t="str">
        <x:v>库存</x:v>
      </x:c>
      <x:c r="C35" s="13" t="str">
        <x:v>锁定库存并盘点</x:v>
      </x:c>
      <x:c r="D35" s="13" t="str">
        <x:v>仓库</x:v>
      </x:c>
      <x:c r="E35" s="15"/>
      <x:c r="F35" s="13" t="str">
        <x:v>月度</x:v>
      </x:c>
      <x:c r="G35" s="13" t="str">
        <x:v>系统报表/底稿/审批记录</x:v>
      </x:c>
      <x:c r="H35" s="13" t="str">
        <x:v>是</x:v>
      </x:c>
      <x:c r="I35" s="13" t="str">
        <x:v>未开始</x:v>
      </x:c>
      <x:c r="J35" s="13" t="str"/>
      <x:c r="K35" s="13" t="str"/>
    </x:row>
  </x:sheetData>
  <x:mergeCells>
    <x:mergeCell ref="A1:K1"/>
    <x:mergeCell ref="A2:K2"/>
  </x:mergeCells>
  <x:conditionalFormatting sqref="I6:I35">
    <x:cfRule type="containsText" dxfId="0" priority="1" operator="containsText" text="已完成"/>
    <x:cfRule type="containsText" dxfId="1" priority="2" operator="containsText" text="未开始"/>
    <x:cfRule type="containsText" dxfId="2" priority="3" operator="containsText" text="异常"/>
  </x:conditionalFormatting>
  <x:dataValidations count="1">
    <x:dataValidation type="list" sqref="I6:I3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86cbaed769428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9" hidden="0" customWidth="1"/>
    <x:col min="5" max="5" width="15" hidden="0" customWidth="1"/>
    <x:col min="6" max="6" width="15" hidden="0" customWidth="1"/>
    <x:col min="7" max="7" width="16" hidden="0" customWidth="1"/>
    <x:col min="8" max="8" width="15" hidden="0" customWidth="1"/>
    <x:col min="9" max="9" width="32" hidden="0" customWidth="1"/>
    <x:col min="10" max="10" width="13" hidden="0" customWidth="1"/>
    <x:col min="11" max="11" width="11" hidden="0" customWidth="1"/>
  </x:cols>
  <x:sheetData>
    <x:row r="1" ht="30" customHeight="1">
      <x:c r="A1" s="1" t="str">
        <x:v>银行余额调节表</x:v>
      </x:c>
    </x:row>
    <x:row r="2" ht="25" customHeight="1">
      <x:c r="A2" s="3" t="str">
        <x:v>账面余额与银行对账单余额通过未达项调节至一致。</x:v>
      </x:c>
    </x:row>
    <x:row r="5" ht="35" customHeight="1">
      <x:c r="A5" s="9" t="str">
        <x:v>账户编号</x:v>
      </x:c>
      <x:c r="B5" s="9" t="str">
        <x:v>开户行</x:v>
      </x:c>
      <x:c r="C5" s="9" t="str">
        <x:v>账号后四位</x:v>
      </x:c>
      <x:c r="D5" s="9" t="str">
        <x:v>币种</x:v>
      </x:c>
      <x:c r="E5" s="9" t="str">
        <x:v>账面余额</x:v>
      </x:c>
      <x:c r="F5" s="9" t="str">
        <x:v>银行余额</x:v>
      </x:c>
      <x:c r="G5" s="9" t="str">
        <x:v>未达调整净额</x:v>
      </x:c>
      <x:c r="H5" s="9" t="str">
        <x:v>调节后差异</x:v>
      </x:c>
      <x:c r="I5" s="9" t="str">
        <x:v>未达事项</x:v>
      </x:c>
      <x:c r="J5" s="9" t="str">
        <x:v>责任人</x:v>
      </x:c>
      <x:c r="K5" s="9" t="str">
        <x:v>状态</x:v>
      </x:c>
    </x:row>
    <x:row r="6">
      <x:c r="A6" s="13" t="str">
        <x:v>BA-01</x:v>
      </x:c>
      <x:c r="B6" s="13" t="str"/>
      <x:c r="C6" s="13" t="str"/>
      <x:c r="D6" s="13" t="str">
        <x:v>CNY</x:v>
      </x:c>
      <x:c r="E6" s="17" t="n">
        <x:v>0</x:v>
      </x:c>
      <x:c r="F6" s="17" t="n">
        <x:v>0</x:v>
      </x:c>
      <x:c r="G6" s="17" t="n">
        <x:v>0</x:v>
      </x:c>
      <x:c r="H6" s="16" t="n">
        <x:f>E6+G6-F6</x:f>
        <x:v>0</x:v>
      </x:c>
      <x:c r="I6" s="13" t="str"/>
      <x:c r="J6" s="13" t="str"/>
      <x:c r="K6" s="13" t="str">
        <x:v>未开始</x:v>
      </x:c>
    </x:row>
    <x:row r="7">
      <x:c r="A7" s="13" t="str">
        <x:v>BA-02</x:v>
      </x:c>
      <x:c r="B7" s="13" t="str"/>
      <x:c r="C7" s="13" t="str"/>
      <x:c r="D7" s="13" t="str">
        <x:v>CNY</x:v>
      </x:c>
      <x:c r="E7" s="17" t="n">
        <x:v>0</x:v>
      </x:c>
      <x:c r="F7" s="17" t="n">
        <x:v>0</x:v>
      </x:c>
      <x:c r="G7" s="17" t="n">
        <x:v>0</x:v>
      </x:c>
      <x:c r="H7" s="16" t="n">
        <x:f>E7+G7-F7</x:f>
        <x:v>0</x:v>
      </x:c>
      <x:c r="I7" s="13" t="str"/>
      <x:c r="J7" s="13" t="str"/>
      <x:c r="K7" s="13" t="str">
        <x:v>未开始</x:v>
      </x:c>
    </x:row>
    <x:row r="8">
      <x:c r="A8" s="13" t="str">
        <x:v>BA-03</x:v>
      </x:c>
      <x:c r="B8" s="13" t="str"/>
      <x:c r="C8" s="13" t="str"/>
      <x:c r="D8" s="13" t="str">
        <x:v>CNY</x:v>
      </x:c>
      <x:c r="E8" s="17" t="n">
        <x:v>0</x:v>
      </x:c>
      <x:c r="F8" s="17" t="n">
        <x:v>0</x:v>
      </x:c>
      <x:c r="G8" s="17" t="n">
        <x:v>0</x:v>
      </x:c>
      <x:c r="H8" s="16" t="n">
        <x:f>E8+G8-F8</x:f>
        <x:v>0</x:v>
      </x:c>
      <x:c r="I8" s="13" t="str"/>
      <x:c r="J8" s="13" t="str"/>
      <x:c r="K8" s="13" t="str">
        <x:v>未开始</x:v>
      </x:c>
    </x:row>
    <x:row r="9">
      <x:c r="A9" s="13" t="str">
        <x:v>BA-04</x:v>
      </x:c>
      <x:c r="B9" s="13" t="str"/>
      <x:c r="C9" s="13" t="str"/>
      <x:c r="D9" s="13" t="str">
        <x:v>CNY</x:v>
      </x:c>
      <x:c r="E9" s="17" t="n">
        <x:v>0</x:v>
      </x:c>
      <x:c r="F9" s="17" t="n">
        <x:v>0</x:v>
      </x:c>
      <x:c r="G9" s="17" t="n">
        <x:v>0</x:v>
      </x:c>
      <x:c r="H9" s="16" t="n">
        <x:f>E9+G9-F9</x:f>
        <x:v>0</x:v>
      </x:c>
      <x:c r="I9" s="13" t="str"/>
      <x:c r="J9" s="13" t="str"/>
      <x:c r="K9" s="13" t="str">
        <x:v>未开始</x:v>
      </x:c>
    </x:row>
    <x:row r="10">
      <x:c r="A10" s="13" t="str">
        <x:v>BA-05</x:v>
      </x:c>
      <x:c r="B10" s="13" t="str"/>
      <x:c r="C10" s="13" t="str"/>
      <x:c r="D10" s="13" t="str">
        <x:v>CNY</x:v>
      </x:c>
      <x:c r="E10" s="17" t="n">
        <x:v>0</x:v>
      </x:c>
      <x:c r="F10" s="17" t="n">
        <x:v>0</x:v>
      </x:c>
      <x:c r="G10" s="17" t="n">
        <x:v>0</x:v>
      </x:c>
      <x:c r="H10" s="16" t="n">
        <x:f>E10+G10-F10</x:f>
        <x:v>0</x:v>
      </x:c>
      <x:c r="I10" s="13" t="str"/>
      <x:c r="J10" s="13" t="str"/>
      <x:c r="K10" s="13" t="str">
        <x:v>未开始</x:v>
      </x:c>
    </x:row>
    <x:row r="11">
      <x:c r="A11" s="13" t="str">
        <x:v>BA-06</x:v>
      </x:c>
      <x:c r="B11" s="13" t="str"/>
      <x:c r="C11" s="13" t="str"/>
      <x:c r="D11" s="13" t="str">
        <x:v>CNY</x:v>
      </x:c>
      <x:c r="E11" s="17" t="n">
        <x:v>0</x:v>
      </x:c>
      <x:c r="F11" s="17" t="n">
        <x:v>0</x:v>
      </x:c>
      <x:c r="G11" s="17" t="n">
        <x:v>0</x:v>
      </x:c>
      <x:c r="H11" s="16" t="n">
        <x:f>E11+G11-F11</x:f>
        <x:v>0</x:v>
      </x:c>
      <x:c r="I11" s="13" t="str"/>
      <x:c r="J11" s="13" t="str"/>
      <x:c r="K11" s="13" t="str">
        <x:v>未开始</x:v>
      </x:c>
    </x:row>
    <x:row r="12">
      <x:c r="A12" s="13" t="str">
        <x:v>BA-07</x:v>
      </x:c>
      <x:c r="B12" s="13" t="str"/>
      <x:c r="C12" s="13" t="str"/>
      <x:c r="D12" s="13" t="str">
        <x:v>CNY</x:v>
      </x:c>
      <x:c r="E12" s="17" t="n">
        <x:v>0</x:v>
      </x:c>
      <x:c r="F12" s="17" t="n">
        <x:v>0</x:v>
      </x:c>
      <x:c r="G12" s="17" t="n">
        <x:v>0</x:v>
      </x:c>
      <x:c r="H12" s="16" t="n">
        <x:f>E12+G12-F12</x:f>
        <x:v>0</x:v>
      </x:c>
      <x:c r="I12" s="13" t="str"/>
      <x:c r="J12" s="13" t="str"/>
      <x:c r="K12" s="13" t="str">
        <x:v>未开始</x:v>
      </x:c>
    </x:row>
    <x:row r="13">
      <x:c r="A13" s="13" t="str">
        <x:v>BA-08</x:v>
      </x:c>
      <x:c r="B13" s="13" t="str"/>
      <x:c r="C13" s="13" t="str"/>
      <x:c r="D13" s="13" t="str">
        <x:v>CNY</x:v>
      </x:c>
      <x:c r="E13" s="17" t="n">
        <x:v>0</x:v>
      </x:c>
      <x:c r="F13" s="17" t="n">
        <x:v>0</x:v>
      </x:c>
      <x:c r="G13" s="17" t="n">
        <x:v>0</x:v>
      </x:c>
      <x:c r="H13" s="16" t="n">
        <x:f>E13+G13-F13</x:f>
        <x:v>0</x:v>
      </x:c>
      <x:c r="I13" s="13" t="str"/>
      <x:c r="J13" s="13" t="str"/>
      <x:c r="K13" s="13" t="str">
        <x:v>未开始</x:v>
      </x:c>
    </x:row>
    <x:row r="14">
      <x:c r="A14" s="13" t="str">
        <x:v>BA-09</x:v>
      </x:c>
      <x:c r="B14" s="13" t="str"/>
      <x:c r="C14" s="13" t="str"/>
      <x:c r="D14" s="13" t="str">
        <x:v>CNY</x:v>
      </x:c>
      <x:c r="E14" s="17" t="n">
        <x:v>0</x:v>
      </x:c>
      <x:c r="F14" s="17" t="n">
        <x:v>0</x:v>
      </x:c>
      <x:c r="G14" s="17" t="n">
        <x:v>0</x:v>
      </x:c>
      <x:c r="H14" s="16" t="n">
        <x:f>E14+G14-F14</x:f>
        <x:v>0</x:v>
      </x:c>
      <x:c r="I14" s="13" t="str"/>
      <x:c r="J14" s="13" t="str"/>
      <x:c r="K14" s="13" t="str">
        <x:v>未开始</x:v>
      </x:c>
    </x:row>
    <x:row r="15">
      <x:c r="A15" s="13" t="str">
        <x:v>BA-10</x:v>
      </x:c>
      <x:c r="B15" s="13" t="str"/>
      <x:c r="C15" s="13" t="str"/>
      <x:c r="D15" s="13" t="str">
        <x:v>CNY</x:v>
      </x:c>
      <x:c r="E15" s="17" t="n">
        <x:v>0</x:v>
      </x:c>
      <x:c r="F15" s="17" t="n">
        <x:v>0</x:v>
      </x:c>
      <x:c r="G15" s="17" t="n">
        <x:v>0</x:v>
      </x:c>
      <x:c r="H15" s="16" t="n">
        <x:f>E15+G15-F15</x:f>
        <x:v>0</x:v>
      </x:c>
      <x:c r="I15" s="13" t="str"/>
      <x:c r="J15" s="13" t="str"/>
      <x:c r="K15" s="13" t="str">
        <x:v>未开始</x:v>
      </x:c>
    </x:row>
    <x:row r="16">
      <x:c r="A16" s="13" t="str">
        <x:v>BA-11</x:v>
      </x:c>
      <x:c r="B16" s="13" t="str"/>
      <x:c r="C16" s="13" t="str"/>
      <x:c r="D16" s="13" t="str">
        <x:v>CNY</x:v>
      </x:c>
      <x:c r="E16" s="17" t="n">
        <x:v>0</x:v>
      </x:c>
      <x:c r="F16" s="17" t="n">
        <x:v>0</x:v>
      </x:c>
      <x:c r="G16" s="17" t="n">
        <x:v>0</x:v>
      </x:c>
      <x:c r="H16" s="16" t="n">
        <x:f>E16+G16-F16</x:f>
        <x:v>0</x:v>
      </x:c>
      <x:c r="I16" s="13" t="str"/>
      <x:c r="J16" s="13" t="str"/>
      <x:c r="K16" s="13" t="str">
        <x:v>未开始</x:v>
      </x:c>
    </x:row>
    <x:row r="17">
      <x:c r="A17" s="13" t="str">
        <x:v>BA-12</x:v>
      </x:c>
      <x:c r="B17" s="13" t="str"/>
      <x:c r="C17" s="13" t="str"/>
      <x:c r="D17" s="13" t="str">
        <x:v>CNY</x:v>
      </x:c>
      <x:c r="E17" s="17" t="n">
        <x:v>0</x:v>
      </x:c>
      <x:c r="F17" s="17" t="n">
        <x:v>0</x:v>
      </x:c>
      <x:c r="G17" s="17" t="n">
        <x:v>0</x:v>
      </x:c>
      <x:c r="H17" s="16" t="n">
        <x:f>E17+G17-F17</x:f>
        <x:v>0</x:v>
      </x:c>
      <x:c r="I17" s="13" t="str"/>
      <x:c r="J17" s="13" t="str"/>
      <x:c r="K17" s="13" t="str">
        <x:v>未开始</x:v>
      </x:c>
    </x:row>
    <x:row r="18">
      <x:c r="A18" s="13" t="str">
        <x:v>BA-13</x:v>
      </x:c>
      <x:c r="B18" s="13" t="str"/>
      <x:c r="C18" s="13" t="str"/>
      <x:c r="D18" s="13" t="str">
        <x:v>CNY</x:v>
      </x:c>
      <x:c r="E18" s="17" t="n">
        <x:v>0</x:v>
      </x:c>
      <x:c r="F18" s="17" t="n">
        <x:v>0</x:v>
      </x:c>
      <x:c r="G18" s="17" t="n">
        <x:v>0</x:v>
      </x:c>
      <x:c r="H18" s="16" t="n">
        <x:f>E18+G18-F18</x:f>
        <x:v>0</x:v>
      </x:c>
      <x:c r="I18" s="13" t="str"/>
      <x:c r="J18" s="13" t="str"/>
      <x:c r="K18" s="13" t="str">
        <x:v>未开始</x:v>
      </x:c>
    </x:row>
    <x:row r="19">
      <x:c r="A19" s="13" t="str">
        <x:v>BA-14</x:v>
      </x:c>
      <x:c r="B19" s="13" t="str"/>
      <x:c r="C19" s="13" t="str"/>
      <x:c r="D19" s="13" t="str">
        <x:v>CNY</x:v>
      </x:c>
      <x:c r="E19" s="17" t="n">
        <x:v>0</x:v>
      </x:c>
      <x:c r="F19" s="17" t="n">
        <x:v>0</x:v>
      </x:c>
      <x:c r="G19" s="17" t="n">
        <x:v>0</x:v>
      </x:c>
      <x:c r="H19" s="16" t="n">
        <x:f>E19+G19-F19</x:f>
        <x:v>0</x:v>
      </x:c>
      <x:c r="I19" s="13" t="str"/>
      <x:c r="J19" s="13" t="str"/>
      <x:c r="K19" s="13" t="str">
        <x:v>未开始</x:v>
      </x:c>
    </x:row>
    <x:row r="20">
      <x:c r="A20" s="13" t="str">
        <x:v>BA-15</x:v>
      </x:c>
      <x:c r="B20" s="13" t="str"/>
      <x:c r="C20" s="13" t="str"/>
      <x:c r="D20" s="13" t="str">
        <x:v>CNY</x:v>
      </x:c>
      <x:c r="E20" s="17" t="n">
        <x:v>0</x:v>
      </x:c>
      <x:c r="F20" s="17" t="n">
        <x:v>0</x:v>
      </x:c>
      <x:c r="G20" s="17" t="n">
        <x:v>0</x:v>
      </x:c>
      <x:c r="H20" s="16" t="n">
        <x:f>E20+G20-F20</x:f>
        <x:v>0</x:v>
      </x:c>
      <x:c r="I20" s="13" t="str"/>
      <x:c r="J20" s="13" t="str"/>
      <x:c r="K20" s="13" t="str">
        <x:v>未开始</x:v>
      </x:c>
    </x:row>
    <x:row r="21">
      <x:c r="A21" s="13" t="str">
        <x:v>BA-16</x:v>
      </x:c>
      <x:c r="B21" s="13" t="str"/>
      <x:c r="C21" s="13" t="str"/>
      <x:c r="D21" s="13" t="str">
        <x:v>CNY</x:v>
      </x:c>
      <x:c r="E21" s="17" t="n">
        <x:v>0</x:v>
      </x:c>
      <x:c r="F21" s="17" t="n">
        <x:v>0</x:v>
      </x:c>
      <x:c r="G21" s="17" t="n">
        <x:v>0</x:v>
      </x:c>
      <x:c r="H21" s="16" t="n">
        <x:f>E21+G21-F21</x:f>
        <x:v>0</x:v>
      </x:c>
      <x:c r="I21" s="13" t="str"/>
      <x:c r="J21" s="13" t="str"/>
      <x:c r="K21" s="13" t="str">
        <x:v>未开始</x:v>
      </x:c>
    </x:row>
    <x:row r="22">
      <x:c r="A22" s="13" t="str">
        <x:v>BA-17</x:v>
      </x:c>
      <x:c r="B22" s="13" t="str"/>
      <x:c r="C22" s="13" t="str"/>
      <x:c r="D22" s="13" t="str">
        <x:v>CNY</x:v>
      </x:c>
      <x:c r="E22" s="17" t="n">
        <x:v>0</x:v>
      </x:c>
      <x:c r="F22" s="17" t="n">
        <x:v>0</x:v>
      </x:c>
      <x:c r="G22" s="17" t="n">
        <x:v>0</x:v>
      </x:c>
      <x:c r="H22" s="16" t="n">
        <x:f>E22+G22-F22</x:f>
        <x:v>0</x:v>
      </x:c>
      <x:c r="I22" s="13" t="str"/>
      <x:c r="J22" s="13" t="str"/>
      <x:c r="K22" s="13" t="str">
        <x:v>未开始</x:v>
      </x:c>
    </x:row>
    <x:row r="23">
      <x:c r="A23" s="13" t="str">
        <x:v>BA-18</x:v>
      </x:c>
      <x:c r="B23" s="13" t="str"/>
      <x:c r="C23" s="13" t="str"/>
      <x:c r="D23" s="13" t="str">
        <x:v>CNY</x:v>
      </x:c>
      <x:c r="E23" s="17" t="n">
        <x:v>0</x:v>
      </x:c>
      <x:c r="F23" s="17" t="n">
        <x:v>0</x:v>
      </x:c>
      <x:c r="G23" s="17" t="n">
        <x:v>0</x:v>
      </x:c>
      <x:c r="H23" s="16" t="n">
        <x:f>E23+G23-F23</x:f>
        <x:v>0</x:v>
      </x:c>
      <x:c r="I23" s="13" t="str"/>
      <x:c r="J23" s="13" t="str"/>
      <x:c r="K23" s="13" t="str">
        <x:v>未开始</x:v>
      </x:c>
    </x:row>
    <x:row r="24">
      <x:c r="A24" s="13" t="str">
        <x:v>BA-19</x:v>
      </x:c>
      <x:c r="B24" s="13" t="str"/>
      <x:c r="C24" s="13" t="str"/>
      <x:c r="D24" s="13" t="str">
        <x:v>CNY</x:v>
      </x:c>
      <x:c r="E24" s="17" t="n">
        <x:v>0</x:v>
      </x:c>
      <x:c r="F24" s="17" t="n">
        <x:v>0</x:v>
      </x:c>
      <x:c r="G24" s="17" t="n">
        <x:v>0</x:v>
      </x:c>
      <x:c r="H24" s="16" t="n">
        <x:f>E24+G24-F24</x:f>
        <x:v>0</x:v>
      </x:c>
      <x:c r="I24" s="13" t="str"/>
      <x:c r="J24" s="13" t="str"/>
      <x:c r="K24" s="13" t="str">
        <x:v>未开始</x:v>
      </x:c>
    </x:row>
    <x:row r="25">
      <x:c r="A25" s="13" t="str">
        <x:v>BA-20</x:v>
      </x:c>
      <x:c r="B25" s="13" t="str"/>
      <x:c r="C25" s="13" t="str"/>
      <x:c r="D25" s="13" t="str">
        <x:v>CNY</x:v>
      </x:c>
      <x:c r="E25" s="17" t="n">
        <x:v>0</x:v>
      </x:c>
      <x:c r="F25" s="17" t="n">
        <x:v>0</x:v>
      </x:c>
      <x:c r="G25" s="17" t="n">
        <x:v>0</x:v>
      </x:c>
      <x:c r="H25" s="16" t="n">
        <x:f>E25+G25-F25</x:f>
        <x:v>0</x:v>
      </x:c>
      <x:c r="I25" s="13" t="str"/>
      <x:c r="J25" s="13" t="str"/>
      <x:c r="K25" s="13" t="str">
        <x:v>未开始</x:v>
      </x:c>
    </x:row>
  </x:sheetData>
  <x:mergeCells>
    <x:mergeCell ref="A1:K1"/>
    <x:mergeCell ref="A2:K2"/>
  </x:mergeCells>
  <x:conditionalFormatting sqref="K6:K25">
    <x:cfRule type="containsText" dxfId="3" priority="1" operator="containsText" text="已完成"/>
    <x:cfRule type="containsText" dxfId="4" priority="2" operator="containsText" text="未开始"/>
    <x:cfRule type="containsText" dxfId="5" priority="3" operator="containsText" text="异常"/>
  </x:conditionalFormatting>
  <x:dataValidations count="1">
    <x:dataValidation type="list" sqref="K6:K2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1acae6d3ca45b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30" hidden="0" customWidth="1"/>
    <x:col min="8" max="8" width="30" hidden="0" customWidth="1"/>
    <x:col min="9" max="9" width="13" hidden="0" customWidth="1"/>
    <x:col min="10" max="10" width="11" hidden="0" customWidth="1"/>
  </x:cols>
  <x:sheetData>
    <x:row r="1" ht="30" customHeight="1">
      <x:c r="A1" s="1" t="str">
        <x:v>应收子模块与总账核对</x:v>
      </x:c>
    </x:row>
    <x:row r="2" ht="25" customHeight="1">
      <x:c r="A2" s="3" t="str">
        <x:v>先统一公司、币种、截止日、过账状态和科目范围。</x:v>
      </x:c>
    </x:row>
    <x:row r="5" ht="35" customHeight="1">
      <x:c r="A5" s="9" t="str">
        <x:v>对象编号</x:v>
      </x:c>
      <x:c r="B5" s="9" t="str">
        <x:v>对象名称</x:v>
      </x:c>
      <x:c r="C5" s="9" t="str">
        <x:v>子模块余额</x:v>
      </x:c>
      <x:c r="D5" s="9" t="str">
        <x:v>总账余额</x:v>
      </x:c>
      <x:c r="E5" s="9" t="str">
        <x:v>调整项目</x:v>
      </x:c>
      <x:c r="F5" s="9" t="str">
        <x:v>差异</x:v>
      </x:c>
      <x:c r="G5" s="9" t="str">
        <x:v>差异原因</x:v>
      </x:c>
      <x:c r="H5" s="9" t="str">
        <x:v>处理方案</x:v>
      </x:c>
      <x:c r="I5" s="9" t="str">
        <x:v>责任人</x:v>
      </x:c>
      <x:c r="J5" s="9" t="str">
        <x:v>状态</x:v>
      </x:c>
    </x:row>
    <x:row r="6">
      <x:c r="A6" s="13" t="str">
        <x:v>AR-001</x:v>
      </x:c>
      <x:c r="B6" s="13" t="str"/>
      <x:c r="C6" s="17" t="n">
        <x:v>0</x:v>
      </x:c>
      <x:c r="D6" s="17" t="n">
        <x:v>0</x:v>
      </x:c>
      <x:c r="E6" s="17" t="n">
        <x:v>0</x:v>
      </x:c>
      <x:c r="F6" s="16" t="n">
        <x:f>C6+E6-D6</x:f>
        <x:v>0</x:v>
      </x:c>
      <x:c r="G6" s="13" t="str"/>
      <x:c r="H6" s="13" t="str"/>
      <x:c r="I6" s="13" t="str"/>
      <x:c r="J6" s="13" t="str">
        <x:v>未开始</x:v>
      </x:c>
    </x:row>
    <x:row r="7">
      <x:c r="A7" s="13" t="str">
        <x:v>AR-002</x:v>
      </x:c>
      <x:c r="B7" s="13" t="str"/>
      <x:c r="C7" s="17" t="n">
        <x:v>0</x:v>
      </x:c>
      <x:c r="D7" s="17" t="n">
        <x:v>0</x:v>
      </x:c>
      <x:c r="E7" s="17" t="n">
        <x:v>0</x:v>
      </x:c>
      <x:c r="F7" s="16" t="n">
        <x:f>C7+E7-D7</x:f>
        <x:v>0</x:v>
      </x:c>
      <x:c r="G7" s="13" t="str"/>
      <x:c r="H7" s="13" t="str"/>
      <x:c r="I7" s="13" t="str"/>
      <x:c r="J7" s="13" t="str">
        <x:v>未开始</x:v>
      </x:c>
    </x:row>
    <x:row r="8">
      <x:c r="A8" s="13" t="str">
        <x:v>AR-003</x:v>
      </x:c>
      <x:c r="B8" s="13" t="str"/>
      <x:c r="C8" s="17" t="n">
        <x:v>0</x:v>
      </x:c>
      <x:c r="D8" s="17" t="n">
        <x:v>0</x:v>
      </x:c>
      <x:c r="E8" s="17" t="n">
        <x:v>0</x:v>
      </x:c>
      <x:c r="F8" s="16" t="n">
        <x:f>C8+E8-D8</x:f>
        <x:v>0</x:v>
      </x:c>
      <x:c r="G8" s="13" t="str"/>
      <x:c r="H8" s="13" t="str"/>
      <x:c r="I8" s="13" t="str"/>
      <x:c r="J8" s="13" t="str">
        <x:v>未开始</x:v>
      </x:c>
    </x:row>
    <x:row r="9">
      <x:c r="A9" s="13" t="str">
        <x:v>AR-004</x:v>
      </x:c>
      <x:c r="B9" s="13" t="str"/>
      <x:c r="C9" s="17" t="n">
        <x:v>0</x:v>
      </x:c>
      <x:c r="D9" s="17" t="n">
        <x:v>0</x:v>
      </x:c>
      <x:c r="E9" s="17" t="n">
        <x:v>0</x:v>
      </x:c>
      <x:c r="F9" s="16" t="n">
        <x:f>C9+E9-D9</x:f>
        <x:v>0</x:v>
      </x:c>
      <x:c r="G9" s="13" t="str"/>
      <x:c r="H9" s="13" t="str"/>
      <x:c r="I9" s="13" t="str"/>
      <x:c r="J9" s="13" t="str">
        <x:v>未开始</x:v>
      </x:c>
    </x:row>
    <x:row r="10">
      <x:c r="A10" s="13" t="str">
        <x:v>AR-005</x:v>
      </x:c>
      <x:c r="B10" s="13" t="str"/>
      <x:c r="C10" s="17" t="n">
        <x:v>0</x:v>
      </x:c>
      <x:c r="D10" s="17" t="n">
        <x:v>0</x:v>
      </x:c>
      <x:c r="E10" s="17" t="n">
        <x:v>0</x:v>
      </x:c>
      <x:c r="F10" s="16" t="n">
        <x:f>C10+E10-D10</x:f>
        <x:v>0</x:v>
      </x:c>
      <x:c r="G10" s="13" t="str"/>
      <x:c r="H10" s="13" t="str"/>
      <x:c r="I10" s="13" t="str"/>
      <x:c r="J10" s="13" t="str">
        <x:v>未开始</x:v>
      </x:c>
    </x:row>
    <x:row r="11">
      <x:c r="A11" s="13" t="str">
        <x:v>AR-006</x:v>
      </x:c>
      <x:c r="B11" s="13" t="str"/>
      <x:c r="C11" s="17" t="n">
        <x:v>0</x:v>
      </x:c>
      <x:c r="D11" s="17" t="n">
        <x:v>0</x:v>
      </x:c>
      <x:c r="E11" s="17" t="n">
        <x:v>0</x:v>
      </x:c>
      <x:c r="F11" s="16" t="n">
        <x:f>C11+E11-D11</x:f>
        <x:v>0</x:v>
      </x:c>
      <x:c r="G11" s="13" t="str"/>
      <x:c r="H11" s="13" t="str"/>
      <x:c r="I11" s="13" t="str"/>
      <x:c r="J11" s="13" t="str">
        <x:v>未开始</x:v>
      </x:c>
    </x:row>
    <x:row r="12">
      <x:c r="A12" s="13" t="str">
        <x:v>AR-007</x:v>
      </x:c>
      <x:c r="B12" s="13" t="str"/>
      <x:c r="C12" s="17" t="n">
        <x:v>0</x:v>
      </x:c>
      <x:c r="D12" s="17" t="n">
        <x:v>0</x:v>
      </x:c>
      <x:c r="E12" s="17" t="n">
        <x:v>0</x:v>
      </x:c>
      <x:c r="F12" s="16" t="n">
        <x:f>C12+E12-D12</x:f>
        <x:v>0</x:v>
      </x:c>
      <x:c r="G12" s="13" t="str"/>
      <x:c r="H12" s="13" t="str"/>
      <x:c r="I12" s="13" t="str"/>
      <x:c r="J12" s="13" t="str">
        <x:v>未开始</x:v>
      </x:c>
    </x:row>
    <x:row r="13">
      <x:c r="A13" s="13" t="str">
        <x:v>AR-008</x:v>
      </x:c>
      <x:c r="B13" s="13" t="str"/>
      <x:c r="C13" s="17" t="n">
        <x:v>0</x:v>
      </x:c>
      <x:c r="D13" s="17" t="n">
        <x:v>0</x:v>
      </x:c>
      <x:c r="E13" s="17" t="n">
        <x:v>0</x:v>
      </x:c>
      <x:c r="F13" s="16" t="n">
        <x:f>C13+E13-D13</x:f>
        <x:v>0</x:v>
      </x:c>
      <x:c r="G13" s="13" t="str"/>
      <x:c r="H13" s="13" t="str"/>
      <x:c r="I13" s="13" t="str"/>
      <x:c r="J13" s="13" t="str">
        <x:v>未开始</x:v>
      </x:c>
    </x:row>
    <x:row r="14">
      <x:c r="A14" s="13" t="str">
        <x:v>AR-009</x:v>
      </x:c>
      <x:c r="B14" s="13" t="str"/>
      <x:c r="C14" s="17" t="n">
        <x:v>0</x:v>
      </x:c>
      <x:c r="D14" s="17" t="n">
        <x:v>0</x:v>
      </x:c>
      <x:c r="E14" s="17" t="n">
        <x:v>0</x:v>
      </x:c>
      <x:c r="F14" s="16" t="n">
        <x:f>C14+E14-D14</x:f>
        <x:v>0</x:v>
      </x:c>
      <x:c r="G14" s="13" t="str"/>
      <x:c r="H14" s="13" t="str"/>
      <x:c r="I14" s="13" t="str"/>
      <x:c r="J14" s="13" t="str">
        <x:v>未开始</x:v>
      </x:c>
    </x:row>
    <x:row r="15">
      <x:c r="A15" s="13" t="str">
        <x:v>AR-010</x:v>
      </x:c>
      <x:c r="B15" s="13" t="str"/>
      <x:c r="C15" s="17" t="n">
        <x:v>0</x:v>
      </x:c>
      <x:c r="D15" s="17" t="n">
        <x:v>0</x:v>
      </x:c>
      <x:c r="E15" s="17" t="n">
        <x:v>0</x:v>
      </x:c>
      <x:c r="F15" s="16" t="n">
        <x:f>C15+E15-D15</x:f>
        <x:v>0</x:v>
      </x:c>
      <x:c r="G15" s="13" t="str"/>
      <x:c r="H15" s="13" t="str"/>
      <x:c r="I15" s="13" t="str"/>
      <x:c r="J15" s="13" t="str">
        <x:v>未开始</x:v>
      </x:c>
    </x:row>
    <x:row r="16">
      <x:c r="A16" s="13" t="str">
        <x:v>AR-011</x:v>
      </x:c>
      <x:c r="B16" s="13" t="str"/>
      <x:c r="C16" s="17" t="n">
        <x:v>0</x:v>
      </x:c>
      <x:c r="D16" s="17" t="n">
        <x:v>0</x:v>
      </x:c>
      <x:c r="E16" s="17" t="n">
        <x:v>0</x:v>
      </x:c>
      <x:c r="F16" s="16" t="n">
        <x:f>C16+E16-D16</x:f>
        <x:v>0</x:v>
      </x:c>
      <x:c r="G16" s="13" t="str"/>
      <x:c r="H16" s="13" t="str"/>
      <x:c r="I16" s="13" t="str"/>
      <x:c r="J16" s="13" t="str">
        <x:v>未开始</x:v>
      </x:c>
    </x:row>
    <x:row r="17">
      <x:c r="A17" s="13" t="str">
        <x:v>AR-012</x:v>
      </x:c>
      <x:c r="B17" s="13" t="str"/>
      <x:c r="C17" s="17" t="n">
        <x:v>0</x:v>
      </x:c>
      <x:c r="D17" s="17" t="n">
        <x:v>0</x:v>
      </x:c>
      <x:c r="E17" s="17" t="n">
        <x:v>0</x:v>
      </x:c>
      <x:c r="F17" s="16" t="n">
        <x:f>C17+E17-D17</x:f>
        <x:v>0</x:v>
      </x:c>
      <x:c r="G17" s="13" t="str"/>
      <x:c r="H17" s="13" t="str"/>
      <x:c r="I17" s="13" t="str"/>
      <x:c r="J17" s="13" t="str">
        <x:v>未开始</x:v>
      </x:c>
    </x:row>
    <x:row r="18">
      <x:c r="A18" s="13" t="str">
        <x:v>AR-013</x:v>
      </x:c>
      <x:c r="B18" s="13" t="str"/>
      <x:c r="C18" s="17" t="n">
        <x:v>0</x:v>
      </x:c>
      <x:c r="D18" s="17" t="n">
        <x:v>0</x:v>
      </x:c>
      <x:c r="E18" s="17" t="n">
        <x:v>0</x:v>
      </x:c>
      <x:c r="F18" s="16" t="n">
        <x:f>C18+E18-D18</x:f>
        <x:v>0</x:v>
      </x:c>
      <x:c r="G18" s="13" t="str"/>
      <x:c r="H18" s="13" t="str"/>
      <x:c r="I18" s="13" t="str"/>
      <x:c r="J18" s="13" t="str">
        <x:v>未开始</x:v>
      </x:c>
    </x:row>
    <x:row r="19">
      <x:c r="A19" s="13" t="str">
        <x:v>AR-014</x:v>
      </x:c>
      <x:c r="B19" s="13" t="str"/>
      <x:c r="C19" s="17" t="n">
        <x:v>0</x:v>
      </x:c>
      <x:c r="D19" s="17" t="n">
        <x:v>0</x:v>
      </x:c>
      <x:c r="E19" s="17" t="n">
        <x:v>0</x:v>
      </x:c>
      <x:c r="F19" s="16" t="n">
        <x:f>C19+E19-D19</x:f>
        <x:v>0</x:v>
      </x:c>
      <x:c r="G19" s="13" t="str"/>
      <x:c r="H19" s="13" t="str"/>
      <x:c r="I19" s="13" t="str"/>
      <x:c r="J19" s="13" t="str">
        <x:v>未开始</x:v>
      </x:c>
    </x:row>
    <x:row r="20">
      <x:c r="A20" s="13" t="str">
        <x:v>AR-015</x:v>
      </x:c>
      <x:c r="B20" s="13" t="str"/>
      <x:c r="C20" s="17" t="n">
        <x:v>0</x:v>
      </x:c>
      <x:c r="D20" s="17" t="n">
        <x:v>0</x:v>
      </x:c>
      <x:c r="E20" s="17" t="n">
        <x:v>0</x:v>
      </x:c>
      <x:c r="F20" s="16" t="n">
        <x:f>C20+E20-D20</x:f>
        <x:v>0</x:v>
      </x:c>
      <x:c r="G20" s="13" t="str"/>
      <x:c r="H20" s="13" t="str"/>
      <x:c r="I20" s="13" t="str"/>
      <x:c r="J20" s="13" t="str">
        <x:v>未开始</x:v>
      </x:c>
    </x:row>
    <x:row r="21">
      <x:c r="A21" s="13" t="str">
        <x:v>AR-016</x:v>
      </x:c>
      <x:c r="B21" s="13" t="str"/>
      <x:c r="C21" s="17" t="n">
        <x:v>0</x:v>
      </x:c>
      <x:c r="D21" s="17" t="n">
        <x:v>0</x:v>
      </x:c>
      <x:c r="E21" s="17" t="n">
        <x:v>0</x:v>
      </x:c>
      <x:c r="F21" s="16" t="n">
        <x:f>C21+E21-D21</x:f>
        <x:v>0</x:v>
      </x:c>
      <x:c r="G21" s="13" t="str"/>
      <x:c r="H21" s="13" t="str"/>
      <x:c r="I21" s="13" t="str"/>
      <x:c r="J21" s="13" t="str">
        <x:v>未开始</x:v>
      </x:c>
    </x:row>
    <x:row r="22">
      <x:c r="A22" s="13" t="str">
        <x:v>AR-017</x:v>
      </x:c>
      <x:c r="B22" s="13" t="str"/>
      <x:c r="C22" s="17" t="n">
        <x:v>0</x:v>
      </x:c>
      <x:c r="D22" s="17" t="n">
        <x:v>0</x:v>
      </x:c>
      <x:c r="E22" s="17" t="n">
        <x:v>0</x:v>
      </x:c>
      <x:c r="F22" s="16" t="n">
        <x:f>C22+E22-D22</x:f>
        <x:v>0</x:v>
      </x:c>
      <x:c r="G22" s="13" t="str"/>
      <x:c r="H22" s="13" t="str"/>
      <x:c r="I22" s="13" t="str"/>
      <x:c r="J22" s="13" t="str">
        <x:v>未开始</x:v>
      </x:c>
    </x:row>
    <x:row r="23">
      <x:c r="A23" s="13" t="str">
        <x:v>AR-018</x:v>
      </x:c>
      <x:c r="B23" s="13" t="str"/>
      <x:c r="C23" s="17" t="n">
        <x:v>0</x:v>
      </x:c>
      <x:c r="D23" s="17" t="n">
        <x:v>0</x:v>
      </x:c>
      <x:c r="E23" s="17" t="n">
        <x:v>0</x:v>
      </x:c>
      <x:c r="F23" s="16" t="n">
        <x:f>C23+E23-D23</x:f>
        <x:v>0</x:v>
      </x:c>
      <x:c r="G23" s="13" t="str"/>
      <x:c r="H23" s="13" t="str"/>
      <x:c r="I23" s="13" t="str"/>
      <x:c r="J23" s="13" t="str">
        <x:v>未开始</x:v>
      </x:c>
    </x:row>
    <x:row r="24">
      <x:c r="A24" s="13" t="str">
        <x:v>AR-019</x:v>
      </x:c>
      <x:c r="B24" s="13" t="str"/>
      <x:c r="C24" s="17" t="n">
        <x:v>0</x:v>
      </x:c>
      <x:c r="D24" s="17" t="n">
        <x:v>0</x:v>
      </x:c>
      <x:c r="E24" s="17" t="n">
        <x:v>0</x:v>
      </x:c>
      <x:c r="F24" s="16" t="n">
        <x:f>C24+E24-D24</x:f>
        <x:v>0</x:v>
      </x:c>
      <x:c r="G24" s="13" t="str"/>
      <x:c r="H24" s="13" t="str"/>
      <x:c r="I24" s="13" t="str"/>
      <x:c r="J24" s="13" t="str">
        <x:v>未开始</x:v>
      </x:c>
    </x:row>
    <x:row r="25">
      <x:c r="A25" s="13" t="str">
        <x:v>AR-020</x:v>
      </x:c>
      <x:c r="B25" s="13" t="str"/>
      <x:c r="C25" s="17" t="n">
        <x:v>0</x:v>
      </x:c>
      <x:c r="D25" s="17" t="n">
        <x:v>0</x:v>
      </x:c>
      <x:c r="E25" s="17" t="n">
        <x:v>0</x:v>
      </x:c>
      <x:c r="F25" s="16" t="n">
        <x:f>C25+E25-D25</x:f>
        <x:v>0</x:v>
      </x:c>
      <x:c r="G25" s="13" t="str"/>
      <x:c r="H25" s="13" t="str"/>
      <x:c r="I25" s="13" t="str"/>
      <x:c r="J25" s="13" t="str">
        <x:v>未开始</x:v>
      </x:c>
    </x:row>
  </x:sheetData>
  <x:mergeCells>
    <x:mergeCell ref="A1:J1"/>
    <x:mergeCell ref="A2:J2"/>
  </x:mergeCells>
  <x:conditionalFormatting sqref="J6:J25">
    <x:cfRule type="containsText" dxfId="6" priority="1" operator="containsText" text="已完成"/>
    <x:cfRule type="containsText" dxfId="7" priority="2" operator="containsText" text="未开始"/>
    <x:cfRule type="containsText" dxfId="8" priority="3" operator="containsText" text="异常"/>
  </x:conditionalFormatting>
  <x:dataValidations count="1">
    <x:dataValidation type="list" sqref="J6:J2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00513493b3474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30" hidden="0" customWidth="1"/>
    <x:col min="8" max="8" width="30" hidden="0" customWidth="1"/>
    <x:col min="9" max="9" width="13" hidden="0" customWidth="1"/>
    <x:col min="10" max="10" width="11" hidden="0" customWidth="1"/>
  </x:cols>
  <x:sheetData>
    <x:row r="1" ht="30" customHeight="1">
      <x:c r="A1" s="1" t="str">
        <x:v>应付子模块与总账核对</x:v>
      </x:c>
    </x:row>
    <x:row r="2" ht="25" customHeight="1">
      <x:c r="A2" s="3" t="str">
        <x:v>先统一公司、币种、截止日、过账状态和科目范围。</x:v>
      </x:c>
    </x:row>
    <x:row r="5" ht="35" customHeight="1">
      <x:c r="A5" s="9" t="str">
        <x:v>对象编号</x:v>
      </x:c>
      <x:c r="B5" s="9" t="str">
        <x:v>对象名称</x:v>
      </x:c>
      <x:c r="C5" s="9" t="str">
        <x:v>子模块余额</x:v>
      </x:c>
      <x:c r="D5" s="9" t="str">
        <x:v>总账余额</x:v>
      </x:c>
      <x:c r="E5" s="9" t="str">
        <x:v>调整项目</x:v>
      </x:c>
      <x:c r="F5" s="9" t="str">
        <x:v>差异</x:v>
      </x:c>
      <x:c r="G5" s="9" t="str">
        <x:v>差异原因</x:v>
      </x:c>
      <x:c r="H5" s="9" t="str">
        <x:v>处理方案</x:v>
      </x:c>
      <x:c r="I5" s="9" t="str">
        <x:v>责任人</x:v>
      </x:c>
      <x:c r="J5" s="9" t="str">
        <x:v>状态</x:v>
      </x:c>
    </x:row>
    <x:row r="6">
      <x:c r="A6" s="13" t="str">
        <x:v>AP-001</x:v>
      </x:c>
      <x:c r="B6" s="13" t="str"/>
      <x:c r="C6" s="17" t="n">
        <x:v>0</x:v>
      </x:c>
      <x:c r="D6" s="17" t="n">
        <x:v>0</x:v>
      </x:c>
      <x:c r="E6" s="17" t="n">
        <x:v>0</x:v>
      </x:c>
      <x:c r="F6" s="16" t="n">
        <x:f>C6+E6-D6</x:f>
        <x:v>0</x:v>
      </x:c>
      <x:c r="G6" s="13" t="str"/>
      <x:c r="H6" s="13" t="str"/>
      <x:c r="I6" s="13" t="str"/>
      <x:c r="J6" s="13" t="str">
        <x:v>未开始</x:v>
      </x:c>
    </x:row>
    <x:row r="7">
      <x:c r="A7" s="13" t="str">
        <x:v>AP-002</x:v>
      </x:c>
      <x:c r="B7" s="13" t="str"/>
      <x:c r="C7" s="17" t="n">
        <x:v>0</x:v>
      </x:c>
      <x:c r="D7" s="17" t="n">
        <x:v>0</x:v>
      </x:c>
      <x:c r="E7" s="17" t="n">
        <x:v>0</x:v>
      </x:c>
      <x:c r="F7" s="16" t="n">
        <x:f>C7+E7-D7</x:f>
        <x:v>0</x:v>
      </x:c>
      <x:c r="G7" s="13" t="str"/>
      <x:c r="H7" s="13" t="str"/>
      <x:c r="I7" s="13" t="str"/>
      <x:c r="J7" s="13" t="str">
        <x:v>未开始</x:v>
      </x:c>
    </x:row>
    <x:row r="8">
      <x:c r="A8" s="13" t="str">
        <x:v>AP-003</x:v>
      </x:c>
      <x:c r="B8" s="13" t="str"/>
      <x:c r="C8" s="17" t="n">
        <x:v>0</x:v>
      </x:c>
      <x:c r="D8" s="17" t="n">
        <x:v>0</x:v>
      </x:c>
      <x:c r="E8" s="17" t="n">
        <x:v>0</x:v>
      </x:c>
      <x:c r="F8" s="16" t="n">
        <x:f>C8+E8-D8</x:f>
        <x:v>0</x:v>
      </x:c>
      <x:c r="G8" s="13" t="str"/>
      <x:c r="H8" s="13" t="str"/>
      <x:c r="I8" s="13" t="str"/>
      <x:c r="J8" s="13" t="str">
        <x:v>未开始</x:v>
      </x:c>
    </x:row>
    <x:row r="9">
      <x:c r="A9" s="13" t="str">
        <x:v>AP-004</x:v>
      </x:c>
      <x:c r="B9" s="13" t="str"/>
      <x:c r="C9" s="17" t="n">
        <x:v>0</x:v>
      </x:c>
      <x:c r="D9" s="17" t="n">
        <x:v>0</x:v>
      </x:c>
      <x:c r="E9" s="17" t="n">
        <x:v>0</x:v>
      </x:c>
      <x:c r="F9" s="16" t="n">
        <x:f>C9+E9-D9</x:f>
        <x:v>0</x:v>
      </x:c>
      <x:c r="G9" s="13" t="str"/>
      <x:c r="H9" s="13" t="str"/>
      <x:c r="I9" s="13" t="str"/>
      <x:c r="J9" s="13" t="str">
        <x:v>未开始</x:v>
      </x:c>
    </x:row>
    <x:row r="10">
      <x:c r="A10" s="13" t="str">
        <x:v>AP-005</x:v>
      </x:c>
      <x:c r="B10" s="13" t="str"/>
      <x:c r="C10" s="17" t="n">
        <x:v>0</x:v>
      </x:c>
      <x:c r="D10" s="17" t="n">
        <x:v>0</x:v>
      </x:c>
      <x:c r="E10" s="17" t="n">
        <x:v>0</x:v>
      </x:c>
      <x:c r="F10" s="16" t="n">
        <x:f>C10+E10-D10</x:f>
        <x:v>0</x:v>
      </x:c>
      <x:c r="G10" s="13" t="str"/>
      <x:c r="H10" s="13" t="str"/>
      <x:c r="I10" s="13" t="str"/>
      <x:c r="J10" s="13" t="str">
        <x:v>未开始</x:v>
      </x:c>
    </x:row>
    <x:row r="11">
      <x:c r="A11" s="13" t="str">
        <x:v>AP-006</x:v>
      </x:c>
      <x:c r="B11" s="13" t="str"/>
      <x:c r="C11" s="17" t="n">
        <x:v>0</x:v>
      </x:c>
      <x:c r="D11" s="17" t="n">
        <x:v>0</x:v>
      </x:c>
      <x:c r="E11" s="17" t="n">
        <x:v>0</x:v>
      </x:c>
      <x:c r="F11" s="16" t="n">
        <x:f>C11+E11-D11</x:f>
        <x:v>0</x:v>
      </x:c>
      <x:c r="G11" s="13" t="str"/>
      <x:c r="H11" s="13" t="str"/>
      <x:c r="I11" s="13" t="str"/>
      <x:c r="J11" s="13" t="str">
        <x:v>未开始</x:v>
      </x:c>
    </x:row>
    <x:row r="12">
      <x:c r="A12" s="13" t="str">
        <x:v>AP-007</x:v>
      </x:c>
      <x:c r="B12" s="13" t="str"/>
      <x:c r="C12" s="17" t="n">
        <x:v>0</x:v>
      </x:c>
      <x:c r="D12" s="17" t="n">
        <x:v>0</x:v>
      </x:c>
      <x:c r="E12" s="17" t="n">
        <x:v>0</x:v>
      </x:c>
      <x:c r="F12" s="16" t="n">
        <x:f>C12+E12-D12</x:f>
        <x:v>0</x:v>
      </x:c>
      <x:c r="G12" s="13" t="str"/>
      <x:c r="H12" s="13" t="str"/>
      <x:c r="I12" s="13" t="str"/>
      <x:c r="J12" s="13" t="str">
        <x:v>未开始</x:v>
      </x:c>
    </x:row>
    <x:row r="13">
      <x:c r="A13" s="13" t="str">
        <x:v>AP-008</x:v>
      </x:c>
      <x:c r="B13" s="13" t="str"/>
      <x:c r="C13" s="17" t="n">
        <x:v>0</x:v>
      </x:c>
      <x:c r="D13" s="17" t="n">
        <x:v>0</x:v>
      </x:c>
      <x:c r="E13" s="17" t="n">
        <x:v>0</x:v>
      </x:c>
      <x:c r="F13" s="16" t="n">
        <x:f>C13+E13-D13</x:f>
        <x:v>0</x:v>
      </x:c>
      <x:c r="G13" s="13" t="str"/>
      <x:c r="H13" s="13" t="str"/>
      <x:c r="I13" s="13" t="str"/>
      <x:c r="J13" s="13" t="str">
        <x:v>未开始</x:v>
      </x:c>
    </x:row>
    <x:row r="14">
      <x:c r="A14" s="13" t="str">
        <x:v>AP-009</x:v>
      </x:c>
      <x:c r="B14" s="13" t="str"/>
      <x:c r="C14" s="17" t="n">
        <x:v>0</x:v>
      </x:c>
      <x:c r="D14" s="17" t="n">
        <x:v>0</x:v>
      </x:c>
      <x:c r="E14" s="17" t="n">
        <x:v>0</x:v>
      </x:c>
      <x:c r="F14" s="16" t="n">
        <x:f>C14+E14-D14</x:f>
        <x:v>0</x:v>
      </x:c>
      <x:c r="G14" s="13" t="str"/>
      <x:c r="H14" s="13" t="str"/>
      <x:c r="I14" s="13" t="str"/>
      <x:c r="J14" s="13" t="str">
        <x:v>未开始</x:v>
      </x:c>
    </x:row>
    <x:row r="15">
      <x:c r="A15" s="13" t="str">
        <x:v>AP-010</x:v>
      </x:c>
      <x:c r="B15" s="13" t="str"/>
      <x:c r="C15" s="17" t="n">
        <x:v>0</x:v>
      </x:c>
      <x:c r="D15" s="17" t="n">
        <x:v>0</x:v>
      </x:c>
      <x:c r="E15" s="17" t="n">
        <x:v>0</x:v>
      </x:c>
      <x:c r="F15" s="16" t="n">
        <x:f>C15+E15-D15</x:f>
        <x:v>0</x:v>
      </x:c>
      <x:c r="G15" s="13" t="str"/>
      <x:c r="H15" s="13" t="str"/>
      <x:c r="I15" s="13" t="str"/>
      <x:c r="J15" s="13" t="str">
        <x:v>未开始</x:v>
      </x:c>
    </x:row>
    <x:row r="16">
      <x:c r="A16" s="13" t="str">
        <x:v>AP-011</x:v>
      </x:c>
      <x:c r="B16" s="13" t="str"/>
      <x:c r="C16" s="17" t="n">
        <x:v>0</x:v>
      </x:c>
      <x:c r="D16" s="17" t="n">
        <x:v>0</x:v>
      </x:c>
      <x:c r="E16" s="17" t="n">
        <x:v>0</x:v>
      </x:c>
      <x:c r="F16" s="16" t="n">
        <x:f>C16+E16-D16</x:f>
        <x:v>0</x:v>
      </x:c>
      <x:c r="G16" s="13" t="str"/>
      <x:c r="H16" s="13" t="str"/>
      <x:c r="I16" s="13" t="str"/>
      <x:c r="J16" s="13" t="str">
        <x:v>未开始</x:v>
      </x:c>
    </x:row>
    <x:row r="17">
      <x:c r="A17" s="13" t="str">
        <x:v>AP-012</x:v>
      </x:c>
      <x:c r="B17" s="13" t="str"/>
      <x:c r="C17" s="17" t="n">
        <x:v>0</x:v>
      </x:c>
      <x:c r="D17" s="17" t="n">
        <x:v>0</x:v>
      </x:c>
      <x:c r="E17" s="17" t="n">
        <x:v>0</x:v>
      </x:c>
      <x:c r="F17" s="16" t="n">
        <x:f>C17+E17-D17</x:f>
        <x:v>0</x:v>
      </x:c>
      <x:c r="G17" s="13" t="str"/>
      <x:c r="H17" s="13" t="str"/>
      <x:c r="I17" s="13" t="str"/>
      <x:c r="J17" s="13" t="str">
        <x:v>未开始</x:v>
      </x:c>
    </x:row>
    <x:row r="18">
      <x:c r="A18" s="13" t="str">
        <x:v>AP-013</x:v>
      </x:c>
      <x:c r="B18" s="13" t="str"/>
      <x:c r="C18" s="17" t="n">
        <x:v>0</x:v>
      </x:c>
      <x:c r="D18" s="17" t="n">
        <x:v>0</x:v>
      </x:c>
      <x:c r="E18" s="17" t="n">
        <x:v>0</x:v>
      </x:c>
      <x:c r="F18" s="16" t="n">
        <x:f>C18+E18-D18</x:f>
        <x:v>0</x:v>
      </x:c>
      <x:c r="G18" s="13" t="str"/>
      <x:c r="H18" s="13" t="str"/>
      <x:c r="I18" s="13" t="str"/>
      <x:c r="J18" s="13" t="str">
        <x:v>未开始</x:v>
      </x:c>
    </x:row>
    <x:row r="19">
      <x:c r="A19" s="13" t="str">
        <x:v>AP-014</x:v>
      </x:c>
      <x:c r="B19" s="13" t="str"/>
      <x:c r="C19" s="17" t="n">
        <x:v>0</x:v>
      </x:c>
      <x:c r="D19" s="17" t="n">
        <x:v>0</x:v>
      </x:c>
      <x:c r="E19" s="17" t="n">
        <x:v>0</x:v>
      </x:c>
      <x:c r="F19" s="16" t="n">
        <x:f>C19+E19-D19</x:f>
        <x:v>0</x:v>
      </x:c>
      <x:c r="G19" s="13" t="str"/>
      <x:c r="H19" s="13" t="str"/>
      <x:c r="I19" s="13" t="str"/>
      <x:c r="J19" s="13" t="str">
        <x:v>未开始</x:v>
      </x:c>
    </x:row>
    <x:row r="20">
      <x:c r="A20" s="13" t="str">
        <x:v>AP-015</x:v>
      </x:c>
      <x:c r="B20" s="13" t="str"/>
      <x:c r="C20" s="17" t="n">
        <x:v>0</x:v>
      </x:c>
      <x:c r="D20" s="17" t="n">
        <x:v>0</x:v>
      </x:c>
      <x:c r="E20" s="17" t="n">
        <x:v>0</x:v>
      </x:c>
      <x:c r="F20" s="16" t="n">
        <x:f>C20+E20-D20</x:f>
        <x:v>0</x:v>
      </x:c>
      <x:c r="G20" s="13" t="str"/>
      <x:c r="H20" s="13" t="str"/>
      <x:c r="I20" s="13" t="str"/>
      <x:c r="J20" s="13" t="str">
        <x:v>未开始</x:v>
      </x:c>
    </x:row>
    <x:row r="21">
      <x:c r="A21" s="13" t="str">
        <x:v>AP-016</x:v>
      </x:c>
      <x:c r="B21" s="13" t="str"/>
      <x:c r="C21" s="17" t="n">
        <x:v>0</x:v>
      </x:c>
      <x:c r="D21" s="17" t="n">
        <x:v>0</x:v>
      </x:c>
      <x:c r="E21" s="17" t="n">
        <x:v>0</x:v>
      </x:c>
      <x:c r="F21" s="16" t="n">
        <x:f>C21+E21-D21</x:f>
        <x:v>0</x:v>
      </x:c>
      <x:c r="G21" s="13" t="str"/>
      <x:c r="H21" s="13" t="str"/>
      <x:c r="I21" s="13" t="str"/>
      <x:c r="J21" s="13" t="str">
        <x:v>未开始</x:v>
      </x:c>
    </x:row>
    <x:row r="22">
      <x:c r="A22" s="13" t="str">
        <x:v>AP-017</x:v>
      </x:c>
      <x:c r="B22" s="13" t="str"/>
      <x:c r="C22" s="17" t="n">
        <x:v>0</x:v>
      </x:c>
      <x:c r="D22" s="17" t="n">
        <x:v>0</x:v>
      </x:c>
      <x:c r="E22" s="17" t="n">
        <x:v>0</x:v>
      </x:c>
      <x:c r="F22" s="16" t="n">
        <x:f>C22+E22-D22</x:f>
        <x:v>0</x:v>
      </x:c>
      <x:c r="G22" s="13" t="str"/>
      <x:c r="H22" s="13" t="str"/>
      <x:c r="I22" s="13" t="str"/>
      <x:c r="J22" s="13" t="str">
        <x:v>未开始</x:v>
      </x:c>
    </x:row>
    <x:row r="23">
      <x:c r="A23" s="13" t="str">
        <x:v>AP-018</x:v>
      </x:c>
      <x:c r="B23" s="13" t="str"/>
      <x:c r="C23" s="17" t="n">
        <x:v>0</x:v>
      </x:c>
      <x:c r="D23" s="17" t="n">
        <x:v>0</x:v>
      </x:c>
      <x:c r="E23" s="17" t="n">
        <x:v>0</x:v>
      </x:c>
      <x:c r="F23" s="16" t="n">
        <x:f>C23+E23-D23</x:f>
        <x:v>0</x:v>
      </x:c>
      <x:c r="G23" s="13" t="str"/>
      <x:c r="H23" s="13" t="str"/>
      <x:c r="I23" s="13" t="str"/>
      <x:c r="J23" s="13" t="str">
        <x:v>未开始</x:v>
      </x:c>
    </x:row>
    <x:row r="24">
      <x:c r="A24" s="13" t="str">
        <x:v>AP-019</x:v>
      </x:c>
      <x:c r="B24" s="13" t="str"/>
      <x:c r="C24" s="17" t="n">
        <x:v>0</x:v>
      </x:c>
      <x:c r="D24" s="17" t="n">
        <x:v>0</x:v>
      </x:c>
      <x:c r="E24" s="17" t="n">
        <x:v>0</x:v>
      </x:c>
      <x:c r="F24" s="16" t="n">
        <x:f>C24+E24-D24</x:f>
        <x:v>0</x:v>
      </x:c>
      <x:c r="G24" s="13" t="str"/>
      <x:c r="H24" s="13" t="str"/>
      <x:c r="I24" s="13" t="str"/>
      <x:c r="J24" s="13" t="str">
        <x:v>未开始</x:v>
      </x:c>
    </x:row>
    <x:row r="25">
      <x:c r="A25" s="13" t="str">
        <x:v>AP-020</x:v>
      </x:c>
      <x:c r="B25" s="13" t="str"/>
      <x:c r="C25" s="17" t="n">
        <x:v>0</x:v>
      </x:c>
      <x:c r="D25" s="17" t="n">
        <x:v>0</x:v>
      </x:c>
      <x:c r="E25" s="17" t="n">
        <x:v>0</x:v>
      </x:c>
      <x:c r="F25" s="16" t="n">
        <x:f>C25+E25-D25</x:f>
        <x:v>0</x:v>
      </x:c>
      <x:c r="G25" s="13" t="str"/>
      <x:c r="H25" s="13" t="str"/>
      <x:c r="I25" s="13" t="str"/>
      <x:c r="J25" s="13" t="str">
        <x:v>未开始</x:v>
      </x:c>
    </x:row>
  </x:sheetData>
  <x:mergeCells>
    <x:mergeCell ref="A1:J1"/>
    <x:mergeCell ref="A2:J2"/>
  </x:mergeCells>
  <x:conditionalFormatting sqref="J6:J25">
    <x:cfRule type="containsText" dxfId="9" priority="1" operator="containsText" text="已完成"/>
    <x:cfRule type="containsText" dxfId="10" priority="2" operator="containsText" text="未开始"/>
    <x:cfRule type="containsText" dxfId="11" priority="3" operator="containsText" text="异常"/>
  </x:conditionalFormatting>
  <x:dataValidations count="1">
    <x:dataValidation type="list" sqref="J6:J2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24d3b41d8546d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4" hidden="0" customWidth="1"/>
    <x:col min="10" max="10" width="28" hidden="0" customWidth="1"/>
    <x:col min="11" max="11" width="13" hidden="0" customWidth="1"/>
    <x:col min="12" max="12" width="11" hidden="0" customWidth="1"/>
  </x:cols>
  <x:sheetData>
    <x:row r="1" ht="30" customHeight="1">
      <x:c r="A1" s="1" t="str">
        <x:v>暂估台账</x:v>
      </x:c>
    </x:row>
    <x:row r="2" ht="25" customHeight="1">
      <x:c r="A2" s="3" t="str">
        <x:v>货到/服务已发生未收票；逐项跟踪到票、冲销和价差。</x:v>
      </x:c>
    </x:row>
    <x:row r="5" ht="35" customHeight="1">
      <x:c r="A5" s="9" t="str">
        <x:v>编号</x:v>
      </x:c>
      <x:c r="B5" s="9" t="str">
        <x:v>供应商</x:v>
      </x:c>
      <x:c r="C5" s="9" t="str">
        <x:v>业务/PO</x:v>
      </x:c>
      <x:c r="D5" s="9" t="str">
        <x:v>收货/验收日</x:v>
      </x:c>
      <x:c r="E5" s="9" t="str">
        <x:v>不含税暂估</x:v>
      </x:c>
      <x:c r="F5" s="9" t="str">
        <x:v>已到票金额</x:v>
      </x:c>
      <x:c r="G5" s="9" t="str">
        <x:v>未到票余额</x:v>
      </x:c>
      <x:c r="H5" s="9" t="str">
        <x:v>账龄天数</x:v>
      </x:c>
      <x:c r="I5" s="9" t="str">
        <x:v>价差</x:v>
      </x:c>
      <x:c r="J5" s="9" t="str">
        <x:v>下步动作</x:v>
      </x:c>
      <x:c r="K5" s="9" t="str">
        <x:v>责任人</x:v>
      </x:c>
      <x:c r="L5" s="9" t="str">
        <x:v>状态</x:v>
      </x:c>
    </x:row>
    <x:row r="6">
      <x:c r="A6" s="13" t="str">
        <x:v>AC-001</x:v>
      </x:c>
      <x:c r="B6" s="13" t="str"/>
      <x:c r="C6" s="13" t="str"/>
      <x:c r="D6" s="18"/>
      <x:c r="E6" s="17" t="n">
        <x:v>0</x:v>
      </x:c>
      <x:c r="F6" s="17" t="n">
        <x:v>0</x:v>
      </x:c>
      <x:c r="G6" s="16" t="n">
        <x:f>E6-F6</x:f>
        <x:v>0</x:v>
      </x:c>
      <x:c r="H6" s="13" t="str">
        <x:f>IF(D6="","",TODAY()-D6)</x:f>
      </x:c>
      <x:c r="I6" s="13" t="n">
        <x:v>0</x:v>
      </x:c>
      <x:c r="J6" s="13" t="str"/>
      <x:c r="K6" s="13" t="str"/>
      <x:c r="L6" s="13" t="str">
        <x:v>未开始</x:v>
      </x:c>
    </x:row>
    <x:row r="7">
      <x:c r="A7" s="13" t="str">
        <x:v>AC-002</x:v>
      </x:c>
      <x:c r="B7" s="13" t="str"/>
      <x:c r="C7" s="13" t="str"/>
      <x:c r="D7" s="18"/>
      <x:c r="E7" s="17" t="n">
        <x:v>0</x:v>
      </x:c>
      <x:c r="F7" s="17" t="n">
        <x:v>0</x:v>
      </x:c>
      <x:c r="G7" s="16" t="n">
        <x:f>E7-F7</x:f>
        <x:v>0</x:v>
      </x:c>
      <x:c r="H7" s="13" t="str">
        <x:f>IF(D7="","",TODAY()-D7)</x:f>
      </x:c>
      <x:c r="I7" s="13" t="n">
        <x:v>0</x:v>
      </x:c>
      <x:c r="J7" s="13" t="str"/>
      <x:c r="K7" s="13" t="str"/>
      <x:c r="L7" s="13" t="str">
        <x:v>未开始</x:v>
      </x:c>
    </x:row>
    <x:row r="8">
      <x:c r="A8" s="13" t="str">
        <x:v>AC-003</x:v>
      </x:c>
      <x:c r="B8" s="13" t="str"/>
      <x:c r="C8" s="13" t="str"/>
      <x:c r="D8" s="18"/>
      <x:c r="E8" s="17" t="n">
        <x:v>0</x:v>
      </x:c>
      <x:c r="F8" s="17" t="n">
        <x:v>0</x:v>
      </x:c>
      <x:c r="G8" s="16" t="n">
        <x:f>E8-F8</x:f>
        <x:v>0</x:v>
      </x:c>
      <x:c r="H8" s="13" t="str">
        <x:f>IF(D8="","",TODAY()-D8)</x:f>
      </x:c>
      <x:c r="I8" s="13" t="n">
        <x:v>0</x:v>
      </x:c>
      <x:c r="J8" s="13" t="str"/>
      <x:c r="K8" s="13" t="str"/>
      <x:c r="L8" s="13" t="str">
        <x:v>未开始</x:v>
      </x:c>
    </x:row>
    <x:row r="9">
      <x:c r="A9" s="13" t="str">
        <x:v>AC-004</x:v>
      </x:c>
      <x:c r="B9" s="13" t="str"/>
      <x:c r="C9" s="13" t="str"/>
      <x:c r="D9" s="18"/>
      <x:c r="E9" s="17" t="n">
        <x:v>0</x:v>
      </x:c>
      <x:c r="F9" s="17" t="n">
        <x:v>0</x:v>
      </x:c>
      <x:c r="G9" s="16" t="n">
        <x:f>E9-F9</x:f>
        <x:v>0</x:v>
      </x:c>
      <x:c r="H9" s="13" t="str">
        <x:f>IF(D9="","",TODAY()-D9)</x:f>
      </x:c>
      <x:c r="I9" s="13" t="n">
        <x:v>0</x:v>
      </x:c>
      <x:c r="J9" s="13" t="str"/>
      <x:c r="K9" s="13" t="str"/>
      <x:c r="L9" s="13" t="str">
        <x:v>未开始</x:v>
      </x:c>
    </x:row>
    <x:row r="10">
      <x:c r="A10" s="13" t="str">
        <x:v>AC-005</x:v>
      </x:c>
      <x:c r="B10" s="13" t="str"/>
      <x:c r="C10" s="13" t="str"/>
      <x:c r="D10" s="18"/>
      <x:c r="E10" s="17" t="n">
        <x:v>0</x:v>
      </x:c>
      <x:c r="F10" s="17" t="n">
        <x:v>0</x:v>
      </x:c>
      <x:c r="G10" s="16" t="n">
        <x:f>E10-F10</x:f>
        <x:v>0</x:v>
      </x:c>
      <x:c r="H10" s="13" t="str">
        <x:f>IF(D10="","",TODAY()-D10)</x:f>
      </x:c>
      <x:c r="I10" s="13" t="n">
        <x:v>0</x:v>
      </x:c>
      <x:c r="J10" s="13" t="str"/>
      <x:c r="K10" s="13" t="str"/>
      <x:c r="L10" s="13" t="str">
        <x:v>未开始</x:v>
      </x:c>
    </x:row>
    <x:row r="11">
      <x:c r="A11" s="13" t="str">
        <x:v>AC-006</x:v>
      </x:c>
      <x:c r="B11" s="13" t="str"/>
      <x:c r="C11" s="13" t="str"/>
      <x:c r="D11" s="18"/>
      <x:c r="E11" s="17" t="n">
        <x:v>0</x:v>
      </x:c>
      <x:c r="F11" s="17" t="n">
        <x:v>0</x:v>
      </x:c>
      <x:c r="G11" s="16" t="n">
        <x:f>E11-F11</x:f>
        <x:v>0</x:v>
      </x:c>
      <x:c r="H11" s="13" t="str">
        <x:f>IF(D11="","",TODAY()-D11)</x:f>
      </x:c>
      <x:c r="I11" s="13" t="n">
        <x:v>0</x:v>
      </x:c>
      <x:c r="J11" s="13" t="str"/>
      <x:c r="K11" s="13" t="str"/>
      <x:c r="L11" s="13" t="str">
        <x:v>未开始</x:v>
      </x:c>
    </x:row>
    <x:row r="12">
      <x:c r="A12" s="13" t="str">
        <x:v>AC-007</x:v>
      </x:c>
      <x:c r="B12" s="13" t="str"/>
      <x:c r="C12" s="13" t="str"/>
      <x:c r="D12" s="18"/>
      <x:c r="E12" s="17" t="n">
        <x:v>0</x:v>
      </x:c>
      <x:c r="F12" s="17" t="n">
        <x:v>0</x:v>
      </x:c>
      <x:c r="G12" s="16" t="n">
        <x:f>E12-F12</x:f>
        <x:v>0</x:v>
      </x:c>
      <x:c r="H12" s="13" t="str">
        <x:f>IF(D12="","",TODAY()-D12)</x:f>
      </x:c>
      <x:c r="I12" s="13" t="n">
        <x:v>0</x:v>
      </x:c>
      <x:c r="J12" s="13" t="str"/>
      <x:c r="K12" s="13" t="str"/>
      <x:c r="L12" s="13" t="str">
        <x:v>未开始</x:v>
      </x:c>
    </x:row>
    <x:row r="13">
      <x:c r="A13" s="13" t="str">
        <x:v>AC-008</x:v>
      </x:c>
      <x:c r="B13" s="13" t="str"/>
      <x:c r="C13" s="13" t="str"/>
      <x:c r="D13" s="18"/>
      <x:c r="E13" s="17" t="n">
        <x:v>0</x:v>
      </x:c>
      <x:c r="F13" s="17" t="n">
        <x:v>0</x:v>
      </x:c>
      <x:c r="G13" s="16" t="n">
        <x:f>E13-F13</x:f>
        <x:v>0</x:v>
      </x:c>
      <x:c r="H13" s="13" t="str">
        <x:f>IF(D13="","",TODAY()-D13)</x:f>
      </x:c>
      <x:c r="I13" s="13" t="n">
        <x:v>0</x:v>
      </x:c>
      <x:c r="J13" s="13" t="str"/>
      <x:c r="K13" s="13" t="str"/>
      <x:c r="L13" s="13" t="str">
        <x:v>未开始</x:v>
      </x:c>
    </x:row>
    <x:row r="14">
      <x:c r="A14" s="13" t="str">
        <x:v>AC-009</x:v>
      </x:c>
      <x:c r="B14" s="13" t="str"/>
      <x:c r="C14" s="13" t="str"/>
      <x:c r="D14" s="18"/>
      <x:c r="E14" s="17" t="n">
        <x:v>0</x:v>
      </x:c>
      <x:c r="F14" s="17" t="n">
        <x:v>0</x:v>
      </x:c>
      <x:c r="G14" s="16" t="n">
        <x:f>E14-F14</x:f>
        <x:v>0</x:v>
      </x:c>
      <x:c r="H14" s="13" t="str">
        <x:f>IF(D14="","",TODAY()-D14)</x:f>
      </x:c>
      <x:c r="I14" s="13" t="n">
        <x:v>0</x:v>
      </x:c>
      <x:c r="J14" s="13" t="str"/>
      <x:c r="K14" s="13" t="str"/>
      <x:c r="L14" s="13" t="str">
        <x:v>未开始</x:v>
      </x:c>
    </x:row>
    <x:row r="15">
      <x:c r="A15" s="13" t="str">
        <x:v>AC-010</x:v>
      </x:c>
      <x:c r="B15" s="13" t="str"/>
      <x:c r="C15" s="13" t="str"/>
      <x:c r="D15" s="18"/>
      <x:c r="E15" s="17" t="n">
        <x:v>0</x:v>
      </x:c>
      <x:c r="F15" s="17" t="n">
        <x:v>0</x:v>
      </x:c>
      <x:c r="G15" s="16" t="n">
        <x:f>E15-F15</x:f>
        <x:v>0</x:v>
      </x:c>
      <x:c r="H15" s="13" t="str">
        <x:f>IF(D15="","",TODAY()-D15)</x:f>
      </x:c>
      <x:c r="I15" s="13" t="n">
        <x:v>0</x:v>
      </x:c>
      <x:c r="J15" s="13" t="str"/>
      <x:c r="K15" s="13" t="str"/>
      <x:c r="L15" s="13" t="str">
        <x:v>未开始</x:v>
      </x:c>
    </x:row>
    <x:row r="16">
      <x:c r="A16" s="13" t="str">
        <x:v>AC-011</x:v>
      </x:c>
      <x:c r="B16" s="13" t="str"/>
      <x:c r="C16" s="13" t="str"/>
      <x:c r="D16" s="18"/>
      <x:c r="E16" s="17" t="n">
        <x:v>0</x:v>
      </x:c>
      <x:c r="F16" s="17" t="n">
        <x:v>0</x:v>
      </x:c>
      <x:c r="G16" s="16" t="n">
        <x:f>E16-F16</x:f>
        <x:v>0</x:v>
      </x:c>
      <x:c r="H16" s="13" t="str">
        <x:f>IF(D16="","",TODAY()-D16)</x:f>
      </x:c>
      <x:c r="I16" s="13" t="n">
        <x:v>0</x:v>
      </x:c>
      <x:c r="J16" s="13" t="str"/>
      <x:c r="K16" s="13" t="str"/>
      <x:c r="L16" s="13" t="str">
        <x:v>未开始</x:v>
      </x:c>
    </x:row>
    <x:row r="17">
      <x:c r="A17" s="13" t="str">
        <x:v>AC-012</x:v>
      </x:c>
      <x:c r="B17" s="13" t="str"/>
      <x:c r="C17" s="13" t="str"/>
      <x:c r="D17" s="18"/>
      <x:c r="E17" s="17" t="n">
        <x:v>0</x:v>
      </x:c>
      <x:c r="F17" s="17" t="n">
        <x:v>0</x:v>
      </x:c>
      <x:c r="G17" s="16" t="n">
        <x:f>E17-F17</x:f>
        <x:v>0</x:v>
      </x:c>
      <x:c r="H17" s="13" t="str">
        <x:f>IF(D17="","",TODAY()-D17)</x:f>
      </x:c>
      <x:c r="I17" s="13" t="n">
        <x:v>0</x:v>
      </x:c>
      <x:c r="J17" s="13" t="str"/>
      <x:c r="K17" s="13" t="str"/>
      <x:c r="L17" s="13" t="str">
        <x:v>未开始</x:v>
      </x:c>
    </x:row>
    <x:row r="18">
      <x:c r="A18" s="13" t="str">
        <x:v>AC-013</x:v>
      </x:c>
      <x:c r="B18" s="13" t="str"/>
      <x:c r="C18" s="13" t="str"/>
      <x:c r="D18" s="18"/>
      <x:c r="E18" s="17" t="n">
        <x:v>0</x:v>
      </x:c>
      <x:c r="F18" s="17" t="n">
        <x:v>0</x:v>
      </x:c>
      <x:c r="G18" s="16" t="n">
        <x:f>E18-F18</x:f>
        <x:v>0</x:v>
      </x:c>
      <x:c r="H18" s="13" t="str">
        <x:f>IF(D18="","",TODAY()-D18)</x:f>
      </x:c>
      <x:c r="I18" s="13" t="n">
        <x:v>0</x:v>
      </x:c>
      <x:c r="J18" s="13" t="str"/>
      <x:c r="K18" s="13" t="str"/>
      <x:c r="L18" s="13" t="str">
        <x:v>未开始</x:v>
      </x:c>
    </x:row>
    <x:row r="19">
      <x:c r="A19" s="13" t="str">
        <x:v>AC-014</x:v>
      </x:c>
      <x:c r="B19" s="13" t="str"/>
      <x:c r="C19" s="13" t="str"/>
      <x:c r="D19" s="18"/>
      <x:c r="E19" s="17" t="n">
        <x:v>0</x:v>
      </x:c>
      <x:c r="F19" s="17" t="n">
        <x:v>0</x:v>
      </x:c>
      <x:c r="G19" s="16" t="n">
        <x:f>E19-F19</x:f>
        <x:v>0</x:v>
      </x:c>
      <x:c r="H19" s="13" t="str">
        <x:f>IF(D19="","",TODAY()-D19)</x:f>
      </x:c>
      <x:c r="I19" s="13" t="n">
        <x:v>0</x:v>
      </x:c>
      <x:c r="J19" s="13" t="str"/>
      <x:c r="K19" s="13" t="str"/>
      <x:c r="L19" s="13" t="str">
        <x:v>未开始</x:v>
      </x:c>
    </x:row>
    <x:row r="20">
      <x:c r="A20" s="13" t="str">
        <x:v>AC-015</x:v>
      </x:c>
      <x:c r="B20" s="13" t="str"/>
      <x:c r="C20" s="13" t="str"/>
      <x:c r="D20" s="18"/>
      <x:c r="E20" s="17" t="n">
        <x:v>0</x:v>
      </x:c>
      <x:c r="F20" s="17" t="n">
        <x:v>0</x:v>
      </x:c>
      <x:c r="G20" s="16" t="n">
        <x:f>E20-F20</x:f>
        <x:v>0</x:v>
      </x:c>
      <x:c r="H20" s="13" t="str">
        <x:f>IF(D20="","",TODAY()-D20)</x:f>
      </x:c>
      <x:c r="I20" s="13" t="n">
        <x:v>0</x:v>
      </x:c>
      <x:c r="J20" s="13" t="str"/>
      <x:c r="K20" s="13" t="str"/>
      <x:c r="L20" s="13" t="str">
        <x:v>未开始</x:v>
      </x:c>
    </x:row>
    <x:row r="21">
      <x:c r="A21" s="13" t="str">
        <x:v>AC-016</x:v>
      </x:c>
      <x:c r="B21" s="13" t="str"/>
      <x:c r="C21" s="13" t="str"/>
      <x:c r="D21" s="18"/>
      <x:c r="E21" s="17" t="n">
        <x:v>0</x:v>
      </x:c>
      <x:c r="F21" s="17" t="n">
        <x:v>0</x:v>
      </x:c>
      <x:c r="G21" s="16" t="n">
        <x:f>E21-F21</x:f>
        <x:v>0</x:v>
      </x:c>
      <x:c r="H21" s="13" t="str">
        <x:f>IF(D21="","",TODAY()-D21)</x:f>
      </x:c>
      <x:c r="I21" s="13" t="n">
        <x:v>0</x:v>
      </x:c>
      <x:c r="J21" s="13" t="str"/>
      <x:c r="K21" s="13" t="str"/>
      <x:c r="L21" s="13" t="str">
        <x:v>未开始</x:v>
      </x:c>
    </x:row>
    <x:row r="22">
      <x:c r="A22" s="13" t="str">
        <x:v>AC-017</x:v>
      </x:c>
      <x:c r="B22" s="13" t="str"/>
      <x:c r="C22" s="13" t="str"/>
      <x:c r="D22" s="18"/>
      <x:c r="E22" s="17" t="n">
        <x:v>0</x:v>
      </x:c>
      <x:c r="F22" s="17" t="n">
        <x:v>0</x:v>
      </x:c>
      <x:c r="G22" s="16" t="n">
        <x:f>E22-F22</x:f>
        <x:v>0</x:v>
      </x:c>
      <x:c r="H22" s="13" t="str">
        <x:f>IF(D22="","",TODAY()-D22)</x:f>
      </x:c>
      <x:c r="I22" s="13" t="n">
        <x:v>0</x:v>
      </x:c>
      <x:c r="J22" s="13" t="str"/>
      <x:c r="K22" s="13" t="str"/>
      <x:c r="L22" s="13" t="str">
        <x:v>未开始</x:v>
      </x:c>
    </x:row>
    <x:row r="23">
      <x:c r="A23" s="13" t="str">
        <x:v>AC-018</x:v>
      </x:c>
      <x:c r="B23" s="13" t="str"/>
      <x:c r="C23" s="13" t="str"/>
      <x:c r="D23" s="18"/>
      <x:c r="E23" s="17" t="n">
        <x:v>0</x:v>
      </x:c>
      <x:c r="F23" s="17" t="n">
        <x:v>0</x:v>
      </x:c>
      <x:c r="G23" s="16" t="n">
        <x:f>E23-F23</x:f>
        <x:v>0</x:v>
      </x:c>
      <x:c r="H23" s="13" t="str">
        <x:f>IF(D23="","",TODAY()-D23)</x:f>
      </x:c>
      <x:c r="I23" s="13" t="n">
        <x:v>0</x:v>
      </x:c>
      <x:c r="J23" s="13" t="str"/>
      <x:c r="K23" s="13" t="str"/>
      <x:c r="L23" s="13" t="str">
        <x:v>未开始</x:v>
      </x:c>
    </x:row>
    <x:row r="24">
      <x:c r="A24" s="13" t="str">
        <x:v>AC-019</x:v>
      </x:c>
      <x:c r="B24" s="13" t="str"/>
      <x:c r="C24" s="13" t="str"/>
      <x:c r="D24" s="18"/>
      <x:c r="E24" s="17" t="n">
        <x:v>0</x:v>
      </x:c>
      <x:c r="F24" s="17" t="n">
        <x:v>0</x:v>
      </x:c>
      <x:c r="G24" s="16" t="n">
        <x:f>E24-F24</x:f>
        <x:v>0</x:v>
      </x:c>
      <x:c r="H24" s="13" t="str">
        <x:f>IF(D24="","",TODAY()-D24)</x:f>
      </x:c>
      <x:c r="I24" s="13" t="n">
        <x:v>0</x:v>
      </x:c>
      <x:c r="J24" s="13" t="str"/>
      <x:c r="K24" s="13" t="str"/>
      <x:c r="L24" s="13" t="str">
        <x:v>未开始</x:v>
      </x:c>
    </x:row>
    <x:row r="25">
      <x:c r="A25" s="13" t="str">
        <x:v>AC-020</x:v>
      </x:c>
      <x:c r="B25" s="13" t="str"/>
      <x:c r="C25" s="13" t="str"/>
      <x:c r="D25" s="18"/>
      <x:c r="E25" s="17" t="n">
        <x:v>0</x:v>
      </x:c>
      <x:c r="F25" s="17" t="n">
        <x:v>0</x:v>
      </x:c>
      <x:c r="G25" s="16" t="n">
        <x:f>E25-F25</x:f>
        <x:v>0</x:v>
      </x:c>
      <x:c r="H25" s="13" t="str">
        <x:f>IF(D25="","",TODAY()-D25)</x:f>
      </x:c>
      <x:c r="I25" s="13" t="n">
        <x:v>0</x:v>
      </x:c>
      <x:c r="J25" s="13" t="str"/>
      <x:c r="K25" s="13" t="str"/>
      <x:c r="L25" s="13" t="str">
        <x:v>未开始</x:v>
      </x:c>
    </x:row>
    <x:row r="26">
      <x:c r="A26" s="13" t="str">
        <x:v>AC-021</x:v>
      </x:c>
      <x:c r="B26" s="13" t="str"/>
      <x:c r="C26" s="13" t="str"/>
      <x:c r="D26" s="18"/>
      <x:c r="E26" s="17" t="n">
        <x:v>0</x:v>
      </x:c>
      <x:c r="F26" s="17" t="n">
        <x:v>0</x:v>
      </x:c>
      <x:c r="G26" s="16" t="n">
        <x:f>E26-F26</x:f>
        <x:v>0</x:v>
      </x:c>
      <x:c r="H26" s="13" t="str">
        <x:f>IF(D26="","",TODAY()-D26)</x:f>
      </x:c>
      <x:c r="I26" s="13" t="n">
        <x:v>0</x:v>
      </x:c>
      <x:c r="J26" s="13" t="str"/>
      <x:c r="K26" s="13" t="str"/>
      <x:c r="L26" s="13" t="str">
        <x:v>未开始</x:v>
      </x:c>
    </x:row>
    <x:row r="27">
      <x:c r="A27" s="13" t="str">
        <x:v>AC-022</x:v>
      </x:c>
      <x:c r="B27" s="13" t="str"/>
      <x:c r="C27" s="13" t="str"/>
      <x:c r="D27" s="18"/>
      <x:c r="E27" s="17" t="n">
        <x:v>0</x:v>
      </x:c>
      <x:c r="F27" s="17" t="n">
        <x:v>0</x:v>
      </x:c>
      <x:c r="G27" s="16" t="n">
        <x:f>E27-F27</x:f>
        <x:v>0</x:v>
      </x:c>
      <x:c r="H27" s="13" t="str">
        <x:f>IF(D27="","",TODAY()-D27)</x:f>
      </x:c>
      <x:c r="I27" s="13" t="n">
        <x:v>0</x:v>
      </x:c>
      <x:c r="J27" s="13" t="str"/>
      <x:c r="K27" s="13" t="str"/>
      <x:c r="L27" s="13" t="str">
        <x:v>未开始</x:v>
      </x:c>
    </x:row>
    <x:row r="28">
      <x:c r="A28" s="13" t="str">
        <x:v>AC-023</x:v>
      </x:c>
      <x:c r="B28" s="13" t="str"/>
      <x:c r="C28" s="13" t="str"/>
      <x:c r="D28" s="18"/>
      <x:c r="E28" s="17" t="n">
        <x:v>0</x:v>
      </x:c>
      <x:c r="F28" s="17" t="n">
        <x:v>0</x:v>
      </x:c>
      <x:c r="G28" s="16" t="n">
        <x:f>E28-F28</x:f>
        <x:v>0</x:v>
      </x:c>
      <x:c r="H28" s="13" t="str">
        <x:f>IF(D28="","",TODAY()-D28)</x:f>
      </x:c>
      <x:c r="I28" s="13" t="n">
        <x:v>0</x:v>
      </x:c>
      <x:c r="J28" s="13" t="str"/>
      <x:c r="K28" s="13" t="str"/>
      <x:c r="L28" s="13" t="str">
        <x:v>未开始</x:v>
      </x:c>
    </x:row>
    <x:row r="29">
      <x:c r="A29" s="13" t="str">
        <x:v>AC-024</x:v>
      </x:c>
      <x:c r="B29" s="13" t="str"/>
      <x:c r="C29" s="13" t="str"/>
      <x:c r="D29" s="18"/>
      <x:c r="E29" s="17" t="n">
        <x:v>0</x:v>
      </x:c>
      <x:c r="F29" s="17" t="n">
        <x:v>0</x:v>
      </x:c>
      <x:c r="G29" s="16" t="n">
        <x:f>E29-F29</x:f>
        <x:v>0</x:v>
      </x:c>
      <x:c r="H29" s="13" t="str">
        <x:f>IF(D29="","",TODAY()-D29)</x:f>
      </x:c>
      <x:c r="I29" s="13" t="n">
        <x:v>0</x:v>
      </x:c>
      <x:c r="J29" s="13" t="str"/>
      <x:c r="K29" s="13" t="str"/>
      <x:c r="L29" s="13" t="str">
        <x:v>未开始</x:v>
      </x:c>
    </x:row>
    <x:row r="30">
      <x:c r="A30" s="13" t="str">
        <x:v>AC-025</x:v>
      </x:c>
      <x:c r="B30" s="13" t="str"/>
      <x:c r="C30" s="13" t="str"/>
      <x:c r="D30" s="18"/>
      <x:c r="E30" s="17" t="n">
        <x:v>0</x:v>
      </x:c>
      <x:c r="F30" s="17" t="n">
        <x:v>0</x:v>
      </x:c>
      <x:c r="G30" s="16" t="n">
        <x:f>E30-F30</x:f>
        <x:v>0</x:v>
      </x:c>
      <x:c r="H30" s="13" t="str">
        <x:f>IF(D30="","",TODAY()-D30)</x:f>
      </x:c>
      <x:c r="I30" s="13" t="n">
        <x:v>0</x:v>
      </x:c>
      <x:c r="J30" s="13" t="str"/>
      <x:c r="K30" s="13" t="str"/>
      <x:c r="L30" s="13" t="str">
        <x:v>未开始</x:v>
      </x:c>
    </x:row>
    <x:row r="31">
      <x:c r="A31" s="13" t="str">
        <x:v>AC-026</x:v>
      </x:c>
      <x:c r="B31" s="13" t="str"/>
      <x:c r="C31" s="13" t="str"/>
      <x:c r="D31" s="18"/>
      <x:c r="E31" s="17" t="n">
        <x:v>0</x:v>
      </x:c>
      <x:c r="F31" s="17" t="n">
        <x:v>0</x:v>
      </x:c>
      <x:c r="G31" s="16" t="n">
        <x:f>E31-F31</x:f>
        <x:v>0</x:v>
      </x:c>
      <x:c r="H31" s="13" t="str">
        <x:f>IF(D31="","",TODAY()-D31)</x:f>
      </x:c>
      <x:c r="I31" s="13" t="n">
        <x:v>0</x:v>
      </x:c>
      <x:c r="J31" s="13" t="str"/>
      <x:c r="K31" s="13" t="str"/>
      <x:c r="L31" s="13" t="str">
        <x:v>未开始</x:v>
      </x:c>
    </x:row>
    <x:row r="32">
      <x:c r="A32" s="13" t="str">
        <x:v>AC-027</x:v>
      </x:c>
      <x:c r="B32" s="13" t="str"/>
      <x:c r="C32" s="13" t="str"/>
      <x:c r="D32" s="18"/>
      <x:c r="E32" s="17" t="n">
        <x:v>0</x:v>
      </x:c>
      <x:c r="F32" s="17" t="n">
        <x:v>0</x:v>
      </x:c>
      <x:c r="G32" s="16" t="n">
        <x:f>E32-F32</x:f>
        <x:v>0</x:v>
      </x:c>
      <x:c r="H32" s="13" t="str">
        <x:f>IF(D32="","",TODAY()-D32)</x:f>
      </x:c>
      <x:c r="I32" s="13" t="n">
        <x:v>0</x:v>
      </x:c>
      <x:c r="J32" s="13" t="str"/>
      <x:c r="K32" s="13" t="str"/>
      <x:c r="L32" s="13" t="str">
        <x:v>未开始</x:v>
      </x:c>
    </x:row>
    <x:row r="33">
      <x:c r="A33" s="13" t="str">
        <x:v>AC-028</x:v>
      </x:c>
      <x:c r="B33" s="13" t="str"/>
      <x:c r="C33" s="13" t="str"/>
      <x:c r="D33" s="18"/>
      <x:c r="E33" s="17" t="n">
        <x:v>0</x:v>
      </x:c>
      <x:c r="F33" s="17" t="n">
        <x:v>0</x:v>
      </x:c>
      <x:c r="G33" s="16" t="n">
        <x:f>E33-F33</x:f>
        <x:v>0</x:v>
      </x:c>
      <x:c r="H33" s="13" t="str">
        <x:f>IF(D33="","",TODAY()-D33)</x:f>
      </x:c>
      <x:c r="I33" s="13" t="n">
        <x:v>0</x:v>
      </x:c>
      <x:c r="J33" s="13" t="str"/>
      <x:c r="K33" s="13" t="str"/>
      <x:c r="L33" s="13" t="str">
        <x:v>未开始</x:v>
      </x:c>
    </x:row>
    <x:row r="34">
      <x:c r="A34" s="13" t="str">
        <x:v>AC-029</x:v>
      </x:c>
      <x:c r="B34" s="13" t="str"/>
      <x:c r="C34" s="13" t="str"/>
      <x:c r="D34" s="18"/>
      <x:c r="E34" s="17" t="n">
        <x:v>0</x:v>
      </x:c>
      <x:c r="F34" s="17" t="n">
        <x:v>0</x:v>
      </x:c>
      <x:c r="G34" s="16" t="n">
        <x:f>E34-F34</x:f>
        <x:v>0</x:v>
      </x:c>
      <x:c r="H34" s="13" t="str">
        <x:f>IF(D34="","",TODAY()-D34)</x:f>
      </x:c>
      <x:c r="I34" s="13" t="n">
        <x:v>0</x:v>
      </x:c>
      <x:c r="J34" s="13" t="str"/>
      <x:c r="K34" s="13" t="str"/>
      <x:c r="L34" s="13" t="str">
        <x:v>未开始</x:v>
      </x:c>
    </x:row>
    <x:row r="35">
      <x:c r="A35" s="13" t="str">
        <x:v>AC-030</x:v>
      </x:c>
      <x:c r="B35" s="13" t="str"/>
      <x:c r="C35" s="13" t="str"/>
      <x:c r="D35" s="18"/>
      <x:c r="E35" s="17" t="n">
        <x:v>0</x:v>
      </x:c>
      <x:c r="F35" s="17" t="n">
        <x:v>0</x:v>
      </x:c>
      <x:c r="G35" s="16" t="n">
        <x:f>E35-F35</x:f>
        <x:v>0</x:v>
      </x:c>
      <x:c r="H35" s="13" t="str">
        <x:f>IF(D35="","",TODAY()-D35)</x:f>
      </x:c>
      <x:c r="I35" s="13" t="n">
        <x:v>0</x:v>
      </x:c>
      <x:c r="J35" s="13" t="str"/>
      <x:c r="K35" s="13" t="str"/>
      <x:c r="L35" s="13" t="str">
        <x:v>未开始</x:v>
      </x:c>
    </x:row>
    <x:row r="36">
      <x:c r="A36" s="13" t="str">
        <x:v>AC-031</x:v>
      </x:c>
      <x:c r="B36" s="13" t="str"/>
      <x:c r="C36" s="13" t="str"/>
      <x:c r="D36" s="18"/>
      <x:c r="E36" s="17" t="n">
        <x:v>0</x:v>
      </x:c>
      <x:c r="F36" s="17" t="n">
        <x:v>0</x:v>
      </x:c>
      <x:c r="G36" s="16" t="n">
        <x:f>E36-F36</x:f>
        <x:v>0</x:v>
      </x:c>
      <x:c r="H36" s="13" t="str">
        <x:f>IF(D36="","",TODAY()-D36)</x:f>
      </x:c>
      <x:c r="I36" s="13" t="n">
        <x:v>0</x:v>
      </x:c>
      <x:c r="J36" s="13" t="str"/>
      <x:c r="K36" s="13" t="str"/>
      <x:c r="L36" s="13" t="str">
        <x:v>未开始</x:v>
      </x:c>
    </x:row>
    <x:row r="37">
      <x:c r="A37" s="13" t="str">
        <x:v>AC-032</x:v>
      </x:c>
      <x:c r="B37" s="13" t="str"/>
      <x:c r="C37" s="13" t="str"/>
      <x:c r="D37" s="18"/>
      <x:c r="E37" s="17" t="n">
        <x:v>0</x:v>
      </x:c>
      <x:c r="F37" s="17" t="n">
        <x:v>0</x:v>
      </x:c>
      <x:c r="G37" s="16" t="n">
        <x:f>E37-F37</x:f>
        <x:v>0</x:v>
      </x:c>
      <x:c r="H37" s="13" t="str">
        <x:f>IF(D37="","",TODAY()-D37)</x:f>
      </x:c>
      <x:c r="I37" s="13" t="n">
        <x:v>0</x:v>
      </x:c>
      <x:c r="J37" s="13" t="str"/>
      <x:c r="K37" s="13" t="str"/>
      <x:c r="L37" s="13" t="str">
        <x:v>未开始</x:v>
      </x:c>
    </x:row>
    <x:row r="38">
      <x:c r="A38" s="13" t="str">
        <x:v>AC-033</x:v>
      </x:c>
      <x:c r="B38" s="13" t="str"/>
      <x:c r="C38" s="13" t="str"/>
      <x:c r="D38" s="18"/>
      <x:c r="E38" s="17" t="n">
        <x:v>0</x:v>
      </x:c>
      <x:c r="F38" s="17" t="n">
        <x:v>0</x:v>
      </x:c>
      <x:c r="G38" s="16" t="n">
        <x:f>E38-F38</x:f>
        <x:v>0</x:v>
      </x:c>
      <x:c r="H38" s="13" t="str">
        <x:f>IF(D38="","",TODAY()-D38)</x:f>
      </x:c>
      <x:c r="I38" s="13" t="n">
        <x:v>0</x:v>
      </x:c>
      <x:c r="J38" s="13" t="str"/>
      <x:c r="K38" s="13" t="str"/>
      <x:c r="L38" s="13" t="str">
        <x:v>未开始</x:v>
      </x:c>
    </x:row>
    <x:row r="39">
      <x:c r="A39" s="13" t="str">
        <x:v>AC-034</x:v>
      </x:c>
      <x:c r="B39" s="13" t="str"/>
      <x:c r="C39" s="13" t="str"/>
      <x:c r="D39" s="18"/>
      <x:c r="E39" s="17" t="n">
        <x:v>0</x:v>
      </x:c>
      <x:c r="F39" s="17" t="n">
        <x:v>0</x:v>
      </x:c>
      <x:c r="G39" s="16" t="n">
        <x:f>E39-F39</x:f>
        <x:v>0</x:v>
      </x:c>
      <x:c r="H39" s="13" t="str">
        <x:f>IF(D39="","",TODAY()-D39)</x:f>
      </x:c>
      <x:c r="I39" s="13" t="n">
        <x:v>0</x:v>
      </x:c>
      <x:c r="J39" s="13" t="str"/>
      <x:c r="K39" s="13" t="str"/>
      <x:c r="L39" s="13" t="str">
        <x:v>未开始</x:v>
      </x:c>
    </x:row>
    <x:row r="40">
      <x:c r="A40" s="13" t="str">
        <x:v>AC-035</x:v>
      </x:c>
      <x:c r="B40" s="13" t="str"/>
      <x:c r="C40" s="13" t="str"/>
      <x:c r="D40" s="18"/>
      <x:c r="E40" s="17" t="n">
        <x:v>0</x:v>
      </x:c>
      <x:c r="F40" s="17" t="n">
        <x:v>0</x:v>
      </x:c>
      <x:c r="G40" s="16" t="n">
        <x:f>E40-F40</x:f>
        <x:v>0</x:v>
      </x:c>
      <x:c r="H40" s="13" t="str">
        <x:f>IF(D40="","",TODAY()-D40)</x:f>
      </x:c>
      <x:c r="I40" s="13" t="n">
        <x:v>0</x:v>
      </x:c>
      <x:c r="J40" s="13" t="str"/>
      <x:c r="K40" s="13" t="str"/>
      <x:c r="L40" s="13" t="str">
        <x:v>未开始</x:v>
      </x:c>
    </x:row>
    <x:row r="41">
      <x:c r="A41" s="13" t="str">
        <x:v>AC-036</x:v>
      </x:c>
      <x:c r="B41" s="13" t="str"/>
      <x:c r="C41" s="13" t="str"/>
      <x:c r="D41" s="18"/>
      <x:c r="E41" s="17" t="n">
        <x:v>0</x:v>
      </x:c>
      <x:c r="F41" s="17" t="n">
        <x:v>0</x:v>
      </x:c>
      <x:c r="G41" s="16" t="n">
        <x:f>E41-F41</x:f>
        <x:v>0</x:v>
      </x:c>
      <x:c r="H41" s="13" t="str">
        <x:f>IF(D41="","",TODAY()-D41)</x:f>
      </x:c>
      <x:c r="I41" s="13" t="n">
        <x:v>0</x:v>
      </x:c>
      <x:c r="J41" s="13" t="str"/>
      <x:c r="K41" s="13" t="str"/>
      <x:c r="L41" s="13" t="str">
        <x:v>未开始</x:v>
      </x:c>
    </x:row>
    <x:row r="42">
      <x:c r="A42" s="13" t="str">
        <x:v>AC-037</x:v>
      </x:c>
      <x:c r="B42" s="13" t="str"/>
      <x:c r="C42" s="13" t="str"/>
      <x:c r="D42" s="18"/>
      <x:c r="E42" s="17" t="n">
        <x:v>0</x:v>
      </x:c>
      <x:c r="F42" s="17" t="n">
        <x:v>0</x:v>
      </x:c>
      <x:c r="G42" s="16" t="n">
        <x:f>E42-F42</x:f>
        <x:v>0</x:v>
      </x:c>
      <x:c r="H42" s="13" t="str">
        <x:f>IF(D42="","",TODAY()-D42)</x:f>
      </x:c>
      <x:c r="I42" s="13" t="n">
        <x:v>0</x:v>
      </x:c>
      <x:c r="J42" s="13" t="str"/>
      <x:c r="K42" s="13" t="str"/>
      <x:c r="L42" s="13" t="str">
        <x:v>未开始</x:v>
      </x:c>
    </x:row>
    <x:row r="43">
      <x:c r="A43" s="13" t="str">
        <x:v>AC-038</x:v>
      </x:c>
      <x:c r="B43" s="13" t="str"/>
      <x:c r="C43" s="13" t="str"/>
      <x:c r="D43" s="18"/>
      <x:c r="E43" s="17" t="n">
        <x:v>0</x:v>
      </x:c>
      <x:c r="F43" s="17" t="n">
        <x:v>0</x:v>
      </x:c>
      <x:c r="G43" s="16" t="n">
        <x:f>E43-F43</x:f>
        <x:v>0</x:v>
      </x:c>
      <x:c r="H43" s="13" t="str">
        <x:f>IF(D43="","",TODAY()-D43)</x:f>
      </x:c>
      <x:c r="I43" s="13" t="n">
        <x:v>0</x:v>
      </x:c>
      <x:c r="J43" s="13" t="str"/>
      <x:c r="K43" s="13" t="str"/>
      <x:c r="L43" s="13" t="str">
        <x:v>未开始</x:v>
      </x:c>
    </x:row>
    <x:row r="44">
      <x:c r="A44" s="13" t="str">
        <x:v>AC-039</x:v>
      </x:c>
      <x:c r="B44" s="13" t="str"/>
      <x:c r="C44" s="13" t="str"/>
      <x:c r="D44" s="18"/>
      <x:c r="E44" s="17" t="n">
        <x:v>0</x:v>
      </x:c>
      <x:c r="F44" s="17" t="n">
        <x:v>0</x:v>
      </x:c>
      <x:c r="G44" s="16" t="n">
        <x:f>E44-F44</x:f>
        <x:v>0</x:v>
      </x:c>
      <x:c r="H44" s="13" t="str">
        <x:f>IF(D44="","",TODAY()-D44)</x:f>
      </x:c>
      <x:c r="I44" s="13" t="n">
        <x:v>0</x:v>
      </x:c>
      <x:c r="J44" s="13" t="str"/>
      <x:c r="K44" s="13" t="str"/>
      <x:c r="L44" s="13" t="str">
        <x:v>未开始</x:v>
      </x:c>
    </x:row>
    <x:row r="45">
      <x:c r="A45" s="13" t="str">
        <x:v>AC-040</x:v>
      </x:c>
      <x:c r="B45" s="13" t="str"/>
      <x:c r="C45" s="13" t="str"/>
      <x:c r="D45" s="18"/>
      <x:c r="E45" s="17" t="n">
        <x:v>0</x:v>
      </x:c>
      <x:c r="F45" s="17" t="n">
        <x:v>0</x:v>
      </x:c>
      <x:c r="G45" s="16" t="n">
        <x:f>E45-F45</x:f>
        <x:v>0</x:v>
      </x:c>
      <x:c r="H45" s="13" t="str">
        <x:f>IF(D45="","",TODAY()-D45)</x:f>
      </x:c>
      <x:c r="I45" s="13" t="n">
        <x:v>0</x:v>
      </x:c>
      <x:c r="J45" s="13" t="str"/>
      <x:c r="K45" s="13" t="str"/>
      <x:c r="L45" s="13" t="str">
        <x:v>未开始</x:v>
      </x:c>
    </x:row>
  </x:sheetData>
  <x:mergeCells>
    <x:mergeCell ref="A1:L1"/>
    <x:mergeCell ref="A2:L2"/>
  </x:mergeCells>
  <x:conditionalFormatting sqref="L6:L45">
    <x:cfRule type="containsText" dxfId="12" priority="1" operator="containsText" text="已完成"/>
    <x:cfRule type="containsText" dxfId="13" priority="2" operator="containsText" text="未开始"/>
    <x:cfRule type="containsText" dxfId="14" priority="3" operator="containsText" text="异常"/>
  </x:conditionalFormatting>
  <x:dataValidations count="1">
    <x:dataValidation type="list" sqref="L6:L4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1047825a9b456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28" hidden="0" customWidth="1"/>
    <x:col min="12" max="12" width="11" hidden="0" customWidth="1"/>
  </x:cols>
  <x:sheetData>
    <x:row r="1" ht="30" customHeight="1">
      <x:c r="A1" s="1" t="str">
        <x:v>预提费用底稿</x:v>
      </x:c>
    </x:row>
    <x:row r="2" ht="25" customHeight="1">
      <x:c r="A2" s="3" t="str">
        <x:v>黄色列为业务输入；余额和摊销/冲回由公式辅助检查。</x:v>
      </x:c>
    </x:row>
    <x:row r="5" ht="35" customHeight="1">
      <x:c r="A5" s="9" t="str">
        <x:v>编号</x:v>
      </x:c>
      <x:c r="B5" s="9" t="str">
        <x:v>事项</x:v>
      </x:c>
      <x:c r="C5" s="9" t="str">
        <x:v>部门/供应商</x:v>
      </x:c>
      <x:c r="D5" s="9" t="str">
        <x:v>开始日</x:v>
      </x:c>
      <x:c r="E5" s="9" t="str">
        <x:v>结束日</x:v>
      </x:c>
      <x:c r="F5" s="9" t="str">
        <x:v>总金额</x:v>
      </x:c>
      <x:c r="G5" s="9" t="str">
        <x:v>以前确认</x:v>
      </x:c>
      <x:c r="H5" s="9" t="str">
        <x:v>本月应确认</x:v>
      </x:c>
      <x:c r="I5" s="9" t="str">
        <x:v>期末余额</x:v>
      </x:c>
      <x:c r="J5" s="9" t="str">
        <x:v>科目</x:v>
      </x:c>
      <x:c r="K5" s="9" t="str">
        <x:v>依据</x:v>
      </x:c>
      <x:c r="L5" s="9" t="str">
        <x:v>状态</x:v>
      </x:c>
    </x:row>
    <x:row r="6">
      <x:c r="A6" s="13" t="str">
        <x:v>PR-001</x:v>
      </x:c>
      <x:c r="B6" s="19" t="str"/>
      <x:c r="C6" s="19" t="str"/>
      <x:c r="D6" s="18"/>
      <x:c r="E6" s="18"/>
      <x:c r="F6" s="17" t="n">
        <x:v>0</x:v>
      </x:c>
      <x:c r="G6" s="17" t="n">
        <x:v>0</x:v>
      </x:c>
      <x:c r="H6" s="17" t="n">
        <x:v>0</x:v>
      </x:c>
      <x:c r="I6" s="16" t="n">
        <x:f>F6-G6-H6</x:f>
        <x:v>0</x:v>
      </x:c>
      <x:c r="J6" s="13" t="str"/>
      <x:c r="K6" s="13" t="str"/>
      <x:c r="L6" s="13" t="str">
        <x:v>未开始</x:v>
      </x:c>
    </x:row>
    <x:row r="7">
      <x:c r="A7" s="13" t="str">
        <x:v>PR-002</x:v>
      </x:c>
      <x:c r="B7" s="19" t="str"/>
      <x:c r="C7" s="19" t="str"/>
      <x:c r="D7" s="18"/>
      <x:c r="E7" s="18"/>
      <x:c r="F7" s="17" t="n">
        <x:v>0</x:v>
      </x:c>
      <x:c r="G7" s="17" t="n">
        <x:v>0</x:v>
      </x:c>
      <x:c r="H7" s="17" t="n">
        <x:v>0</x:v>
      </x:c>
      <x:c r="I7" s="16" t="n">
        <x:f>F7-G7-H7</x:f>
        <x:v>0</x:v>
      </x:c>
      <x:c r="J7" s="13" t="str"/>
      <x:c r="K7" s="13" t="str"/>
      <x:c r="L7" s="13" t="str">
        <x:v>未开始</x:v>
      </x:c>
    </x:row>
    <x:row r="8">
      <x:c r="A8" s="13" t="str">
        <x:v>PR-003</x:v>
      </x:c>
      <x:c r="B8" s="19" t="str"/>
      <x:c r="C8" s="19" t="str"/>
      <x:c r="D8" s="18"/>
      <x:c r="E8" s="18"/>
      <x:c r="F8" s="17" t="n">
        <x:v>0</x:v>
      </x:c>
      <x:c r="G8" s="17" t="n">
        <x:v>0</x:v>
      </x:c>
      <x:c r="H8" s="17" t="n">
        <x:v>0</x:v>
      </x:c>
      <x:c r="I8" s="16" t="n">
        <x:f>F8-G8-H8</x:f>
        <x:v>0</x:v>
      </x:c>
      <x:c r="J8" s="13" t="str"/>
      <x:c r="K8" s="13" t="str"/>
      <x:c r="L8" s="13" t="str">
        <x:v>未开始</x:v>
      </x:c>
    </x:row>
    <x:row r="9">
      <x:c r="A9" s="13" t="str">
        <x:v>PR-004</x:v>
      </x:c>
      <x:c r="B9" s="19" t="str"/>
      <x:c r="C9" s="19" t="str"/>
      <x:c r="D9" s="18"/>
      <x:c r="E9" s="18"/>
      <x:c r="F9" s="17" t="n">
        <x:v>0</x:v>
      </x:c>
      <x:c r="G9" s="17" t="n">
        <x:v>0</x:v>
      </x:c>
      <x:c r="H9" s="17" t="n">
        <x:v>0</x:v>
      </x:c>
      <x:c r="I9" s="16" t="n">
        <x:f>F9-G9-H9</x:f>
        <x:v>0</x:v>
      </x:c>
      <x:c r="J9" s="13" t="str"/>
      <x:c r="K9" s="13" t="str"/>
      <x:c r="L9" s="13" t="str">
        <x:v>未开始</x:v>
      </x:c>
    </x:row>
    <x:row r="10">
      <x:c r="A10" s="13" t="str">
        <x:v>PR-005</x:v>
      </x:c>
      <x:c r="B10" s="19" t="str"/>
      <x:c r="C10" s="19" t="str"/>
      <x:c r="D10" s="18"/>
      <x:c r="E10" s="18"/>
      <x:c r="F10" s="17" t="n">
        <x:v>0</x:v>
      </x:c>
      <x:c r="G10" s="17" t="n">
        <x:v>0</x:v>
      </x:c>
      <x:c r="H10" s="17" t="n">
        <x:v>0</x:v>
      </x:c>
      <x:c r="I10" s="16" t="n">
        <x:f>F10-G10-H10</x:f>
        <x:v>0</x:v>
      </x:c>
      <x:c r="J10" s="13" t="str"/>
      <x:c r="K10" s="13" t="str"/>
      <x:c r="L10" s="13" t="str">
        <x:v>未开始</x:v>
      </x:c>
    </x:row>
    <x:row r="11">
      <x:c r="A11" s="13" t="str">
        <x:v>PR-006</x:v>
      </x:c>
      <x:c r="B11" s="19" t="str"/>
      <x:c r="C11" s="19" t="str"/>
      <x:c r="D11" s="18"/>
      <x:c r="E11" s="18"/>
      <x:c r="F11" s="17" t="n">
        <x:v>0</x:v>
      </x:c>
      <x:c r="G11" s="17" t="n">
        <x:v>0</x:v>
      </x:c>
      <x:c r="H11" s="17" t="n">
        <x:v>0</x:v>
      </x:c>
      <x:c r="I11" s="16" t="n">
        <x:f>F11-G11-H11</x:f>
        <x:v>0</x:v>
      </x:c>
      <x:c r="J11" s="13" t="str"/>
      <x:c r="K11" s="13" t="str"/>
      <x:c r="L11" s="13" t="str">
        <x:v>未开始</x:v>
      </x:c>
    </x:row>
    <x:row r="12">
      <x:c r="A12" s="13" t="str">
        <x:v>PR-007</x:v>
      </x:c>
      <x:c r="B12" s="19" t="str"/>
      <x:c r="C12" s="19" t="str"/>
      <x:c r="D12" s="18"/>
      <x:c r="E12" s="18"/>
      <x:c r="F12" s="17" t="n">
        <x:v>0</x:v>
      </x:c>
      <x:c r="G12" s="17" t="n">
        <x:v>0</x:v>
      </x:c>
      <x:c r="H12" s="17" t="n">
        <x:v>0</x:v>
      </x:c>
      <x:c r="I12" s="16" t="n">
        <x:f>F12-G12-H12</x:f>
        <x:v>0</x:v>
      </x:c>
      <x:c r="J12" s="13" t="str"/>
      <x:c r="K12" s="13" t="str"/>
      <x:c r="L12" s="13" t="str">
        <x:v>未开始</x:v>
      </x:c>
    </x:row>
    <x:row r="13">
      <x:c r="A13" s="13" t="str">
        <x:v>PR-008</x:v>
      </x:c>
      <x:c r="B13" s="19" t="str"/>
      <x:c r="C13" s="19" t="str"/>
      <x:c r="D13" s="18"/>
      <x:c r="E13" s="18"/>
      <x:c r="F13" s="17" t="n">
        <x:v>0</x:v>
      </x:c>
      <x:c r="G13" s="17" t="n">
        <x:v>0</x:v>
      </x:c>
      <x:c r="H13" s="17" t="n">
        <x:v>0</x:v>
      </x:c>
      <x:c r="I13" s="16" t="n">
        <x:f>F13-G13-H13</x:f>
        <x:v>0</x:v>
      </x:c>
      <x:c r="J13" s="13" t="str"/>
      <x:c r="K13" s="13" t="str"/>
      <x:c r="L13" s="13" t="str">
        <x:v>未开始</x:v>
      </x:c>
    </x:row>
    <x:row r="14">
      <x:c r="A14" s="13" t="str">
        <x:v>PR-009</x:v>
      </x:c>
      <x:c r="B14" s="19" t="str"/>
      <x:c r="C14" s="19" t="str"/>
      <x:c r="D14" s="18"/>
      <x:c r="E14" s="18"/>
      <x:c r="F14" s="17" t="n">
        <x:v>0</x:v>
      </x:c>
      <x:c r="G14" s="17" t="n">
        <x:v>0</x:v>
      </x:c>
      <x:c r="H14" s="17" t="n">
        <x:v>0</x:v>
      </x:c>
      <x:c r="I14" s="16" t="n">
        <x:f>F14-G14-H14</x:f>
        <x:v>0</x:v>
      </x:c>
      <x:c r="J14" s="13" t="str"/>
      <x:c r="K14" s="13" t="str"/>
      <x:c r="L14" s="13" t="str">
        <x:v>未开始</x:v>
      </x:c>
    </x:row>
    <x:row r="15">
      <x:c r="A15" s="13" t="str">
        <x:v>PR-010</x:v>
      </x:c>
      <x:c r="B15" s="19" t="str"/>
      <x:c r="C15" s="19" t="str"/>
      <x:c r="D15" s="18"/>
      <x:c r="E15" s="18"/>
      <x:c r="F15" s="17" t="n">
        <x:v>0</x:v>
      </x:c>
      <x:c r="G15" s="17" t="n">
        <x:v>0</x:v>
      </x:c>
      <x:c r="H15" s="17" t="n">
        <x:v>0</x:v>
      </x:c>
      <x:c r="I15" s="16" t="n">
        <x:f>F15-G15-H15</x:f>
        <x:v>0</x:v>
      </x:c>
      <x:c r="J15" s="13" t="str"/>
      <x:c r="K15" s="13" t="str"/>
      <x:c r="L15" s="13" t="str">
        <x:v>未开始</x:v>
      </x:c>
    </x:row>
    <x:row r="16">
      <x:c r="A16" s="13" t="str">
        <x:v>PR-011</x:v>
      </x:c>
      <x:c r="B16" s="19" t="str"/>
      <x:c r="C16" s="19" t="str"/>
      <x:c r="D16" s="18"/>
      <x:c r="E16" s="18"/>
      <x:c r="F16" s="17" t="n">
        <x:v>0</x:v>
      </x:c>
      <x:c r="G16" s="17" t="n">
        <x:v>0</x:v>
      </x:c>
      <x:c r="H16" s="17" t="n">
        <x:v>0</x:v>
      </x:c>
      <x:c r="I16" s="16" t="n">
        <x:f>F16-G16-H16</x:f>
        <x:v>0</x:v>
      </x:c>
      <x:c r="J16" s="13" t="str"/>
      <x:c r="K16" s="13" t="str"/>
      <x:c r="L16" s="13" t="str">
        <x:v>未开始</x:v>
      </x:c>
    </x:row>
    <x:row r="17">
      <x:c r="A17" s="13" t="str">
        <x:v>PR-012</x:v>
      </x:c>
      <x:c r="B17" s="19" t="str"/>
      <x:c r="C17" s="19" t="str"/>
      <x:c r="D17" s="18"/>
      <x:c r="E17" s="18"/>
      <x:c r="F17" s="17" t="n">
        <x:v>0</x:v>
      </x:c>
      <x:c r="G17" s="17" t="n">
        <x:v>0</x:v>
      </x:c>
      <x:c r="H17" s="17" t="n">
        <x:v>0</x:v>
      </x:c>
      <x:c r="I17" s="16" t="n">
        <x:f>F17-G17-H17</x:f>
        <x:v>0</x:v>
      </x:c>
      <x:c r="J17" s="13" t="str"/>
      <x:c r="K17" s="13" t="str"/>
      <x:c r="L17" s="13" t="str">
        <x:v>未开始</x:v>
      </x:c>
    </x:row>
    <x:row r="18">
      <x:c r="A18" s="13" t="str">
        <x:v>PR-013</x:v>
      </x:c>
      <x:c r="B18" s="19" t="str"/>
      <x:c r="C18" s="19" t="str"/>
      <x:c r="D18" s="18"/>
      <x:c r="E18" s="18"/>
      <x:c r="F18" s="17" t="n">
        <x:v>0</x:v>
      </x:c>
      <x:c r="G18" s="17" t="n">
        <x:v>0</x:v>
      </x:c>
      <x:c r="H18" s="17" t="n">
        <x:v>0</x:v>
      </x:c>
      <x:c r="I18" s="16" t="n">
        <x:f>F18-G18-H18</x:f>
        <x:v>0</x:v>
      </x:c>
      <x:c r="J18" s="13" t="str"/>
      <x:c r="K18" s="13" t="str"/>
      <x:c r="L18" s="13" t="str">
        <x:v>未开始</x:v>
      </x:c>
    </x:row>
    <x:row r="19">
      <x:c r="A19" s="13" t="str">
        <x:v>PR-014</x:v>
      </x:c>
      <x:c r="B19" s="19" t="str"/>
      <x:c r="C19" s="19" t="str"/>
      <x:c r="D19" s="18"/>
      <x:c r="E19" s="18"/>
      <x:c r="F19" s="17" t="n">
        <x:v>0</x:v>
      </x:c>
      <x:c r="G19" s="17" t="n">
        <x:v>0</x:v>
      </x:c>
      <x:c r="H19" s="17" t="n">
        <x:v>0</x:v>
      </x:c>
      <x:c r="I19" s="16" t="n">
        <x:f>F19-G19-H19</x:f>
        <x:v>0</x:v>
      </x:c>
      <x:c r="J19" s="13" t="str"/>
      <x:c r="K19" s="13" t="str"/>
      <x:c r="L19" s="13" t="str">
        <x:v>未开始</x:v>
      </x:c>
    </x:row>
    <x:row r="20">
      <x:c r="A20" s="13" t="str">
        <x:v>PR-015</x:v>
      </x:c>
      <x:c r="B20" s="19" t="str"/>
      <x:c r="C20" s="19" t="str"/>
      <x:c r="D20" s="18"/>
      <x:c r="E20" s="18"/>
      <x:c r="F20" s="17" t="n">
        <x:v>0</x:v>
      </x:c>
      <x:c r="G20" s="17" t="n">
        <x:v>0</x:v>
      </x:c>
      <x:c r="H20" s="17" t="n">
        <x:v>0</x:v>
      </x:c>
      <x:c r="I20" s="16" t="n">
        <x:f>F20-G20-H20</x:f>
        <x:v>0</x:v>
      </x:c>
      <x:c r="J20" s="13" t="str"/>
      <x:c r="K20" s="13" t="str"/>
      <x:c r="L20" s="13" t="str">
        <x:v>未开始</x:v>
      </x:c>
    </x:row>
    <x:row r="21">
      <x:c r="A21" s="13" t="str">
        <x:v>PR-016</x:v>
      </x:c>
      <x:c r="B21" s="19" t="str"/>
      <x:c r="C21" s="19" t="str"/>
      <x:c r="D21" s="18"/>
      <x:c r="E21" s="18"/>
      <x:c r="F21" s="17" t="n">
        <x:v>0</x:v>
      </x:c>
      <x:c r="G21" s="17" t="n">
        <x:v>0</x:v>
      </x:c>
      <x:c r="H21" s="17" t="n">
        <x:v>0</x:v>
      </x:c>
      <x:c r="I21" s="16" t="n">
        <x:f>F21-G21-H21</x:f>
        <x:v>0</x:v>
      </x:c>
      <x:c r="J21" s="13" t="str"/>
      <x:c r="K21" s="13" t="str"/>
      <x:c r="L21" s="13" t="str">
        <x:v>未开始</x:v>
      </x:c>
    </x:row>
    <x:row r="22">
      <x:c r="A22" s="13" t="str">
        <x:v>PR-017</x:v>
      </x:c>
      <x:c r="B22" s="19" t="str"/>
      <x:c r="C22" s="19" t="str"/>
      <x:c r="D22" s="18"/>
      <x:c r="E22" s="18"/>
      <x:c r="F22" s="17" t="n">
        <x:v>0</x:v>
      </x:c>
      <x:c r="G22" s="17" t="n">
        <x:v>0</x:v>
      </x:c>
      <x:c r="H22" s="17" t="n">
        <x:v>0</x:v>
      </x:c>
      <x:c r="I22" s="16" t="n">
        <x:f>F22-G22-H22</x:f>
        <x:v>0</x:v>
      </x:c>
      <x:c r="J22" s="13" t="str"/>
      <x:c r="K22" s="13" t="str"/>
      <x:c r="L22" s="13" t="str">
        <x:v>未开始</x:v>
      </x:c>
    </x:row>
    <x:row r="23">
      <x:c r="A23" s="13" t="str">
        <x:v>PR-018</x:v>
      </x:c>
      <x:c r="B23" s="19" t="str"/>
      <x:c r="C23" s="19" t="str"/>
      <x:c r="D23" s="18"/>
      <x:c r="E23" s="18"/>
      <x:c r="F23" s="17" t="n">
        <x:v>0</x:v>
      </x:c>
      <x:c r="G23" s="17" t="n">
        <x:v>0</x:v>
      </x:c>
      <x:c r="H23" s="17" t="n">
        <x:v>0</x:v>
      </x:c>
      <x:c r="I23" s="16" t="n">
        <x:f>F23-G23-H23</x:f>
        <x:v>0</x:v>
      </x:c>
      <x:c r="J23" s="13" t="str"/>
      <x:c r="K23" s="13" t="str"/>
      <x:c r="L23" s="13" t="str">
        <x:v>未开始</x:v>
      </x:c>
    </x:row>
    <x:row r="24">
      <x:c r="A24" s="13" t="str">
        <x:v>PR-019</x:v>
      </x:c>
      <x:c r="B24" s="19" t="str"/>
      <x:c r="C24" s="19" t="str"/>
      <x:c r="D24" s="18"/>
      <x:c r="E24" s="18"/>
      <x:c r="F24" s="17" t="n">
        <x:v>0</x:v>
      </x:c>
      <x:c r="G24" s="17" t="n">
        <x:v>0</x:v>
      </x:c>
      <x:c r="H24" s="17" t="n">
        <x:v>0</x:v>
      </x:c>
      <x:c r="I24" s="16" t="n">
        <x:f>F24-G24-H24</x:f>
        <x:v>0</x:v>
      </x:c>
      <x:c r="J24" s="13" t="str"/>
      <x:c r="K24" s="13" t="str"/>
      <x:c r="L24" s="13" t="str">
        <x:v>未开始</x:v>
      </x:c>
    </x:row>
    <x:row r="25">
      <x:c r="A25" s="13" t="str">
        <x:v>PR-020</x:v>
      </x:c>
      <x:c r="B25" s="19" t="str"/>
      <x:c r="C25" s="19" t="str"/>
      <x:c r="D25" s="18"/>
      <x:c r="E25" s="18"/>
      <x:c r="F25" s="17" t="n">
        <x:v>0</x:v>
      </x:c>
      <x:c r="G25" s="17" t="n">
        <x:v>0</x:v>
      </x:c>
      <x:c r="H25" s="17" t="n">
        <x:v>0</x:v>
      </x:c>
      <x:c r="I25" s="16" t="n">
        <x:f>F25-G25-H25</x:f>
        <x:v>0</x:v>
      </x:c>
      <x:c r="J25" s="13" t="str"/>
      <x:c r="K25" s="13" t="str"/>
      <x:c r="L25" s="13" t="str">
        <x:v>未开始</x:v>
      </x:c>
    </x:row>
    <x:row r="26">
      <x:c r="A26" s="13" t="str">
        <x:v>PR-021</x:v>
      </x:c>
      <x:c r="B26" s="19" t="str"/>
      <x:c r="C26" s="19" t="str"/>
      <x:c r="D26" s="18"/>
      <x:c r="E26" s="18"/>
      <x:c r="F26" s="17" t="n">
        <x:v>0</x:v>
      </x:c>
      <x:c r="G26" s="17" t="n">
        <x:v>0</x:v>
      </x:c>
      <x:c r="H26" s="17" t="n">
        <x:v>0</x:v>
      </x:c>
      <x:c r="I26" s="16" t="n">
        <x:f>F26-G26-H26</x:f>
        <x:v>0</x:v>
      </x:c>
      <x:c r="J26" s="13" t="str"/>
      <x:c r="K26" s="13" t="str"/>
      <x:c r="L26" s="13" t="str">
        <x:v>未开始</x:v>
      </x:c>
    </x:row>
    <x:row r="27">
      <x:c r="A27" s="13" t="str">
        <x:v>PR-022</x:v>
      </x:c>
      <x:c r="B27" s="19" t="str"/>
      <x:c r="C27" s="19" t="str"/>
      <x:c r="D27" s="18"/>
      <x:c r="E27" s="18"/>
      <x:c r="F27" s="17" t="n">
        <x:v>0</x:v>
      </x:c>
      <x:c r="G27" s="17" t="n">
        <x:v>0</x:v>
      </x:c>
      <x:c r="H27" s="17" t="n">
        <x:v>0</x:v>
      </x:c>
      <x:c r="I27" s="16" t="n">
        <x:f>F27-G27-H27</x:f>
        <x:v>0</x:v>
      </x:c>
      <x:c r="J27" s="13" t="str"/>
      <x:c r="K27" s="13" t="str"/>
      <x:c r="L27" s="13" t="str">
        <x:v>未开始</x:v>
      </x:c>
    </x:row>
    <x:row r="28">
      <x:c r="A28" s="13" t="str">
        <x:v>PR-023</x:v>
      </x:c>
      <x:c r="B28" s="19" t="str"/>
      <x:c r="C28" s="19" t="str"/>
      <x:c r="D28" s="18"/>
      <x:c r="E28" s="18"/>
      <x:c r="F28" s="17" t="n">
        <x:v>0</x:v>
      </x:c>
      <x:c r="G28" s="17" t="n">
        <x:v>0</x:v>
      </x:c>
      <x:c r="H28" s="17" t="n">
        <x:v>0</x:v>
      </x:c>
      <x:c r="I28" s="16" t="n">
        <x:f>F28-G28-H28</x:f>
        <x:v>0</x:v>
      </x:c>
      <x:c r="J28" s="13" t="str"/>
      <x:c r="K28" s="13" t="str"/>
      <x:c r="L28" s="13" t="str">
        <x:v>未开始</x:v>
      </x:c>
    </x:row>
    <x:row r="29">
      <x:c r="A29" s="13" t="str">
        <x:v>PR-024</x:v>
      </x:c>
      <x:c r="B29" s="19" t="str"/>
      <x:c r="C29" s="19" t="str"/>
      <x:c r="D29" s="18"/>
      <x:c r="E29" s="18"/>
      <x:c r="F29" s="17" t="n">
        <x:v>0</x:v>
      </x:c>
      <x:c r="G29" s="17" t="n">
        <x:v>0</x:v>
      </x:c>
      <x:c r="H29" s="17" t="n">
        <x:v>0</x:v>
      </x:c>
      <x:c r="I29" s="16" t="n">
        <x:f>F29-G29-H29</x:f>
        <x:v>0</x:v>
      </x:c>
      <x:c r="J29" s="13" t="str"/>
      <x:c r="K29" s="13" t="str"/>
      <x:c r="L29" s="13" t="str">
        <x:v>未开始</x:v>
      </x:c>
    </x:row>
    <x:row r="30">
      <x:c r="A30" s="13" t="str">
        <x:v>PR-025</x:v>
      </x:c>
      <x:c r="B30" s="19" t="str"/>
      <x:c r="C30" s="19" t="str"/>
      <x:c r="D30" s="18"/>
      <x:c r="E30" s="18"/>
      <x:c r="F30" s="17" t="n">
        <x:v>0</x:v>
      </x:c>
      <x:c r="G30" s="17" t="n">
        <x:v>0</x:v>
      </x:c>
      <x:c r="H30" s="17" t="n">
        <x:v>0</x:v>
      </x:c>
      <x:c r="I30" s="16" t="n">
        <x:f>F30-G30-H30</x:f>
        <x:v>0</x:v>
      </x:c>
      <x:c r="J30" s="13" t="str"/>
      <x:c r="K30" s="13" t="str"/>
      <x:c r="L30" s="13" t="str">
        <x:v>未开始</x:v>
      </x:c>
    </x:row>
    <x:row r="31">
      <x:c r="A31" s="13" t="str">
        <x:v>PR-026</x:v>
      </x:c>
      <x:c r="B31" s="19" t="str"/>
      <x:c r="C31" s="19" t="str"/>
      <x:c r="D31" s="18"/>
      <x:c r="E31" s="18"/>
      <x:c r="F31" s="17" t="n">
        <x:v>0</x:v>
      </x:c>
      <x:c r="G31" s="17" t="n">
        <x:v>0</x:v>
      </x:c>
      <x:c r="H31" s="17" t="n">
        <x:v>0</x:v>
      </x:c>
      <x:c r="I31" s="16" t="n">
        <x:f>F31-G31-H31</x:f>
        <x:v>0</x:v>
      </x:c>
      <x:c r="J31" s="13" t="str"/>
      <x:c r="K31" s="13" t="str"/>
      <x:c r="L31" s="13" t="str">
        <x:v>未开始</x:v>
      </x:c>
    </x:row>
    <x:row r="32">
      <x:c r="A32" s="13" t="str">
        <x:v>PR-027</x:v>
      </x:c>
      <x:c r="B32" s="19" t="str"/>
      <x:c r="C32" s="19" t="str"/>
      <x:c r="D32" s="18"/>
      <x:c r="E32" s="18"/>
      <x:c r="F32" s="17" t="n">
        <x:v>0</x:v>
      </x:c>
      <x:c r="G32" s="17" t="n">
        <x:v>0</x:v>
      </x:c>
      <x:c r="H32" s="17" t="n">
        <x:v>0</x:v>
      </x:c>
      <x:c r="I32" s="16" t="n">
        <x:f>F32-G32-H32</x:f>
        <x:v>0</x:v>
      </x:c>
      <x:c r="J32" s="13" t="str"/>
      <x:c r="K32" s="13" t="str"/>
      <x:c r="L32" s="13" t="str">
        <x:v>未开始</x:v>
      </x:c>
    </x:row>
    <x:row r="33">
      <x:c r="A33" s="13" t="str">
        <x:v>PR-028</x:v>
      </x:c>
      <x:c r="B33" s="19" t="str"/>
      <x:c r="C33" s="19" t="str"/>
      <x:c r="D33" s="18"/>
      <x:c r="E33" s="18"/>
      <x:c r="F33" s="17" t="n">
        <x:v>0</x:v>
      </x:c>
      <x:c r="G33" s="17" t="n">
        <x:v>0</x:v>
      </x:c>
      <x:c r="H33" s="17" t="n">
        <x:v>0</x:v>
      </x:c>
      <x:c r="I33" s="16" t="n">
        <x:f>F33-G33-H33</x:f>
        <x:v>0</x:v>
      </x:c>
      <x:c r="J33" s="13" t="str"/>
      <x:c r="K33" s="13" t="str"/>
      <x:c r="L33" s="13" t="str">
        <x:v>未开始</x:v>
      </x:c>
    </x:row>
    <x:row r="34">
      <x:c r="A34" s="13" t="str">
        <x:v>PR-029</x:v>
      </x:c>
      <x:c r="B34" s="19" t="str"/>
      <x:c r="C34" s="19" t="str"/>
      <x:c r="D34" s="18"/>
      <x:c r="E34" s="18"/>
      <x:c r="F34" s="17" t="n">
        <x:v>0</x:v>
      </x:c>
      <x:c r="G34" s="17" t="n">
        <x:v>0</x:v>
      </x:c>
      <x:c r="H34" s="17" t="n">
        <x:v>0</x:v>
      </x:c>
      <x:c r="I34" s="16" t="n">
        <x:f>F34-G34-H34</x:f>
        <x:v>0</x:v>
      </x:c>
      <x:c r="J34" s="13" t="str"/>
      <x:c r="K34" s="13" t="str"/>
      <x:c r="L34" s="13" t="str">
        <x:v>未开始</x:v>
      </x:c>
    </x:row>
    <x:row r="35">
      <x:c r="A35" s="13" t="str">
        <x:v>PR-030</x:v>
      </x:c>
      <x:c r="B35" s="19" t="str"/>
      <x:c r="C35" s="19" t="str"/>
      <x:c r="D35" s="18"/>
      <x:c r="E35" s="18"/>
      <x:c r="F35" s="17" t="n">
        <x:v>0</x:v>
      </x:c>
      <x:c r="G35" s="17" t="n">
        <x:v>0</x:v>
      </x:c>
      <x:c r="H35" s="17" t="n">
        <x:v>0</x:v>
      </x:c>
      <x:c r="I35" s="16" t="n">
        <x:f>F35-G35-H35</x:f>
        <x:v>0</x:v>
      </x:c>
      <x:c r="J35" s="13" t="str"/>
      <x:c r="K35" s="13" t="str"/>
      <x:c r="L35" s="13" t="str">
        <x:v>未开始</x:v>
      </x:c>
    </x:row>
  </x:sheetData>
  <x:mergeCells>
    <x:mergeCell ref="A1:L1"/>
    <x:mergeCell ref="A2:L2"/>
  </x:mergeCells>
  <x:conditionalFormatting sqref="L6:L35">
    <x:cfRule type="containsText" dxfId="15" priority="1" operator="containsText" text="已完成"/>
    <x:cfRule type="containsText" dxfId="16" priority="2" operator="containsText" text="未开始"/>
    <x:cfRule type="containsText" dxfId="17" priority="3" operator="containsText" text="异常"/>
  </x:conditionalFormatting>
  <x:dataValidations count="1">
    <x:dataValidation type="list" sqref="L6:L3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a069c51792451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28" hidden="0" customWidth="1"/>
    <x:col min="12" max="12" width="11" hidden="0" customWidth="1"/>
  </x:cols>
  <x:sheetData>
    <x:row r="1" ht="30" customHeight="1">
      <x:c r="A1" s="1" t="str">
        <x:v>待摊与长期待摊底稿</x:v>
      </x:c>
    </x:row>
    <x:row r="2" ht="25" customHeight="1">
      <x:c r="A2" s="3" t="str">
        <x:v>黄色列为业务输入；余额和摊销/冲回由公式辅助检查。</x:v>
      </x:c>
    </x:row>
    <x:row r="5" ht="35" customHeight="1">
      <x:c r="A5" s="9" t="str">
        <x:v>编号</x:v>
      </x:c>
      <x:c r="B5" s="9" t="str">
        <x:v>事项</x:v>
      </x:c>
      <x:c r="C5" s="9" t="str">
        <x:v>部门/供应商</x:v>
      </x:c>
      <x:c r="D5" s="9" t="str">
        <x:v>开始日</x:v>
      </x:c>
      <x:c r="E5" s="9" t="str">
        <x:v>结束日</x:v>
      </x:c>
      <x:c r="F5" s="9" t="str">
        <x:v>总金额</x:v>
      </x:c>
      <x:c r="G5" s="9" t="str">
        <x:v>以前确认</x:v>
      </x:c>
      <x:c r="H5" s="9" t="str">
        <x:v>本月应确认</x:v>
      </x:c>
      <x:c r="I5" s="9" t="str">
        <x:v>期末余额</x:v>
      </x:c>
      <x:c r="J5" s="9" t="str">
        <x:v>科目</x:v>
      </x:c>
      <x:c r="K5" s="9" t="str">
        <x:v>依据</x:v>
      </x:c>
      <x:c r="L5" s="9" t="str">
        <x:v>状态</x:v>
      </x:c>
    </x:row>
    <x:row r="6">
      <x:c r="A6" s="13" t="str">
        <x:v>PP-001</x:v>
      </x:c>
      <x:c r="B6" s="19" t="str"/>
      <x:c r="C6" s="19" t="str"/>
      <x:c r="D6" s="18"/>
      <x:c r="E6" s="18"/>
      <x:c r="F6" s="17" t="n">
        <x:v>0</x:v>
      </x:c>
      <x:c r="G6" s="17" t="n">
        <x:v>0</x:v>
      </x:c>
      <x:c r="H6" s="17" t="n">
        <x:v>0</x:v>
      </x:c>
      <x:c r="I6" s="16" t="n">
        <x:f>F6-G6-H6</x:f>
        <x:v>0</x:v>
      </x:c>
      <x:c r="J6" s="13" t="str"/>
      <x:c r="K6" s="13" t="str"/>
      <x:c r="L6" s="13" t="str">
        <x:v>未开始</x:v>
      </x:c>
    </x:row>
    <x:row r="7">
      <x:c r="A7" s="13" t="str">
        <x:v>PP-002</x:v>
      </x:c>
      <x:c r="B7" s="19" t="str"/>
      <x:c r="C7" s="19" t="str"/>
      <x:c r="D7" s="18"/>
      <x:c r="E7" s="18"/>
      <x:c r="F7" s="17" t="n">
        <x:v>0</x:v>
      </x:c>
      <x:c r="G7" s="17" t="n">
        <x:v>0</x:v>
      </x:c>
      <x:c r="H7" s="17" t="n">
        <x:v>0</x:v>
      </x:c>
      <x:c r="I7" s="16" t="n">
        <x:f>F7-G7-H7</x:f>
        <x:v>0</x:v>
      </x:c>
      <x:c r="J7" s="13" t="str"/>
      <x:c r="K7" s="13" t="str"/>
      <x:c r="L7" s="13" t="str">
        <x:v>未开始</x:v>
      </x:c>
    </x:row>
    <x:row r="8">
      <x:c r="A8" s="13" t="str">
        <x:v>PP-003</x:v>
      </x:c>
      <x:c r="B8" s="19" t="str"/>
      <x:c r="C8" s="19" t="str"/>
      <x:c r="D8" s="18"/>
      <x:c r="E8" s="18"/>
      <x:c r="F8" s="17" t="n">
        <x:v>0</x:v>
      </x:c>
      <x:c r="G8" s="17" t="n">
        <x:v>0</x:v>
      </x:c>
      <x:c r="H8" s="17" t="n">
        <x:v>0</x:v>
      </x:c>
      <x:c r="I8" s="16" t="n">
        <x:f>F8-G8-H8</x:f>
        <x:v>0</x:v>
      </x:c>
      <x:c r="J8" s="13" t="str"/>
      <x:c r="K8" s="13" t="str"/>
      <x:c r="L8" s="13" t="str">
        <x:v>未开始</x:v>
      </x:c>
    </x:row>
    <x:row r="9">
      <x:c r="A9" s="13" t="str">
        <x:v>PP-004</x:v>
      </x:c>
      <x:c r="B9" s="19" t="str"/>
      <x:c r="C9" s="19" t="str"/>
      <x:c r="D9" s="18"/>
      <x:c r="E9" s="18"/>
      <x:c r="F9" s="17" t="n">
        <x:v>0</x:v>
      </x:c>
      <x:c r="G9" s="17" t="n">
        <x:v>0</x:v>
      </x:c>
      <x:c r="H9" s="17" t="n">
        <x:v>0</x:v>
      </x:c>
      <x:c r="I9" s="16" t="n">
        <x:f>F9-G9-H9</x:f>
        <x:v>0</x:v>
      </x:c>
      <x:c r="J9" s="13" t="str"/>
      <x:c r="K9" s="13" t="str"/>
      <x:c r="L9" s="13" t="str">
        <x:v>未开始</x:v>
      </x:c>
    </x:row>
    <x:row r="10">
      <x:c r="A10" s="13" t="str">
        <x:v>PP-005</x:v>
      </x:c>
      <x:c r="B10" s="19" t="str"/>
      <x:c r="C10" s="19" t="str"/>
      <x:c r="D10" s="18"/>
      <x:c r="E10" s="18"/>
      <x:c r="F10" s="17" t="n">
        <x:v>0</x:v>
      </x:c>
      <x:c r="G10" s="17" t="n">
        <x:v>0</x:v>
      </x:c>
      <x:c r="H10" s="17" t="n">
        <x:v>0</x:v>
      </x:c>
      <x:c r="I10" s="16" t="n">
        <x:f>F10-G10-H10</x:f>
        <x:v>0</x:v>
      </x:c>
      <x:c r="J10" s="13" t="str"/>
      <x:c r="K10" s="13" t="str"/>
      <x:c r="L10" s="13" t="str">
        <x:v>未开始</x:v>
      </x:c>
    </x:row>
    <x:row r="11">
      <x:c r="A11" s="13" t="str">
        <x:v>PP-006</x:v>
      </x:c>
      <x:c r="B11" s="19" t="str"/>
      <x:c r="C11" s="19" t="str"/>
      <x:c r="D11" s="18"/>
      <x:c r="E11" s="18"/>
      <x:c r="F11" s="17" t="n">
        <x:v>0</x:v>
      </x:c>
      <x:c r="G11" s="17" t="n">
        <x:v>0</x:v>
      </x:c>
      <x:c r="H11" s="17" t="n">
        <x:v>0</x:v>
      </x:c>
      <x:c r="I11" s="16" t="n">
        <x:f>F11-G11-H11</x:f>
        <x:v>0</x:v>
      </x:c>
      <x:c r="J11" s="13" t="str"/>
      <x:c r="K11" s="13" t="str"/>
      <x:c r="L11" s="13" t="str">
        <x:v>未开始</x:v>
      </x:c>
    </x:row>
    <x:row r="12">
      <x:c r="A12" s="13" t="str">
        <x:v>PP-007</x:v>
      </x:c>
      <x:c r="B12" s="19" t="str"/>
      <x:c r="C12" s="19" t="str"/>
      <x:c r="D12" s="18"/>
      <x:c r="E12" s="18"/>
      <x:c r="F12" s="17" t="n">
        <x:v>0</x:v>
      </x:c>
      <x:c r="G12" s="17" t="n">
        <x:v>0</x:v>
      </x:c>
      <x:c r="H12" s="17" t="n">
        <x:v>0</x:v>
      </x:c>
      <x:c r="I12" s="16" t="n">
        <x:f>F12-G12-H12</x:f>
        <x:v>0</x:v>
      </x:c>
      <x:c r="J12" s="13" t="str"/>
      <x:c r="K12" s="13" t="str"/>
      <x:c r="L12" s="13" t="str">
        <x:v>未开始</x:v>
      </x:c>
    </x:row>
    <x:row r="13">
      <x:c r="A13" s="13" t="str">
        <x:v>PP-008</x:v>
      </x:c>
      <x:c r="B13" s="19" t="str"/>
      <x:c r="C13" s="19" t="str"/>
      <x:c r="D13" s="18"/>
      <x:c r="E13" s="18"/>
      <x:c r="F13" s="17" t="n">
        <x:v>0</x:v>
      </x:c>
      <x:c r="G13" s="17" t="n">
        <x:v>0</x:v>
      </x:c>
      <x:c r="H13" s="17" t="n">
        <x:v>0</x:v>
      </x:c>
      <x:c r="I13" s="16" t="n">
        <x:f>F13-G13-H13</x:f>
        <x:v>0</x:v>
      </x:c>
      <x:c r="J13" s="13" t="str"/>
      <x:c r="K13" s="13" t="str"/>
      <x:c r="L13" s="13" t="str">
        <x:v>未开始</x:v>
      </x:c>
    </x:row>
    <x:row r="14">
      <x:c r="A14" s="13" t="str">
        <x:v>PP-009</x:v>
      </x:c>
      <x:c r="B14" s="19" t="str"/>
      <x:c r="C14" s="19" t="str"/>
      <x:c r="D14" s="18"/>
      <x:c r="E14" s="18"/>
      <x:c r="F14" s="17" t="n">
        <x:v>0</x:v>
      </x:c>
      <x:c r="G14" s="17" t="n">
        <x:v>0</x:v>
      </x:c>
      <x:c r="H14" s="17" t="n">
        <x:v>0</x:v>
      </x:c>
      <x:c r="I14" s="16" t="n">
        <x:f>F14-G14-H14</x:f>
        <x:v>0</x:v>
      </x:c>
      <x:c r="J14" s="13" t="str"/>
      <x:c r="K14" s="13" t="str"/>
      <x:c r="L14" s="13" t="str">
        <x:v>未开始</x:v>
      </x:c>
    </x:row>
    <x:row r="15">
      <x:c r="A15" s="13" t="str">
        <x:v>PP-010</x:v>
      </x:c>
      <x:c r="B15" s="19" t="str"/>
      <x:c r="C15" s="19" t="str"/>
      <x:c r="D15" s="18"/>
      <x:c r="E15" s="18"/>
      <x:c r="F15" s="17" t="n">
        <x:v>0</x:v>
      </x:c>
      <x:c r="G15" s="17" t="n">
        <x:v>0</x:v>
      </x:c>
      <x:c r="H15" s="17" t="n">
        <x:v>0</x:v>
      </x:c>
      <x:c r="I15" s="16" t="n">
        <x:f>F15-G15-H15</x:f>
        <x:v>0</x:v>
      </x:c>
      <x:c r="J15" s="13" t="str"/>
      <x:c r="K15" s="13" t="str"/>
      <x:c r="L15" s="13" t="str">
        <x:v>未开始</x:v>
      </x:c>
    </x:row>
    <x:row r="16">
      <x:c r="A16" s="13" t="str">
        <x:v>PP-011</x:v>
      </x:c>
      <x:c r="B16" s="19" t="str"/>
      <x:c r="C16" s="19" t="str"/>
      <x:c r="D16" s="18"/>
      <x:c r="E16" s="18"/>
      <x:c r="F16" s="17" t="n">
        <x:v>0</x:v>
      </x:c>
      <x:c r="G16" s="17" t="n">
        <x:v>0</x:v>
      </x:c>
      <x:c r="H16" s="17" t="n">
        <x:v>0</x:v>
      </x:c>
      <x:c r="I16" s="16" t="n">
        <x:f>F16-G16-H16</x:f>
        <x:v>0</x:v>
      </x:c>
      <x:c r="J16" s="13" t="str"/>
      <x:c r="K16" s="13" t="str"/>
      <x:c r="L16" s="13" t="str">
        <x:v>未开始</x:v>
      </x:c>
    </x:row>
    <x:row r="17">
      <x:c r="A17" s="13" t="str">
        <x:v>PP-012</x:v>
      </x:c>
      <x:c r="B17" s="19" t="str"/>
      <x:c r="C17" s="19" t="str"/>
      <x:c r="D17" s="18"/>
      <x:c r="E17" s="18"/>
      <x:c r="F17" s="17" t="n">
        <x:v>0</x:v>
      </x:c>
      <x:c r="G17" s="17" t="n">
        <x:v>0</x:v>
      </x:c>
      <x:c r="H17" s="17" t="n">
        <x:v>0</x:v>
      </x:c>
      <x:c r="I17" s="16" t="n">
        <x:f>F17-G17-H17</x:f>
        <x:v>0</x:v>
      </x:c>
      <x:c r="J17" s="13" t="str"/>
      <x:c r="K17" s="13" t="str"/>
      <x:c r="L17" s="13" t="str">
        <x:v>未开始</x:v>
      </x:c>
    </x:row>
    <x:row r="18">
      <x:c r="A18" s="13" t="str">
        <x:v>PP-013</x:v>
      </x:c>
      <x:c r="B18" s="19" t="str"/>
      <x:c r="C18" s="19" t="str"/>
      <x:c r="D18" s="18"/>
      <x:c r="E18" s="18"/>
      <x:c r="F18" s="17" t="n">
        <x:v>0</x:v>
      </x:c>
      <x:c r="G18" s="17" t="n">
        <x:v>0</x:v>
      </x:c>
      <x:c r="H18" s="17" t="n">
        <x:v>0</x:v>
      </x:c>
      <x:c r="I18" s="16" t="n">
        <x:f>F18-G18-H18</x:f>
        <x:v>0</x:v>
      </x:c>
      <x:c r="J18" s="13" t="str"/>
      <x:c r="K18" s="13" t="str"/>
      <x:c r="L18" s="13" t="str">
        <x:v>未开始</x:v>
      </x:c>
    </x:row>
    <x:row r="19">
      <x:c r="A19" s="13" t="str">
        <x:v>PP-014</x:v>
      </x:c>
      <x:c r="B19" s="19" t="str"/>
      <x:c r="C19" s="19" t="str"/>
      <x:c r="D19" s="18"/>
      <x:c r="E19" s="18"/>
      <x:c r="F19" s="17" t="n">
        <x:v>0</x:v>
      </x:c>
      <x:c r="G19" s="17" t="n">
        <x:v>0</x:v>
      </x:c>
      <x:c r="H19" s="17" t="n">
        <x:v>0</x:v>
      </x:c>
      <x:c r="I19" s="16" t="n">
        <x:f>F19-G19-H19</x:f>
        <x:v>0</x:v>
      </x:c>
      <x:c r="J19" s="13" t="str"/>
      <x:c r="K19" s="13" t="str"/>
      <x:c r="L19" s="13" t="str">
        <x:v>未开始</x:v>
      </x:c>
    </x:row>
    <x:row r="20">
      <x:c r="A20" s="13" t="str">
        <x:v>PP-015</x:v>
      </x:c>
      <x:c r="B20" s="19" t="str"/>
      <x:c r="C20" s="19" t="str"/>
      <x:c r="D20" s="18"/>
      <x:c r="E20" s="18"/>
      <x:c r="F20" s="17" t="n">
        <x:v>0</x:v>
      </x:c>
      <x:c r="G20" s="17" t="n">
        <x:v>0</x:v>
      </x:c>
      <x:c r="H20" s="17" t="n">
        <x:v>0</x:v>
      </x:c>
      <x:c r="I20" s="16" t="n">
        <x:f>F20-G20-H20</x:f>
        <x:v>0</x:v>
      </x:c>
      <x:c r="J20" s="13" t="str"/>
      <x:c r="K20" s="13" t="str"/>
      <x:c r="L20" s="13" t="str">
        <x:v>未开始</x:v>
      </x:c>
    </x:row>
    <x:row r="21">
      <x:c r="A21" s="13" t="str">
        <x:v>PP-016</x:v>
      </x:c>
      <x:c r="B21" s="19" t="str"/>
      <x:c r="C21" s="19" t="str"/>
      <x:c r="D21" s="18"/>
      <x:c r="E21" s="18"/>
      <x:c r="F21" s="17" t="n">
        <x:v>0</x:v>
      </x:c>
      <x:c r="G21" s="17" t="n">
        <x:v>0</x:v>
      </x:c>
      <x:c r="H21" s="17" t="n">
        <x:v>0</x:v>
      </x:c>
      <x:c r="I21" s="16" t="n">
        <x:f>F21-G21-H21</x:f>
        <x:v>0</x:v>
      </x:c>
      <x:c r="J21" s="13" t="str"/>
      <x:c r="K21" s="13" t="str"/>
      <x:c r="L21" s="13" t="str">
        <x:v>未开始</x:v>
      </x:c>
    </x:row>
    <x:row r="22">
      <x:c r="A22" s="13" t="str">
        <x:v>PP-017</x:v>
      </x:c>
      <x:c r="B22" s="19" t="str"/>
      <x:c r="C22" s="19" t="str"/>
      <x:c r="D22" s="18"/>
      <x:c r="E22" s="18"/>
      <x:c r="F22" s="17" t="n">
        <x:v>0</x:v>
      </x:c>
      <x:c r="G22" s="17" t="n">
        <x:v>0</x:v>
      </x:c>
      <x:c r="H22" s="17" t="n">
        <x:v>0</x:v>
      </x:c>
      <x:c r="I22" s="16" t="n">
        <x:f>F22-G22-H22</x:f>
        <x:v>0</x:v>
      </x:c>
      <x:c r="J22" s="13" t="str"/>
      <x:c r="K22" s="13" t="str"/>
      <x:c r="L22" s="13" t="str">
        <x:v>未开始</x:v>
      </x:c>
    </x:row>
    <x:row r="23">
      <x:c r="A23" s="13" t="str">
        <x:v>PP-018</x:v>
      </x:c>
      <x:c r="B23" s="19" t="str"/>
      <x:c r="C23" s="19" t="str"/>
      <x:c r="D23" s="18"/>
      <x:c r="E23" s="18"/>
      <x:c r="F23" s="17" t="n">
        <x:v>0</x:v>
      </x:c>
      <x:c r="G23" s="17" t="n">
        <x:v>0</x:v>
      </x:c>
      <x:c r="H23" s="17" t="n">
        <x:v>0</x:v>
      </x:c>
      <x:c r="I23" s="16" t="n">
        <x:f>F23-G23-H23</x:f>
        <x:v>0</x:v>
      </x:c>
      <x:c r="J23" s="13" t="str"/>
      <x:c r="K23" s="13" t="str"/>
      <x:c r="L23" s="13" t="str">
        <x:v>未开始</x:v>
      </x:c>
    </x:row>
    <x:row r="24">
      <x:c r="A24" s="13" t="str">
        <x:v>PP-019</x:v>
      </x:c>
      <x:c r="B24" s="19" t="str"/>
      <x:c r="C24" s="19" t="str"/>
      <x:c r="D24" s="18"/>
      <x:c r="E24" s="18"/>
      <x:c r="F24" s="17" t="n">
        <x:v>0</x:v>
      </x:c>
      <x:c r="G24" s="17" t="n">
        <x:v>0</x:v>
      </x:c>
      <x:c r="H24" s="17" t="n">
        <x:v>0</x:v>
      </x:c>
      <x:c r="I24" s="16" t="n">
        <x:f>F24-G24-H24</x:f>
        <x:v>0</x:v>
      </x:c>
      <x:c r="J24" s="13" t="str"/>
      <x:c r="K24" s="13" t="str"/>
      <x:c r="L24" s="13" t="str">
        <x:v>未开始</x:v>
      </x:c>
    </x:row>
    <x:row r="25">
      <x:c r="A25" s="13" t="str">
        <x:v>PP-020</x:v>
      </x:c>
      <x:c r="B25" s="19" t="str"/>
      <x:c r="C25" s="19" t="str"/>
      <x:c r="D25" s="18"/>
      <x:c r="E25" s="18"/>
      <x:c r="F25" s="17" t="n">
        <x:v>0</x:v>
      </x:c>
      <x:c r="G25" s="17" t="n">
        <x:v>0</x:v>
      </x:c>
      <x:c r="H25" s="17" t="n">
        <x:v>0</x:v>
      </x:c>
      <x:c r="I25" s="16" t="n">
        <x:f>F25-G25-H25</x:f>
        <x:v>0</x:v>
      </x:c>
      <x:c r="J25" s="13" t="str"/>
      <x:c r="K25" s="13" t="str"/>
      <x:c r="L25" s="13" t="str">
        <x:v>未开始</x:v>
      </x:c>
    </x:row>
    <x:row r="26">
      <x:c r="A26" s="13" t="str">
        <x:v>PP-021</x:v>
      </x:c>
      <x:c r="B26" s="19" t="str"/>
      <x:c r="C26" s="19" t="str"/>
      <x:c r="D26" s="18"/>
      <x:c r="E26" s="18"/>
      <x:c r="F26" s="17" t="n">
        <x:v>0</x:v>
      </x:c>
      <x:c r="G26" s="17" t="n">
        <x:v>0</x:v>
      </x:c>
      <x:c r="H26" s="17" t="n">
        <x:v>0</x:v>
      </x:c>
      <x:c r="I26" s="16" t="n">
        <x:f>F26-G26-H26</x:f>
        <x:v>0</x:v>
      </x:c>
      <x:c r="J26" s="13" t="str"/>
      <x:c r="K26" s="13" t="str"/>
      <x:c r="L26" s="13" t="str">
        <x:v>未开始</x:v>
      </x:c>
    </x:row>
    <x:row r="27">
      <x:c r="A27" s="13" t="str">
        <x:v>PP-022</x:v>
      </x:c>
      <x:c r="B27" s="19" t="str"/>
      <x:c r="C27" s="19" t="str"/>
      <x:c r="D27" s="18"/>
      <x:c r="E27" s="18"/>
      <x:c r="F27" s="17" t="n">
        <x:v>0</x:v>
      </x:c>
      <x:c r="G27" s="17" t="n">
        <x:v>0</x:v>
      </x:c>
      <x:c r="H27" s="17" t="n">
        <x:v>0</x:v>
      </x:c>
      <x:c r="I27" s="16" t="n">
        <x:f>F27-G27-H27</x:f>
        <x:v>0</x:v>
      </x:c>
      <x:c r="J27" s="13" t="str"/>
      <x:c r="K27" s="13" t="str"/>
      <x:c r="L27" s="13" t="str">
        <x:v>未开始</x:v>
      </x:c>
    </x:row>
    <x:row r="28">
      <x:c r="A28" s="13" t="str">
        <x:v>PP-023</x:v>
      </x:c>
      <x:c r="B28" s="19" t="str"/>
      <x:c r="C28" s="19" t="str"/>
      <x:c r="D28" s="18"/>
      <x:c r="E28" s="18"/>
      <x:c r="F28" s="17" t="n">
        <x:v>0</x:v>
      </x:c>
      <x:c r="G28" s="17" t="n">
        <x:v>0</x:v>
      </x:c>
      <x:c r="H28" s="17" t="n">
        <x:v>0</x:v>
      </x:c>
      <x:c r="I28" s="16" t="n">
        <x:f>F28-G28-H28</x:f>
        <x:v>0</x:v>
      </x:c>
      <x:c r="J28" s="13" t="str"/>
      <x:c r="K28" s="13" t="str"/>
      <x:c r="L28" s="13" t="str">
        <x:v>未开始</x:v>
      </x:c>
    </x:row>
    <x:row r="29">
      <x:c r="A29" s="13" t="str">
        <x:v>PP-024</x:v>
      </x:c>
      <x:c r="B29" s="19" t="str"/>
      <x:c r="C29" s="19" t="str"/>
      <x:c r="D29" s="18"/>
      <x:c r="E29" s="18"/>
      <x:c r="F29" s="17" t="n">
        <x:v>0</x:v>
      </x:c>
      <x:c r="G29" s="17" t="n">
        <x:v>0</x:v>
      </x:c>
      <x:c r="H29" s="17" t="n">
        <x:v>0</x:v>
      </x:c>
      <x:c r="I29" s="16" t="n">
        <x:f>F29-G29-H29</x:f>
        <x:v>0</x:v>
      </x:c>
      <x:c r="J29" s="13" t="str"/>
      <x:c r="K29" s="13" t="str"/>
      <x:c r="L29" s="13" t="str">
        <x:v>未开始</x:v>
      </x:c>
    </x:row>
    <x:row r="30">
      <x:c r="A30" s="13" t="str">
        <x:v>PP-025</x:v>
      </x:c>
      <x:c r="B30" s="19" t="str"/>
      <x:c r="C30" s="19" t="str"/>
      <x:c r="D30" s="18"/>
      <x:c r="E30" s="18"/>
      <x:c r="F30" s="17" t="n">
        <x:v>0</x:v>
      </x:c>
      <x:c r="G30" s="17" t="n">
        <x:v>0</x:v>
      </x:c>
      <x:c r="H30" s="17" t="n">
        <x:v>0</x:v>
      </x:c>
      <x:c r="I30" s="16" t="n">
        <x:f>F30-G30-H30</x:f>
        <x:v>0</x:v>
      </x:c>
      <x:c r="J30" s="13" t="str"/>
      <x:c r="K30" s="13" t="str"/>
      <x:c r="L30" s="13" t="str">
        <x:v>未开始</x:v>
      </x:c>
    </x:row>
    <x:row r="31">
      <x:c r="A31" s="13" t="str">
        <x:v>PP-026</x:v>
      </x:c>
      <x:c r="B31" s="19" t="str"/>
      <x:c r="C31" s="19" t="str"/>
      <x:c r="D31" s="18"/>
      <x:c r="E31" s="18"/>
      <x:c r="F31" s="17" t="n">
        <x:v>0</x:v>
      </x:c>
      <x:c r="G31" s="17" t="n">
        <x:v>0</x:v>
      </x:c>
      <x:c r="H31" s="17" t="n">
        <x:v>0</x:v>
      </x:c>
      <x:c r="I31" s="16" t="n">
        <x:f>F31-G31-H31</x:f>
        <x:v>0</x:v>
      </x:c>
      <x:c r="J31" s="13" t="str"/>
      <x:c r="K31" s="13" t="str"/>
      <x:c r="L31" s="13" t="str">
        <x:v>未开始</x:v>
      </x:c>
    </x:row>
    <x:row r="32">
      <x:c r="A32" s="13" t="str">
        <x:v>PP-027</x:v>
      </x:c>
      <x:c r="B32" s="19" t="str"/>
      <x:c r="C32" s="19" t="str"/>
      <x:c r="D32" s="18"/>
      <x:c r="E32" s="18"/>
      <x:c r="F32" s="17" t="n">
        <x:v>0</x:v>
      </x:c>
      <x:c r="G32" s="17" t="n">
        <x:v>0</x:v>
      </x:c>
      <x:c r="H32" s="17" t="n">
        <x:v>0</x:v>
      </x:c>
      <x:c r="I32" s="16" t="n">
        <x:f>F32-G32-H32</x:f>
        <x:v>0</x:v>
      </x:c>
      <x:c r="J32" s="13" t="str"/>
      <x:c r="K32" s="13" t="str"/>
      <x:c r="L32" s="13" t="str">
        <x:v>未开始</x:v>
      </x:c>
    </x:row>
    <x:row r="33">
      <x:c r="A33" s="13" t="str">
        <x:v>PP-028</x:v>
      </x:c>
      <x:c r="B33" s="19" t="str"/>
      <x:c r="C33" s="19" t="str"/>
      <x:c r="D33" s="18"/>
      <x:c r="E33" s="18"/>
      <x:c r="F33" s="17" t="n">
        <x:v>0</x:v>
      </x:c>
      <x:c r="G33" s="17" t="n">
        <x:v>0</x:v>
      </x:c>
      <x:c r="H33" s="17" t="n">
        <x:v>0</x:v>
      </x:c>
      <x:c r="I33" s="16" t="n">
        <x:f>F33-G33-H33</x:f>
        <x:v>0</x:v>
      </x:c>
      <x:c r="J33" s="13" t="str"/>
      <x:c r="K33" s="13" t="str"/>
      <x:c r="L33" s="13" t="str">
        <x:v>未开始</x:v>
      </x:c>
    </x:row>
    <x:row r="34">
      <x:c r="A34" s="13" t="str">
        <x:v>PP-029</x:v>
      </x:c>
      <x:c r="B34" s="19" t="str"/>
      <x:c r="C34" s="19" t="str"/>
      <x:c r="D34" s="18"/>
      <x:c r="E34" s="18"/>
      <x:c r="F34" s="17" t="n">
        <x:v>0</x:v>
      </x:c>
      <x:c r="G34" s="17" t="n">
        <x:v>0</x:v>
      </x:c>
      <x:c r="H34" s="17" t="n">
        <x:v>0</x:v>
      </x:c>
      <x:c r="I34" s="16" t="n">
        <x:f>F34-G34-H34</x:f>
        <x:v>0</x:v>
      </x:c>
      <x:c r="J34" s="13" t="str"/>
      <x:c r="K34" s="13" t="str"/>
      <x:c r="L34" s="13" t="str">
        <x:v>未开始</x:v>
      </x:c>
    </x:row>
    <x:row r="35">
      <x:c r="A35" s="13" t="str">
        <x:v>PP-030</x:v>
      </x:c>
      <x:c r="B35" s="19" t="str"/>
      <x:c r="C35" s="19" t="str"/>
      <x:c r="D35" s="18"/>
      <x:c r="E35" s="18"/>
      <x:c r="F35" s="17" t="n">
        <x:v>0</x:v>
      </x:c>
      <x:c r="G35" s="17" t="n">
        <x:v>0</x:v>
      </x:c>
      <x:c r="H35" s="17" t="n">
        <x:v>0</x:v>
      </x:c>
      <x:c r="I35" s="16" t="n">
        <x:f>F35-G35-H35</x:f>
        <x:v>0</x:v>
      </x:c>
      <x:c r="J35" s="13" t="str"/>
      <x:c r="K35" s="13" t="str"/>
      <x:c r="L35" s="13" t="str">
        <x:v>未开始</x:v>
      </x:c>
    </x:row>
  </x:sheetData>
  <x:mergeCells>
    <x:mergeCell ref="A1:L1"/>
    <x:mergeCell ref="A2:L2"/>
  </x:mergeCells>
  <x:conditionalFormatting sqref="L6:L35">
    <x:cfRule type="containsText" dxfId="18" priority="1" operator="containsText" text="已完成"/>
    <x:cfRule type="containsText" dxfId="19" priority="2" operator="containsText" text="未开始"/>
    <x:cfRule type="containsText" dxfId="20" priority="3" operator="containsText" text="异常"/>
  </x:conditionalFormatting>
  <x:dataValidations count="1">
    <x:dataValidation type="list" sqref="L6:L3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f42232b4214e2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5" hidden="0" customWidth="1"/>
    <x:col min="12" max="12" width="13" hidden="0" customWidth="1"/>
    <x:col min="13" max="13" width="11" hidden="0" customWidth="1"/>
  </x:cols>
  <x:sheetData>
    <x:row r="1" ht="30" customHeight="1">
      <x:c r="A1" s="1" t="str">
        <x:v>往来账龄分析</x:v>
      </x:c>
    </x:row>
    <x:row r="2" ht="25" customHeight="1">
      <x:c r="A2" s="3" t="str">
        <x:v>到期日优先；没有到期日时以凭证/发票日替代并注明。</x:v>
      </x:c>
    </x:row>
    <x:row r="5" ht="35" customHeight="1">
      <x:c r="A5" s="9" t="str">
        <x:v>类型</x:v>
      </x:c>
      <x:c r="B5" s="9" t="str">
        <x:v>对象</x:v>
      </x:c>
      <x:c r="C5" s="9" t="str">
        <x:v>单据号</x:v>
      </x:c>
      <x:c r="D5" s="9" t="str">
        <x:v>业务日期</x:v>
      </x:c>
      <x:c r="E5" s="9" t="str">
        <x:v>到期日</x:v>
      </x:c>
      <x:c r="F5" s="9" t="str">
        <x:v>余额</x:v>
      </x:c>
      <x:c r="G5" s="9" t="str">
        <x:v>未到期</x:v>
      </x:c>
      <x:c r="H5" s="9" t="str">
        <x:v>1-30天</x:v>
      </x:c>
      <x:c r="I5" s="9" t="str">
        <x:v>31-60天</x:v>
      </x:c>
      <x:c r="J5" s="9" t="str">
        <x:v>61-90天</x:v>
      </x:c>
      <x:c r="K5" s="9" t="str">
        <x:v>90天以上</x:v>
      </x:c>
      <x:c r="L5" s="9" t="str">
        <x:v>责任人</x:v>
      </x:c>
      <x:c r="M5" s="9" t="str">
        <x:v>状态</x:v>
      </x:c>
    </x:row>
    <x:row r="6">
      <x:c r="A6" s="19" t="str">
        <x:v>应收</x:v>
      </x:c>
      <x:c r="B6" s="19" t="str"/>
      <x:c r="C6" s="19" t="str"/>
      <x:c r="D6" s="18"/>
      <x:c r="E6" s="18"/>
      <x:c r="F6" s="17" t="n">
        <x:v>0</x:v>
      </x:c>
      <x:c r="G6" s="16" t="n">
        <x:f>IF(E6="",0,IF(TODAY()&lt;=E6,F6,0))</x:f>
        <x:v>0</x:v>
      </x:c>
      <x:c r="H6" s="16" t="n">
        <x:f>IF(E6="",0,IF(AND(TODAY()-E6&gt;=1,TODAY()-E6&lt;=30),F6,0))</x:f>
        <x:v>0</x:v>
      </x:c>
      <x:c r="I6" s="16" t="n">
        <x:f>IF(E6="",0,IF(AND(TODAY()-E6&gt;=31,TODAY()-E6&lt;=60),F6,0))</x:f>
        <x:v>0</x:v>
      </x:c>
      <x:c r="J6" s="16" t="n">
        <x:f>IF(E6="",0,IF(AND(TODAY()-E6&gt;=61,TODAY()-E6&lt;=90),F6,0))</x:f>
        <x:v>0</x:v>
      </x:c>
      <x:c r="K6" s="16" t="n">
        <x:f>IF(E6="",0,IF(TODAY()-E6&gt;90,F6,0))</x:f>
        <x:v>0</x:v>
      </x:c>
      <x:c r="L6" s="13" t="str"/>
      <x:c r="M6" s="13" t="str">
        <x:v>未开始</x:v>
      </x:c>
    </x:row>
    <x:row r="7">
      <x:c r="A7" s="19" t="str">
        <x:v>应付</x:v>
      </x:c>
      <x:c r="B7" s="19" t="str"/>
      <x:c r="C7" s="19" t="str"/>
      <x:c r="D7" s="18"/>
      <x:c r="E7" s="18"/>
      <x:c r="F7" s="17" t="n">
        <x:v>0</x:v>
      </x:c>
      <x:c r="G7" s="16" t="n">
        <x:f>IF(E7="",0,IF(TODAY()&lt;=E7,F7,0))</x:f>
        <x:v>0</x:v>
      </x:c>
      <x:c r="H7" s="16" t="n">
        <x:f>IF(E7="",0,IF(AND(TODAY()-E7&gt;=1,TODAY()-E7&lt;=30),F7,0))</x:f>
        <x:v>0</x:v>
      </x:c>
      <x:c r="I7" s="16" t="n">
        <x:f>IF(E7="",0,IF(AND(TODAY()-E7&gt;=31,TODAY()-E7&lt;=60),F7,0))</x:f>
        <x:v>0</x:v>
      </x:c>
      <x:c r="J7" s="16" t="n">
        <x:f>IF(E7="",0,IF(AND(TODAY()-E7&gt;=61,TODAY()-E7&lt;=90),F7,0))</x:f>
        <x:v>0</x:v>
      </x:c>
      <x:c r="K7" s="16" t="n">
        <x:f>IF(E7="",0,IF(TODAY()-E7&gt;90,F7,0))</x:f>
        <x:v>0</x:v>
      </x:c>
      <x:c r="L7" s="13" t="str"/>
      <x:c r="M7" s="13" t="str">
        <x:v>未开始</x:v>
      </x:c>
    </x:row>
    <x:row r="8">
      <x:c r="A8" s="19" t="str">
        <x:v>应收</x:v>
      </x:c>
      <x:c r="B8" s="19" t="str"/>
      <x:c r="C8" s="19" t="str"/>
      <x:c r="D8" s="18"/>
      <x:c r="E8" s="18"/>
      <x:c r="F8" s="17" t="n">
        <x:v>0</x:v>
      </x:c>
      <x:c r="G8" s="16" t="n">
        <x:f>IF(E8="",0,IF(TODAY()&lt;=E8,F8,0))</x:f>
        <x:v>0</x:v>
      </x:c>
      <x:c r="H8" s="16" t="n">
        <x:f>IF(E8="",0,IF(AND(TODAY()-E8&gt;=1,TODAY()-E8&lt;=30),F8,0))</x:f>
        <x:v>0</x:v>
      </x:c>
      <x:c r="I8" s="16" t="n">
        <x:f>IF(E8="",0,IF(AND(TODAY()-E8&gt;=31,TODAY()-E8&lt;=60),F8,0))</x:f>
        <x:v>0</x:v>
      </x:c>
      <x:c r="J8" s="16" t="n">
        <x:f>IF(E8="",0,IF(AND(TODAY()-E8&gt;=61,TODAY()-E8&lt;=90),F8,0))</x:f>
        <x:v>0</x:v>
      </x:c>
      <x:c r="K8" s="16" t="n">
        <x:f>IF(E8="",0,IF(TODAY()-E8&gt;90,F8,0))</x:f>
        <x:v>0</x:v>
      </x:c>
      <x:c r="L8" s="13" t="str"/>
      <x:c r="M8" s="13" t="str">
        <x:v>未开始</x:v>
      </x:c>
    </x:row>
    <x:row r="9">
      <x:c r="A9" s="19" t="str">
        <x:v>应付</x:v>
      </x:c>
      <x:c r="B9" s="19" t="str"/>
      <x:c r="C9" s="19" t="str"/>
      <x:c r="D9" s="18"/>
      <x:c r="E9" s="18"/>
      <x:c r="F9" s="17" t="n">
        <x:v>0</x:v>
      </x:c>
      <x:c r="G9" s="16" t="n">
        <x:f>IF(E9="",0,IF(TODAY()&lt;=E9,F9,0))</x:f>
        <x:v>0</x:v>
      </x:c>
      <x:c r="H9" s="16" t="n">
        <x:f>IF(E9="",0,IF(AND(TODAY()-E9&gt;=1,TODAY()-E9&lt;=30),F9,0))</x:f>
        <x:v>0</x:v>
      </x:c>
      <x:c r="I9" s="16" t="n">
        <x:f>IF(E9="",0,IF(AND(TODAY()-E9&gt;=31,TODAY()-E9&lt;=60),F9,0))</x:f>
        <x:v>0</x:v>
      </x:c>
      <x:c r="J9" s="16" t="n">
        <x:f>IF(E9="",0,IF(AND(TODAY()-E9&gt;=61,TODAY()-E9&lt;=90),F9,0))</x:f>
        <x:v>0</x:v>
      </x:c>
      <x:c r="K9" s="16" t="n">
        <x:f>IF(E9="",0,IF(TODAY()-E9&gt;90,F9,0))</x:f>
        <x:v>0</x:v>
      </x:c>
      <x:c r="L9" s="13" t="str"/>
      <x:c r="M9" s="13" t="str">
        <x:v>未开始</x:v>
      </x:c>
    </x:row>
    <x:row r="10">
      <x:c r="A10" s="19" t="str">
        <x:v>应收</x:v>
      </x:c>
      <x:c r="B10" s="19" t="str"/>
      <x:c r="C10" s="19" t="str"/>
      <x:c r="D10" s="18"/>
      <x:c r="E10" s="18"/>
      <x:c r="F10" s="17" t="n">
        <x:v>0</x:v>
      </x:c>
      <x:c r="G10" s="16" t="n">
        <x:f>IF(E10="",0,IF(TODAY()&lt;=E10,F10,0))</x:f>
        <x:v>0</x:v>
      </x:c>
      <x:c r="H10" s="16" t="n">
        <x:f>IF(E10="",0,IF(AND(TODAY()-E10&gt;=1,TODAY()-E10&lt;=30),F10,0))</x:f>
        <x:v>0</x:v>
      </x:c>
      <x:c r="I10" s="16" t="n">
        <x:f>IF(E10="",0,IF(AND(TODAY()-E10&gt;=31,TODAY()-E10&lt;=60),F10,0))</x:f>
        <x:v>0</x:v>
      </x:c>
      <x:c r="J10" s="16" t="n">
        <x:f>IF(E10="",0,IF(AND(TODAY()-E10&gt;=61,TODAY()-E10&lt;=90),F10,0))</x:f>
        <x:v>0</x:v>
      </x:c>
      <x:c r="K10" s="16" t="n">
        <x:f>IF(E10="",0,IF(TODAY()-E10&gt;90,F10,0))</x:f>
        <x:v>0</x:v>
      </x:c>
      <x:c r="L10" s="13" t="str"/>
      <x:c r="M10" s="13" t="str">
        <x:v>未开始</x:v>
      </x:c>
    </x:row>
    <x:row r="11">
      <x:c r="A11" s="19" t="str">
        <x:v>应付</x:v>
      </x:c>
      <x:c r="B11" s="19" t="str"/>
      <x:c r="C11" s="19" t="str"/>
      <x:c r="D11" s="18"/>
      <x:c r="E11" s="18"/>
      <x:c r="F11" s="17" t="n">
        <x:v>0</x:v>
      </x:c>
      <x:c r="G11" s="16" t="n">
        <x:f>IF(E11="",0,IF(TODAY()&lt;=E11,F11,0))</x:f>
        <x:v>0</x:v>
      </x:c>
      <x:c r="H11" s="16" t="n">
        <x:f>IF(E11="",0,IF(AND(TODAY()-E11&gt;=1,TODAY()-E11&lt;=30),F11,0))</x:f>
        <x:v>0</x:v>
      </x:c>
      <x:c r="I11" s="16" t="n">
        <x:f>IF(E11="",0,IF(AND(TODAY()-E11&gt;=31,TODAY()-E11&lt;=60),F11,0))</x:f>
        <x:v>0</x:v>
      </x:c>
      <x:c r="J11" s="16" t="n">
        <x:f>IF(E11="",0,IF(AND(TODAY()-E11&gt;=61,TODAY()-E11&lt;=90),F11,0))</x:f>
        <x:v>0</x:v>
      </x:c>
      <x:c r="K11" s="16" t="n">
        <x:f>IF(E11="",0,IF(TODAY()-E11&gt;90,F11,0))</x:f>
        <x:v>0</x:v>
      </x:c>
      <x:c r="L11" s="13" t="str"/>
      <x:c r="M11" s="13" t="str">
        <x:v>未开始</x:v>
      </x:c>
    </x:row>
    <x:row r="12">
      <x:c r="A12" s="19" t="str">
        <x:v>应收</x:v>
      </x:c>
      <x:c r="B12" s="19" t="str"/>
      <x:c r="C12" s="19" t="str"/>
      <x:c r="D12" s="18"/>
      <x:c r="E12" s="18"/>
      <x:c r="F12" s="17" t="n">
        <x:v>0</x:v>
      </x:c>
      <x:c r="G12" s="16" t="n">
        <x:f>IF(E12="",0,IF(TODAY()&lt;=E12,F12,0))</x:f>
        <x:v>0</x:v>
      </x:c>
      <x:c r="H12" s="16" t="n">
        <x:f>IF(E12="",0,IF(AND(TODAY()-E12&gt;=1,TODAY()-E12&lt;=30),F12,0))</x:f>
        <x:v>0</x:v>
      </x:c>
      <x:c r="I12" s="16" t="n">
        <x:f>IF(E12="",0,IF(AND(TODAY()-E12&gt;=31,TODAY()-E12&lt;=60),F12,0))</x:f>
        <x:v>0</x:v>
      </x:c>
      <x:c r="J12" s="16" t="n">
        <x:f>IF(E12="",0,IF(AND(TODAY()-E12&gt;=61,TODAY()-E12&lt;=90),F12,0))</x:f>
        <x:v>0</x:v>
      </x:c>
      <x:c r="K12" s="16" t="n">
        <x:f>IF(E12="",0,IF(TODAY()-E12&gt;90,F12,0))</x:f>
        <x:v>0</x:v>
      </x:c>
      <x:c r="L12" s="13" t="str"/>
      <x:c r="M12" s="13" t="str">
        <x:v>未开始</x:v>
      </x:c>
    </x:row>
    <x:row r="13">
      <x:c r="A13" s="19" t="str">
        <x:v>应付</x:v>
      </x:c>
      <x:c r="B13" s="19" t="str"/>
      <x:c r="C13" s="19" t="str"/>
      <x:c r="D13" s="18"/>
      <x:c r="E13" s="18"/>
      <x:c r="F13" s="17" t="n">
        <x:v>0</x:v>
      </x:c>
      <x:c r="G13" s="16" t="n">
        <x:f>IF(E13="",0,IF(TODAY()&lt;=E13,F13,0))</x:f>
        <x:v>0</x:v>
      </x:c>
      <x:c r="H13" s="16" t="n">
        <x:f>IF(E13="",0,IF(AND(TODAY()-E13&gt;=1,TODAY()-E13&lt;=30),F13,0))</x:f>
        <x:v>0</x:v>
      </x:c>
      <x:c r="I13" s="16" t="n">
        <x:f>IF(E13="",0,IF(AND(TODAY()-E13&gt;=31,TODAY()-E13&lt;=60),F13,0))</x:f>
        <x:v>0</x:v>
      </x:c>
      <x:c r="J13" s="16" t="n">
        <x:f>IF(E13="",0,IF(AND(TODAY()-E13&gt;=61,TODAY()-E13&lt;=90),F13,0))</x:f>
        <x:v>0</x:v>
      </x:c>
      <x:c r="K13" s="16" t="n">
        <x:f>IF(E13="",0,IF(TODAY()-E13&gt;90,F13,0))</x:f>
        <x:v>0</x:v>
      </x:c>
      <x:c r="L13" s="13" t="str"/>
      <x:c r="M13" s="13" t="str">
        <x:v>未开始</x:v>
      </x:c>
    </x:row>
    <x:row r="14">
      <x:c r="A14" s="19" t="str">
        <x:v>应收</x:v>
      </x:c>
      <x:c r="B14" s="19" t="str"/>
      <x:c r="C14" s="19" t="str"/>
      <x:c r="D14" s="18"/>
      <x:c r="E14" s="18"/>
      <x:c r="F14" s="17" t="n">
        <x:v>0</x:v>
      </x:c>
      <x:c r="G14" s="16" t="n">
        <x:f>IF(E14="",0,IF(TODAY()&lt;=E14,F14,0))</x:f>
        <x:v>0</x:v>
      </x:c>
      <x:c r="H14" s="16" t="n">
        <x:f>IF(E14="",0,IF(AND(TODAY()-E14&gt;=1,TODAY()-E14&lt;=30),F14,0))</x:f>
        <x:v>0</x:v>
      </x:c>
      <x:c r="I14" s="16" t="n">
        <x:f>IF(E14="",0,IF(AND(TODAY()-E14&gt;=31,TODAY()-E14&lt;=60),F14,0))</x:f>
        <x:v>0</x:v>
      </x:c>
      <x:c r="J14" s="16" t="n">
        <x:f>IF(E14="",0,IF(AND(TODAY()-E14&gt;=61,TODAY()-E14&lt;=90),F14,0))</x:f>
        <x:v>0</x:v>
      </x:c>
      <x:c r="K14" s="16" t="n">
        <x:f>IF(E14="",0,IF(TODAY()-E14&gt;90,F14,0))</x:f>
        <x:v>0</x:v>
      </x:c>
      <x:c r="L14" s="13" t="str"/>
      <x:c r="M14" s="13" t="str">
        <x:v>未开始</x:v>
      </x:c>
    </x:row>
    <x:row r="15">
      <x:c r="A15" s="19" t="str">
        <x:v>应付</x:v>
      </x:c>
      <x:c r="B15" s="19" t="str"/>
      <x:c r="C15" s="19" t="str"/>
      <x:c r="D15" s="18"/>
      <x:c r="E15" s="18"/>
      <x:c r="F15" s="17" t="n">
        <x:v>0</x:v>
      </x:c>
      <x:c r="G15" s="16" t="n">
        <x:f>IF(E15="",0,IF(TODAY()&lt;=E15,F15,0))</x:f>
        <x:v>0</x:v>
      </x:c>
      <x:c r="H15" s="16" t="n">
        <x:f>IF(E15="",0,IF(AND(TODAY()-E15&gt;=1,TODAY()-E15&lt;=30),F15,0))</x:f>
        <x:v>0</x:v>
      </x:c>
      <x:c r="I15" s="16" t="n">
        <x:f>IF(E15="",0,IF(AND(TODAY()-E15&gt;=31,TODAY()-E15&lt;=60),F15,0))</x:f>
        <x:v>0</x:v>
      </x:c>
      <x:c r="J15" s="16" t="n">
        <x:f>IF(E15="",0,IF(AND(TODAY()-E15&gt;=61,TODAY()-E15&lt;=90),F15,0))</x:f>
        <x:v>0</x:v>
      </x:c>
      <x:c r="K15" s="16" t="n">
        <x:f>IF(E15="",0,IF(TODAY()-E15&gt;90,F15,0))</x:f>
        <x:v>0</x:v>
      </x:c>
      <x:c r="L15" s="13" t="str"/>
      <x:c r="M15" s="13" t="str">
        <x:v>未开始</x:v>
      </x:c>
    </x:row>
    <x:row r="16">
      <x:c r="A16" s="19" t="str">
        <x:v>应收</x:v>
      </x:c>
      <x:c r="B16" s="19" t="str"/>
      <x:c r="C16" s="19" t="str"/>
      <x:c r="D16" s="18"/>
      <x:c r="E16" s="18"/>
      <x:c r="F16" s="17" t="n">
        <x:v>0</x:v>
      </x:c>
      <x:c r="G16" s="16" t="n">
        <x:f>IF(E16="",0,IF(TODAY()&lt;=E16,F16,0))</x:f>
        <x:v>0</x:v>
      </x:c>
      <x:c r="H16" s="16" t="n">
        <x:f>IF(E16="",0,IF(AND(TODAY()-E16&gt;=1,TODAY()-E16&lt;=30),F16,0))</x:f>
        <x:v>0</x:v>
      </x:c>
      <x:c r="I16" s="16" t="n">
        <x:f>IF(E16="",0,IF(AND(TODAY()-E16&gt;=31,TODAY()-E16&lt;=60),F16,0))</x:f>
        <x:v>0</x:v>
      </x:c>
      <x:c r="J16" s="16" t="n">
        <x:f>IF(E16="",0,IF(AND(TODAY()-E16&gt;=61,TODAY()-E16&lt;=90),F16,0))</x:f>
        <x:v>0</x:v>
      </x:c>
      <x:c r="K16" s="16" t="n">
        <x:f>IF(E16="",0,IF(TODAY()-E16&gt;90,F16,0))</x:f>
        <x:v>0</x:v>
      </x:c>
      <x:c r="L16" s="13" t="str"/>
      <x:c r="M16" s="13" t="str">
        <x:v>未开始</x:v>
      </x:c>
    </x:row>
    <x:row r="17">
      <x:c r="A17" s="19" t="str">
        <x:v>应付</x:v>
      </x:c>
      <x:c r="B17" s="19" t="str"/>
      <x:c r="C17" s="19" t="str"/>
      <x:c r="D17" s="18"/>
      <x:c r="E17" s="18"/>
      <x:c r="F17" s="17" t="n">
        <x:v>0</x:v>
      </x:c>
      <x:c r="G17" s="16" t="n">
        <x:f>IF(E17="",0,IF(TODAY()&lt;=E17,F17,0))</x:f>
        <x:v>0</x:v>
      </x:c>
      <x:c r="H17" s="16" t="n">
        <x:f>IF(E17="",0,IF(AND(TODAY()-E17&gt;=1,TODAY()-E17&lt;=30),F17,0))</x:f>
        <x:v>0</x:v>
      </x:c>
      <x:c r="I17" s="16" t="n">
        <x:f>IF(E17="",0,IF(AND(TODAY()-E17&gt;=31,TODAY()-E17&lt;=60),F17,0))</x:f>
        <x:v>0</x:v>
      </x:c>
      <x:c r="J17" s="16" t="n">
        <x:f>IF(E17="",0,IF(AND(TODAY()-E17&gt;=61,TODAY()-E17&lt;=90),F17,0))</x:f>
        <x:v>0</x:v>
      </x:c>
      <x:c r="K17" s="16" t="n">
        <x:f>IF(E17="",0,IF(TODAY()-E17&gt;90,F17,0))</x:f>
        <x:v>0</x:v>
      </x:c>
      <x:c r="L17" s="13" t="str"/>
      <x:c r="M17" s="13" t="str">
        <x:v>未开始</x:v>
      </x:c>
    </x:row>
    <x:row r="18">
      <x:c r="A18" s="19" t="str">
        <x:v>应收</x:v>
      </x:c>
      <x:c r="B18" s="19" t="str"/>
      <x:c r="C18" s="19" t="str"/>
      <x:c r="D18" s="18"/>
      <x:c r="E18" s="18"/>
      <x:c r="F18" s="17" t="n">
        <x:v>0</x:v>
      </x:c>
      <x:c r="G18" s="16" t="n">
        <x:f>IF(E18="",0,IF(TODAY()&lt;=E18,F18,0))</x:f>
        <x:v>0</x:v>
      </x:c>
      <x:c r="H18" s="16" t="n">
        <x:f>IF(E18="",0,IF(AND(TODAY()-E18&gt;=1,TODAY()-E18&lt;=30),F18,0))</x:f>
        <x:v>0</x:v>
      </x:c>
      <x:c r="I18" s="16" t="n">
        <x:f>IF(E18="",0,IF(AND(TODAY()-E18&gt;=31,TODAY()-E18&lt;=60),F18,0))</x:f>
        <x:v>0</x:v>
      </x:c>
      <x:c r="J18" s="16" t="n">
        <x:f>IF(E18="",0,IF(AND(TODAY()-E18&gt;=61,TODAY()-E18&lt;=90),F18,0))</x:f>
        <x:v>0</x:v>
      </x:c>
      <x:c r="K18" s="16" t="n">
        <x:f>IF(E18="",0,IF(TODAY()-E18&gt;90,F18,0))</x:f>
        <x:v>0</x:v>
      </x:c>
      <x:c r="L18" s="13" t="str"/>
      <x:c r="M18" s="13" t="str">
        <x:v>未开始</x:v>
      </x:c>
    </x:row>
    <x:row r="19">
      <x:c r="A19" s="19" t="str">
        <x:v>应付</x:v>
      </x:c>
      <x:c r="B19" s="19" t="str"/>
      <x:c r="C19" s="19" t="str"/>
      <x:c r="D19" s="18"/>
      <x:c r="E19" s="18"/>
      <x:c r="F19" s="17" t="n">
        <x:v>0</x:v>
      </x:c>
      <x:c r="G19" s="16" t="n">
        <x:f>IF(E19="",0,IF(TODAY()&lt;=E19,F19,0))</x:f>
        <x:v>0</x:v>
      </x:c>
      <x:c r="H19" s="16" t="n">
        <x:f>IF(E19="",0,IF(AND(TODAY()-E19&gt;=1,TODAY()-E19&lt;=30),F19,0))</x:f>
        <x:v>0</x:v>
      </x:c>
      <x:c r="I19" s="16" t="n">
        <x:f>IF(E19="",0,IF(AND(TODAY()-E19&gt;=31,TODAY()-E19&lt;=60),F19,0))</x:f>
        <x:v>0</x:v>
      </x:c>
      <x:c r="J19" s="16" t="n">
        <x:f>IF(E19="",0,IF(AND(TODAY()-E19&gt;=61,TODAY()-E19&lt;=90),F19,0))</x:f>
        <x:v>0</x:v>
      </x:c>
      <x:c r="K19" s="16" t="n">
        <x:f>IF(E19="",0,IF(TODAY()-E19&gt;90,F19,0))</x:f>
        <x:v>0</x:v>
      </x:c>
      <x:c r="L19" s="13" t="str"/>
      <x:c r="M19" s="13" t="str">
        <x:v>未开始</x:v>
      </x:c>
    </x:row>
    <x:row r="20">
      <x:c r="A20" s="19" t="str">
        <x:v>应收</x:v>
      </x:c>
      <x:c r="B20" s="19" t="str"/>
      <x:c r="C20" s="19" t="str"/>
      <x:c r="D20" s="18"/>
      <x:c r="E20" s="18"/>
      <x:c r="F20" s="17" t="n">
        <x:v>0</x:v>
      </x:c>
      <x:c r="G20" s="16" t="n">
        <x:f>IF(E20="",0,IF(TODAY()&lt;=E20,F20,0))</x:f>
        <x:v>0</x:v>
      </x:c>
      <x:c r="H20" s="16" t="n">
        <x:f>IF(E20="",0,IF(AND(TODAY()-E20&gt;=1,TODAY()-E20&lt;=30),F20,0))</x:f>
        <x:v>0</x:v>
      </x:c>
      <x:c r="I20" s="16" t="n">
        <x:f>IF(E20="",0,IF(AND(TODAY()-E20&gt;=31,TODAY()-E20&lt;=60),F20,0))</x:f>
        <x:v>0</x:v>
      </x:c>
      <x:c r="J20" s="16" t="n">
        <x:f>IF(E20="",0,IF(AND(TODAY()-E20&gt;=61,TODAY()-E20&lt;=90),F20,0))</x:f>
        <x:v>0</x:v>
      </x:c>
      <x:c r="K20" s="16" t="n">
        <x:f>IF(E20="",0,IF(TODAY()-E20&gt;90,F20,0))</x:f>
        <x:v>0</x:v>
      </x:c>
      <x:c r="L20" s="13" t="str"/>
      <x:c r="M20" s="13" t="str">
        <x:v>未开始</x:v>
      </x:c>
    </x:row>
    <x:row r="21">
      <x:c r="A21" s="19" t="str">
        <x:v>应付</x:v>
      </x:c>
      <x:c r="B21" s="19" t="str"/>
      <x:c r="C21" s="19" t="str"/>
      <x:c r="D21" s="18"/>
      <x:c r="E21" s="18"/>
      <x:c r="F21" s="17" t="n">
        <x:v>0</x:v>
      </x:c>
      <x:c r="G21" s="16" t="n">
        <x:f>IF(E21="",0,IF(TODAY()&lt;=E21,F21,0))</x:f>
        <x:v>0</x:v>
      </x:c>
      <x:c r="H21" s="16" t="n">
        <x:f>IF(E21="",0,IF(AND(TODAY()-E21&gt;=1,TODAY()-E21&lt;=30),F21,0))</x:f>
        <x:v>0</x:v>
      </x:c>
      <x:c r="I21" s="16" t="n">
        <x:f>IF(E21="",0,IF(AND(TODAY()-E21&gt;=31,TODAY()-E21&lt;=60),F21,0))</x:f>
        <x:v>0</x:v>
      </x:c>
      <x:c r="J21" s="16" t="n">
        <x:f>IF(E21="",0,IF(AND(TODAY()-E21&gt;=61,TODAY()-E21&lt;=90),F21,0))</x:f>
        <x:v>0</x:v>
      </x:c>
      <x:c r="K21" s="16" t="n">
        <x:f>IF(E21="",0,IF(TODAY()-E21&gt;90,F21,0))</x:f>
        <x:v>0</x:v>
      </x:c>
      <x:c r="L21" s="13" t="str"/>
      <x:c r="M21" s="13" t="str">
        <x:v>未开始</x:v>
      </x:c>
    </x:row>
    <x:row r="22">
      <x:c r="A22" s="19" t="str">
        <x:v>应收</x:v>
      </x:c>
      <x:c r="B22" s="19" t="str"/>
      <x:c r="C22" s="19" t="str"/>
      <x:c r="D22" s="18"/>
      <x:c r="E22" s="18"/>
      <x:c r="F22" s="17" t="n">
        <x:v>0</x:v>
      </x:c>
      <x:c r="G22" s="16" t="n">
        <x:f>IF(E22="",0,IF(TODAY()&lt;=E22,F22,0))</x:f>
        <x:v>0</x:v>
      </x:c>
      <x:c r="H22" s="16" t="n">
        <x:f>IF(E22="",0,IF(AND(TODAY()-E22&gt;=1,TODAY()-E22&lt;=30),F22,0))</x:f>
        <x:v>0</x:v>
      </x:c>
      <x:c r="I22" s="16" t="n">
        <x:f>IF(E22="",0,IF(AND(TODAY()-E22&gt;=31,TODAY()-E22&lt;=60),F22,0))</x:f>
        <x:v>0</x:v>
      </x:c>
      <x:c r="J22" s="16" t="n">
        <x:f>IF(E22="",0,IF(AND(TODAY()-E22&gt;=61,TODAY()-E22&lt;=90),F22,0))</x:f>
        <x:v>0</x:v>
      </x:c>
      <x:c r="K22" s="16" t="n">
        <x:f>IF(E22="",0,IF(TODAY()-E22&gt;90,F22,0))</x:f>
        <x:v>0</x:v>
      </x:c>
      <x:c r="L22" s="13" t="str"/>
      <x:c r="M22" s="13" t="str">
        <x:v>未开始</x:v>
      </x:c>
    </x:row>
    <x:row r="23">
      <x:c r="A23" s="19" t="str">
        <x:v>应付</x:v>
      </x:c>
      <x:c r="B23" s="19" t="str"/>
      <x:c r="C23" s="19" t="str"/>
      <x:c r="D23" s="18"/>
      <x:c r="E23" s="18"/>
      <x:c r="F23" s="17" t="n">
        <x:v>0</x:v>
      </x:c>
      <x:c r="G23" s="16" t="n">
        <x:f>IF(E23="",0,IF(TODAY()&lt;=E23,F23,0))</x:f>
        <x:v>0</x:v>
      </x:c>
      <x:c r="H23" s="16" t="n">
        <x:f>IF(E23="",0,IF(AND(TODAY()-E23&gt;=1,TODAY()-E23&lt;=30),F23,0))</x:f>
        <x:v>0</x:v>
      </x:c>
      <x:c r="I23" s="16" t="n">
        <x:f>IF(E23="",0,IF(AND(TODAY()-E23&gt;=31,TODAY()-E23&lt;=60),F23,0))</x:f>
        <x:v>0</x:v>
      </x:c>
      <x:c r="J23" s="16" t="n">
        <x:f>IF(E23="",0,IF(AND(TODAY()-E23&gt;=61,TODAY()-E23&lt;=90),F23,0))</x:f>
        <x:v>0</x:v>
      </x:c>
      <x:c r="K23" s="16" t="n">
        <x:f>IF(E23="",0,IF(TODAY()-E23&gt;90,F23,0))</x:f>
        <x:v>0</x:v>
      </x:c>
      <x:c r="L23" s="13" t="str"/>
      <x:c r="M23" s="13" t="str">
        <x:v>未开始</x:v>
      </x:c>
    </x:row>
    <x:row r="24">
      <x:c r="A24" s="19" t="str">
        <x:v>应收</x:v>
      </x:c>
      <x:c r="B24" s="19" t="str"/>
      <x:c r="C24" s="19" t="str"/>
      <x:c r="D24" s="18"/>
      <x:c r="E24" s="18"/>
      <x:c r="F24" s="17" t="n">
        <x:v>0</x:v>
      </x:c>
      <x:c r="G24" s="16" t="n">
        <x:f>IF(E24="",0,IF(TODAY()&lt;=E24,F24,0))</x:f>
        <x:v>0</x:v>
      </x:c>
      <x:c r="H24" s="16" t="n">
        <x:f>IF(E24="",0,IF(AND(TODAY()-E24&gt;=1,TODAY()-E24&lt;=30),F24,0))</x:f>
        <x:v>0</x:v>
      </x:c>
      <x:c r="I24" s="16" t="n">
        <x:f>IF(E24="",0,IF(AND(TODAY()-E24&gt;=31,TODAY()-E24&lt;=60),F24,0))</x:f>
        <x:v>0</x:v>
      </x:c>
      <x:c r="J24" s="16" t="n">
        <x:f>IF(E24="",0,IF(AND(TODAY()-E24&gt;=61,TODAY()-E24&lt;=90),F24,0))</x:f>
        <x:v>0</x:v>
      </x:c>
      <x:c r="K24" s="16" t="n">
        <x:f>IF(E24="",0,IF(TODAY()-E24&gt;90,F24,0))</x:f>
        <x:v>0</x:v>
      </x:c>
      <x:c r="L24" s="13" t="str"/>
      <x:c r="M24" s="13" t="str">
        <x:v>未开始</x:v>
      </x:c>
    </x:row>
    <x:row r="25">
      <x:c r="A25" s="19" t="str">
        <x:v>应付</x:v>
      </x:c>
      <x:c r="B25" s="19" t="str"/>
      <x:c r="C25" s="19" t="str"/>
      <x:c r="D25" s="18"/>
      <x:c r="E25" s="18"/>
      <x:c r="F25" s="17" t="n">
        <x:v>0</x:v>
      </x:c>
      <x:c r="G25" s="16" t="n">
        <x:f>IF(E25="",0,IF(TODAY()&lt;=E25,F25,0))</x:f>
        <x:v>0</x:v>
      </x:c>
      <x:c r="H25" s="16" t="n">
        <x:f>IF(E25="",0,IF(AND(TODAY()-E25&gt;=1,TODAY()-E25&lt;=30),F25,0))</x:f>
        <x:v>0</x:v>
      </x:c>
      <x:c r="I25" s="16" t="n">
        <x:f>IF(E25="",0,IF(AND(TODAY()-E25&gt;=31,TODAY()-E25&lt;=60),F25,0))</x:f>
        <x:v>0</x:v>
      </x:c>
      <x:c r="J25" s="16" t="n">
        <x:f>IF(E25="",0,IF(AND(TODAY()-E25&gt;=61,TODAY()-E25&lt;=90),F25,0))</x:f>
        <x:v>0</x:v>
      </x:c>
      <x:c r="K25" s="16" t="n">
        <x:f>IF(E25="",0,IF(TODAY()-E25&gt;90,F25,0))</x:f>
        <x:v>0</x:v>
      </x:c>
      <x:c r="L25" s="13" t="str"/>
      <x:c r="M25" s="13" t="str">
        <x:v>未开始</x:v>
      </x:c>
    </x:row>
    <x:row r="26">
      <x:c r="A26" s="19" t="str">
        <x:v>应收</x:v>
      </x:c>
      <x:c r="B26" s="19" t="str"/>
      <x:c r="C26" s="19" t="str"/>
      <x:c r="D26" s="18"/>
      <x:c r="E26" s="18"/>
      <x:c r="F26" s="17" t="n">
        <x:v>0</x:v>
      </x:c>
      <x:c r="G26" s="16" t="n">
        <x:f>IF(E26="",0,IF(TODAY()&lt;=E26,F26,0))</x:f>
        <x:v>0</x:v>
      </x:c>
      <x:c r="H26" s="16" t="n">
        <x:f>IF(E26="",0,IF(AND(TODAY()-E26&gt;=1,TODAY()-E26&lt;=30),F26,0))</x:f>
        <x:v>0</x:v>
      </x:c>
      <x:c r="I26" s="16" t="n">
        <x:f>IF(E26="",0,IF(AND(TODAY()-E26&gt;=31,TODAY()-E26&lt;=60),F26,0))</x:f>
        <x:v>0</x:v>
      </x:c>
      <x:c r="J26" s="16" t="n">
        <x:f>IF(E26="",0,IF(AND(TODAY()-E26&gt;=61,TODAY()-E26&lt;=90),F26,0))</x:f>
        <x:v>0</x:v>
      </x:c>
      <x:c r="K26" s="16" t="n">
        <x:f>IF(E26="",0,IF(TODAY()-E26&gt;90,F26,0))</x:f>
        <x:v>0</x:v>
      </x:c>
      <x:c r="L26" s="13" t="str"/>
      <x:c r="M26" s="13" t="str">
        <x:v>未开始</x:v>
      </x:c>
    </x:row>
    <x:row r="27">
      <x:c r="A27" s="19" t="str">
        <x:v>应付</x:v>
      </x:c>
      <x:c r="B27" s="19" t="str"/>
      <x:c r="C27" s="19" t="str"/>
      <x:c r="D27" s="18"/>
      <x:c r="E27" s="18"/>
      <x:c r="F27" s="17" t="n">
        <x:v>0</x:v>
      </x:c>
      <x:c r="G27" s="16" t="n">
        <x:f>IF(E27="",0,IF(TODAY()&lt;=E27,F27,0))</x:f>
        <x:v>0</x:v>
      </x:c>
      <x:c r="H27" s="16" t="n">
        <x:f>IF(E27="",0,IF(AND(TODAY()-E27&gt;=1,TODAY()-E27&lt;=30),F27,0))</x:f>
        <x:v>0</x:v>
      </x:c>
      <x:c r="I27" s="16" t="n">
        <x:f>IF(E27="",0,IF(AND(TODAY()-E27&gt;=31,TODAY()-E27&lt;=60),F27,0))</x:f>
        <x:v>0</x:v>
      </x:c>
      <x:c r="J27" s="16" t="n">
        <x:f>IF(E27="",0,IF(AND(TODAY()-E27&gt;=61,TODAY()-E27&lt;=90),F27,0))</x:f>
        <x:v>0</x:v>
      </x:c>
      <x:c r="K27" s="16" t="n">
        <x:f>IF(E27="",0,IF(TODAY()-E27&gt;90,F27,0))</x:f>
        <x:v>0</x:v>
      </x:c>
      <x:c r="L27" s="13" t="str"/>
      <x:c r="M27" s="13" t="str">
        <x:v>未开始</x:v>
      </x:c>
    </x:row>
    <x:row r="28">
      <x:c r="A28" s="19" t="str">
        <x:v>应收</x:v>
      </x:c>
      <x:c r="B28" s="19" t="str"/>
      <x:c r="C28" s="19" t="str"/>
      <x:c r="D28" s="18"/>
      <x:c r="E28" s="18"/>
      <x:c r="F28" s="17" t="n">
        <x:v>0</x:v>
      </x:c>
      <x:c r="G28" s="16" t="n">
        <x:f>IF(E28="",0,IF(TODAY()&lt;=E28,F28,0))</x:f>
        <x:v>0</x:v>
      </x:c>
      <x:c r="H28" s="16" t="n">
        <x:f>IF(E28="",0,IF(AND(TODAY()-E28&gt;=1,TODAY()-E28&lt;=30),F28,0))</x:f>
        <x:v>0</x:v>
      </x:c>
      <x:c r="I28" s="16" t="n">
        <x:f>IF(E28="",0,IF(AND(TODAY()-E28&gt;=31,TODAY()-E28&lt;=60),F28,0))</x:f>
        <x:v>0</x:v>
      </x:c>
      <x:c r="J28" s="16" t="n">
        <x:f>IF(E28="",0,IF(AND(TODAY()-E28&gt;=61,TODAY()-E28&lt;=90),F28,0))</x:f>
        <x:v>0</x:v>
      </x:c>
      <x:c r="K28" s="16" t="n">
        <x:f>IF(E28="",0,IF(TODAY()-E28&gt;90,F28,0))</x:f>
        <x:v>0</x:v>
      </x:c>
      <x:c r="L28" s="13" t="str"/>
      <x:c r="M28" s="13" t="str">
        <x:v>未开始</x:v>
      </x:c>
    </x:row>
    <x:row r="29">
      <x:c r="A29" s="19" t="str">
        <x:v>应付</x:v>
      </x:c>
      <x:c r="B29" s="19" t="str"/>
      <x:c r="C29" s="19" t="str"/>
      <x:c r="D29" s="18"/>
      <x:c r="E29" s="18"/>
      <x:c r="F29" s="17" t="n">
        <x:v>0</x:v>
      </x:c>
      <x:c r="G29" s="16" t="n">
        <x:f>IF(E29="",0,IF(TODAY()&lt;=E29,F29,0))</x:f>
        <x:v>0</x:v>
      </x:c>
      <x:c r="H29" s="16" t="n">
        <x:f>IF(E29="",0,IF(AND(TODAY()-E29&gt;=1,TODAY()-E29&lt;=30),F29,0))</x:f>
        <x:v>0</x:v>
      </x:c>
      <x:c r="I29" s="16" t="n">
        <x:f>IF(E29="",0,IF(AND(TODAY()-E29&gt;=31,TODAY()-E29&lt;=60),F29,0))</x:f>
        <x:v>0</x:v>
      </x:c>
      <x:c r="J29" s="16" t="n">
        <x:f>IF(E29="",0,IF(AND(TODAY()-E29&gt;=61,TODAY()-E29&lt;=90),F29,0))</x:f>
        <x:v>0</x:v>
      </x:c>
      <x:c r="K29" s="16" t="n">
        <x:f>IF(E29="",0,IF(TODAY()-E29&gt;90,F29,0))</x:f>
        <x:v>0</x:v>
      </x:c>
      <x:c r="L29" s="13" t="str"/>
      <x:c r="M29" s="13" t="str">
        <x:v>未开始</x:v>
      </x:c>
    </x:row>
    <x:row r="30">
      <x:c r="A30" s="19" t="str">
        <x:v>应收</x:v>
      </x:c>
      <x:c r="B30" s="19" t="str"/>
      <x:c r="C30" s="19" t="str"/>
      <x:c r="D30" s="18"/>
      <x:c r="E30" s="18"/>
      <x:c r="F30" s="17" t="n">
        <x:v>0</x:v>
      </x:c>
      <x:c r="G30" s="16" t="n">
        <x:f>IF(E30="",0,IF(TODAY()&lt;=E30,F30,0))</x:f>
        <x:v>0</x:v>
      </x:c>
      <x:c r="H30" s="16" t="n">
        <x:f>IF(E30="",0,IF(AND(TODAY()-E30&gt;=1,TODAY()-E30&lt;=30),F30,0))</x:f>
        <x:v>0</x:v>
      </x:c>
      <x:c r="I30" s="16" t="n">
        <x:f>IF(E30="",0,IF(AND(TODAY()-E30&gt;=31,TODAY()-E30&lt;=60),F30,0))</x:f>
        <x:v>0</x:v>
      </x:c>
      <x:c r="J30" s="16" t="n">
        <x:f>IF(E30="",0,IF(AND(TODAY()-E30&gt;=61,TODAY()-E30&lt;=90),F30,0))</x:f>
        <x:v>0</x:v>
      </x:c>
      <x:c r="K30" s="16" t="n">
        <x:f>IF(E30="",0,IF(TODAY()-E30&gt;90,F30,0))</x:f>
        <x:v>0</x:v>
      </x:c>
      <x:c r="L30" s="13" t="str"/>
      <x:c r="M30" s="13" t="str">
        <x:v>未开始</x:v>
      </x:c>
    </x:row>
    <x:row r="31">
      <x:c r="A31" s="19" t="str">
        <x:v>应付</x:v>
      </x:c>
      <x:c r="B31" s="19" t="str"/>
      <x:c r="C31" s="19" t="str"/>
      <x:c r="D31" s="18"/>
      <x:c r="E31" s="18"/>
      <x:c r="F31" s="17" t="n">
        <x:v>0</x:v>
      </x:c>
      <x:c r="G31" s="16" t="n">
        <x:f>IF(E31="",0,IF(TODAY()&lt;=E31,F31,0))</x:f>
        <x:v>0</x:v>
      </x:c>
      <x:c r="H31" s="16" t="n">
        <x:f>IF(E31="",0,IF(AND(TODAY()-E31&gt;=1,TODAY()-E31&lt;=30),F31,0))</x:f>
        <x:v>0</x:v>
      </x:c>
      <x:c r="I31" s="16" t="n">
        <x:f>IF(E31="",0,IF(AND(TODAY()-E31&gt;=31,TODAY()-E31&lt;=60),F31,0))</x:f>
        <x:v>0</x:v>
      </x:c>
      <x:c r="J31" s="16" t="n">
        <x:f>IF(E31="",0,IF(AND(TODAY()-E31&gt;=61,TODAY()-E31&lt;=90),F31,0))</x:f>
        <x:v>0</x:v>
      </x:c>
      <x:c r="K31" s="16" t="n">
        <x:f>IF(E31="",0,IF(TODAY()-E31&gt;90,F31,0))</x:f>
        <x:v>0</x:v>
      </x:c>
      <x:c r="L31" s="13" t="str"/>
      <x:c r="M31" s="13" t="str">
        <x:v>未开始</x:v>
      </x:c>
    </x:row>
    <x:row r="32">
      <x:c r="A32" s="19" t="str">
        <x:v>应收</x:v>
      </x:c>
      <x:c r="B32" s="19" t="str"/>
      <x:c r="C32" s="19" t="str"/>
      <x:c r="D32" s="18"/>
      <x:c r="E32" s="18"/>
      <x:c r="F32" s="17" t="n">
        <x:v>0</x:v>
      </x:c>
      <x:c r="G32" s="16" t="n">
        <x:f>IF(E32="",0,IF(TODAY()&lt;=E32,F32,0))</x:f>
        <x:v>0</x:v>
      </x:c>
      <x:c r="H32" s="16" t="n">
        <x:f>IF(E32="",0,IF(AND(TODAY()-E32&gt;=1,TODAY()-E32&lt;=30),F32,0))</x:f>
        <x:v>0</x:v>
      </x:c>
      <x:c r="I32" s="16" t="n">
        <x:f>IF(E32="",0,IF(AND(TODAY()-E32&gt;=31,TODAY()-E32&lt;=60),F32,0))</x:f>
        <x:v>0</x:v>
      </x:c>
      <x:c r="J32" s="16" t="n">
        <x:f>IF(E32="",0,IF(AND(TODAY()-E32&gt;=61,TODAY()-E32&lt;=90),F32,0))</x:f>
        <x:v>0</x:v>
      </x:c>
      <x:c r="K32" s="16" t="n">
        <x:f>IF(E32="",0,IF(TODAY()-E32&gt;90,F32,0))</x:f>
        <x:v>0</x:v>
      </x:c>
      <x:c r="L32" s="13" t="str"/>
      <x:c r="M32" s="13" t="str">
        <x:v>未开始</x:v>
      </x:c>
    </x:row>
    <x:row r="33">
      <x:c r="A33" s="19" t="str">
        <x:v>应付</x:v>
      </x:c>
      <x:c r="B33" s="19" t="str"/>
      <x:c r="C33" s="19" t="str"/>
      <x:c r="D33" s="18"/>
      <x:c r="E33" s="18"/>
      <x:c r="F33" s="17" t="n">
        <x:v>0</x:v>
      </x:c>
      <x:c r="G33" s="16" t="n">
        <x:f>IF(E33="",0,IF(TODAY()&lt;=E33,F33,0))</x:f>
        <x:v>0</x:v>
      </x:c>
      <x:c r="H33" s="16" t="n">
        <x:f>IF(E33="",0,IF(AND(TODAY()-E33&gt;=1,TODAY()-E33&lt;=30),F33,0))</x:f>
        <x:v>0</x:v>
      </x:c>
      <x:c r="I33" s="16" t="n">
        <x:f>IF(E33="",0,IF(AND(TODAY()-E33&gt;=31,TODAY()-E33&lt;=60),F33,0))</x:f>
        <x:v>0</x:v>
      </x:c>
      <x:c r="J33" s="16" t="n">
        <x:f>IF(E33="",0,IF(AND(TODAY()-E33&gt;=61,TODAY()-E33&lt;=90),F33,0))</x:f>
        <x:v>0</x:v>
      </x:c>
      <x:c r="K33" s="16" t="n">
        <x:f>IF(E33="",0,IF(TODAY()-E33&gt;90,F33,0))</x:f>
        <x:v>0</x:v>
      </x:c>
      <x:c r="L33" s="13" t="str"/>
      <x:c r="M33" s="13" t="str">
        <x:v>未开始</x:v>
      </x:c>
    </x:row>
    <x:row r="34">
      <x:c r="A34" s="19" t="str">
        <x:v>应收</x:v>
      </x:c>
      <x:c r="B34" s="19" t="str"/>
      <x:c r="C34" s="19" t="str"/>
      <x:c r="D34" s="18"/>
      <x:c r="E34" s="18"/>
      <x:c r="F34" s="17" t="n">
        <x:v>0</x:v>
      </x:c>
      <x:c r="G34" s="16" t="n">
        <x:f>IF(E34="",0,IF(TODAY()&lt;=E34,F34,0))</x:f>
        <x:v>0</x:v>
      </x:c>
      <x:c r="H34" s="16" t="n">
        <x:f>IF(E34="",0,IF(AND(TODAY()-E34&gt;=1,TODAY()-E34&lt;=30),F34,0))</x:f>
        <x:v>0</x:v>
      </x:c>
      <x:c r="I34" s="16" t="n">
        <x:f>IF(E34="",0,IF(AND(TODAY()-E34&gt;=31,TODAY()-E34&lt;=60),F34,0))</x:f>
        <x:v>0</x:v>
      </x:c>
      <x:c r="J34" s="16" t="n">
        <x:f>IF(E34="",0,IF(AND(TODAY()-E34&gt;=61,TODAY()-E34&lt;=90),F34,0))</x:f>
        <x:v>0</x:v>
      </x:c>
      <x:c r="K34" s="16" t="n">
        <x:f>IF(E34="",0,IF(TODAY()-E34&gt;90,F34,0))</x:f>
        <x:v>0</x:v>
      </x:c>
      <x:c r="L34" s="13" t="str"/>
      <x:c r="M34" s="13" t="str">
        <x:v>未开始</x:v>
      </x:c>
    </x:row>
    <x:row r="35">
      <x:c r="A35" s="19" t="str">
        <x:v>应付</x:v>
      </x:c>
      <x:c r="B35" s="19" t="str"/>
      <x:c r="C35" s="19" t="str"/>
      <x:c r="D35" s="18"/>
      <x:c r="E35" s="18"/>
      <x:c r="F35" s="17" t="n">
        <x:v>0</x:v>
      </x:c>
      <x:c r="G35" s="16" t="n">
        <x:f>IF(E35="",0,IF(TODAY()&lt;=E35,F35,0))</x:f>
        <x:v>0</x:v>
      </x:c>
      <x:c r="H35" s="16" t="n">
        <x:f>IF(E35="",0,IF(AND(TODAY()-E35&gt;=1,TODAY()-E35&lt;=30),F35,0))</x:f>
        <x:v>0</x:v>
      </x:c>
      <x:c r="I35" s="16" t="n">
        <x:f>IF(E35="",0,IF(AND(TODAY()-E35&gt;=31,TODAY()-E35&lt;=60),F35,0))</x:f>
        <x:v>0</x:v>
      </x:c>
      <x:c r="J35" s="16" t="n">
        <x:f>IF(E35="",0,IF(AND(TODAY()-E35&gt;=61,TODAY()-E35&lt;=90),F35,0))</x:f>
        <x:v>0</x:v>
      </x:c>
      <x:c r="K35" s="16" t="n">
        <x:f>IF(E35="",0,IF(TODAY()-E35&gt;90,F35,0))</x:f>
        <x:v>0</x:v>
      </x:c>
      <x:c r="L35" s="13" t="str"/>
      <x:c r="M35" s="13" t="str">
        <x:v>未开始</x:v>
      </x:c>
    </x:row>
    <x:row r="36">
      <x:c r="A36" s="19" t="str">
        <x:v>应收</x:v>
      </x:c>
      <x:c r="B36" s="19" t="str"/>
      <x:c r="C36" s="19" t="str"/>
      <x:c r="D36" s="18"/>
      <x:c r="E36" s="18"/>
      <x:c r="F36" s="17" t="n">
        <x:v>0</x:v>
      </x:c>
      <x:c r="G36" s="16" t="n">
        <x:f>IF(E36="",0,IF(TODAY()&lt;=E36,F36,0))</x:f>
        <x:v>0</x:v>
      </x:c>
      <x:c r="H36" s="16" t="n">
        <x:f>IF(E36="",0,IF(AND(TODAY()-E36&gt;=1,TODAY()-E36&lt;=30),F36,0))</x:f>
        <x:v>0</x:v>
      </x:c>
      <x:c r="I36" s="16" t="n">
        <x:f>IF(E36="",0,IF(AND(TODAY()-E36&gt;=31,TODAY()-E36&lt;=60),F36,0))</x:f>
        <x:v>0</x:v>
      </x:c>
      <x:c r="J36" s="16" t="n">
        <x:f>IF(E36="",0,IF(AND(TODAY()-E36&gt;=61,TODAY()-E36&lt;=90),F36,0))</x:f>
        <x:v>0</x:v>
      </x:c>
      <x:c r="K36" s="16" t="n">
        <x:f>IF(E36="",0,IF(TODAY()-E36&gt;90,F36,0))</x:f>
        <x:v>0</x:v>
      </x:c>
      <x:c r="L36" s="13" t="str"/>
      <x:c r="M36" s="13" t="str">
        <x:v>未开始</x:v>
      </x:c>
    </x:row>
    <x:row r="37">
      <x:c r="A37" s="19" t="str">
        <x:v>应付</x:v>
      </x:c>
      <x:c r="B37" s="19" t="str"/>
      <x:c r="C37" s="19" t="str"/>
      <x:c r="D37" s="18"/>
      <x:c r="E37" s="18"/>
      <x:c r="F37" s="17" t="n">
        <x:v>0</x:v>
      </x:c>
      <x:c r="G37" s="16" t="n">
        <x:f>IF(E37="",0,IF(TODAY()&lt;=E37,F37,0))</x:f>
        <x:v>0</x:v>
      </x:c>
      <x:c r="H37" s="16" t="n">
        <x:f>IF(E37="",0,IF(AND(TODAY()-E37&gt;=1,TODAY()-E37&lt;=30),F37,0))</x:f>
        <x:v>0</x:v>
      </x:c>
      <x:c r="I37" s="16" t="n">
        <x:f>IF(E37="",0,IF(AND(TODAY()-E37&gt;=31,TODAY()-E37&lt;=60),F37,0))</x:f>
        <x:v>0</x:v>
      </x:c>
      <x:c r="J37" s="16" t="n">
        <x:f>IF(E37="",0,IF(AND(TODAY()-E37&gt;=61,TODAY()-E37&lt;=90),F37,0))</x:f>
        <x:v>0</x:v>
      </x:c>
      <x:c r="K37" s="16" t="n">
        <x:f>IF(E37="",0,IF(TODAY()-E37&gt;90,F37,0))</x:f>
        <x:v>0</x:v>
      </x:c>
      <x:c r="L37" s="13" t="str"/>
      <x:c r="M37" s="13" t="str">
        <x:v>未开始</x:v>
      </x:c>
    </x:row>
    <x:row r="38">
      <x:c r="A38" s="19" t="str">
        <x:v>应收</x:v>
      </x:c>
      <x:c r="B38" s="19" t="str"/>
      <x:c r="C38" s="19" t="str"/>
      <x:c r="D38" s="18"/>
      <x:c r="E38" s="18"/>
      <x:c r="F38" s="17" t="n">
        <x:v>0</x:v>
      </x:c>
      <x:c r="G38" s="16" t="n">
        <x:f>IF(E38="",0,IF(TODAY()&lt;=E38,F38,0))</x:f>
        <x:v>0</x:v>
      </x:c>
      <x:c r="H38" s="16" t="n">
        <x:f>IF(E38="",0,IF(AND(TODAY()-E38&gt;=1,TODAY()-E38&lt;=30),F38,0))</x:f>
        <x:v>0</x:v>
      </x:c>
      <x:c r="I38" s="16" t="n">
        <x:f>IF(E38="",0,IF(AND(TODAY()-E38&gt;=31,TODAY()-E38&lt;=60),F38,0))</x:f>
        <x:v>0</x:v>
      </x:c>
      <x:c r="J38" s="16" t="n">
        <x:f>IF(E38="",0,IF(AND(TODAY()-E38&gt;=61,TODAY()-E38&lt;=90),F38,0))</x:f>
        <x:v>0</x:v>
      </x:c>
      <x:c r="K38" s="16" t="n">
        <x:f>IF(E38="",0,IF(TODAY()-E38&gt;90,F38,0))</x:f>
        <x:v>0</x:v>
      </x:c>
      <x:c r="L38" s="13" t="str"/>
      <x:c r="M38" s="13" t="str">
        <x:v>未开始</x:v>
      </x:c>
    </x:row>
    <x:row r="39">
      <x:c r="A39" s="19" t="str">
        <x:v>应付</x:v>
      </x:c>
      <x:c r="B39" s="19" t="str"/>
      <x:c r="C39" s="19" t="str"/>
      <x:c r="D39" s="18"/>
      <x:c r="E39" s="18"/>
      <x:c r="F39" s="17" t="n">
        <x:v>0</x:v>
      </x:c>
      <x:c r="G39" s="16" t="n">
        <x:f>IF(E39="",0,IF(TODAY()&lt;=E39,F39,0))</x:f>
        <x:v>0</x:v>
      </x:c>
      <x:c r="H39" s="16" t="n">
        <x:f>IF(E39="",0,IF(AND(TODAY()-E39&gt;=1,TODAY()-E39&lt;=30),F39,0))</x:f>
        <x:v>0</x:v>
      </x:c>
      <x:c r="I39" s="16" t="n">
        <x:f>IF(E39="",0,IF(AND(TODAY()-E39&gt;=31,TODAY()-E39&lt;=60),F39,0))</x:f>
        <x:v>0</x:v>
      </x:c>
      <x:c r="J39" s="16" t="n">
        <x:f>IF(E39="",0,IF(AND(TODAY()-E39&gt;=61,TODAY()-E39&lt;=90),F39,0))</x:f>
        <x:v>0</x:v>
      </x:c>
      <x:c r="K39" s="16" t="n">
        <x:f>IF(E39="",0,IF(TODAY()-E39&gt;90,F39,0))</x:f>
        <x:v>0</x:v>
      </x:c>
      <x:c r="L39" s="13" t="str"/>
      <x:c r="M39" s="13" t="str">
        <x:v>未开始</x:v>
      </x:c>
    </x:row>
    <x:row r="40">
      <x:c r="A40" s="19" t="str">
        <x:v>应收</x:v>
      </x:c>
      <x:c r="B40" s="19" t="str"/>
      <x:c r="C40" s="19" t="str"/>
      <x:c r="D40" s="18"/>
      <x:c r="E40" s="18"/>
      <x:c r="F40" s="17" t="n">
        <x:v>0</x:v>
      </x:c>
      <x:c r="G40" s="16" t="n">
        <x:f>IF(E40="",0,IF(TODAY()&lt;=E40,F40,0))</x:f>
        <x:v>0</x:v>
      </x:c>
      <x:c r="H40" s="16" t="n">
        <x:f>IF(E40="",0,IF(AND(TODAY()-E40&gt;=1,TODAY()-E40&lt;=30),F40,0))</x:f>
        <x:v>0</x:v>
      </x:c>
      <x:c r="I40" s="16" t="n">
        <x:f>IF(E40="",0,IF(AND(TODAY()-E40&gt;=31,TODAY()-E40&lt;=60),F40,0))</x:f>
        <x:v>0</x:v>
      </x:c>
      <x:c r="J40" s="16" t="n">
        <x:f>IF(E40="",0,IF(AND(TODAY()-E40&gt;=61,TODAY()-E40&lt;=90),F40,0))</x:f>
        <x:v>0</x:v>
      </x:c>
      <x:c r="K40" s="16" t="n">
        <x:f>IF(E40="",0,IF(TODAY()-E40&gt;90,F40,0))</x:f>
        <x:v>0</x:v>
      </x:c>
      <x:c r="L40" s="13" t="str"/>
      <x:c r="M40" s="13" t="str">
        <x:v>未开始</x:v>
      </x:c>
    </x:row>
    <x:row r="41">
      <x:c r="A41" s="19" t="str">
        <x:v>应付</x:v>
      </x:c>
      <x:c r="B41" s="19" t="str"/>
      <x:c r="C41" s="19" t="str"/>
      <x:c r="D41" s="18"/>
      <x:c r="E41" s="18"/>
      <x:c r="F41" s="17" t="n">
        <x:v>0</x:v>
      </x:c>
      <x:c r="G41" s="16" t="n">
        <x:f>IF(E41="",0,IF(TODAY()&lt;=E41,F41,0))</x:f>
        <x:v>0</x:v>
      </x:c>
      <x:c r="H41" s="16" t="n">
        <x:f>IF(E41="",0,IF(AND(TODAY()-E41&gt;=1,TODAY()-E41&lt;=30),F41,0))</x:f>
        <x:v>0</x:v>
      </x:c>
      <x:c r="I41" s="16" t="n">
        <x:f>IF(E41="",0,IF(AND(TODAY()-E41&gt;=31,TODAY()-E41&lt;=60),F41,0))</x:f>
        <x:v>0</x:v>
      </x:c>
      <x:c r="J41" s="16" t="n">
        <x:f>IF(E41="",0,IF(AND(TODAY()-E41&gt;=61,TODAY()-E41&lt;=90),F41,0))</x:f>
        <x:v>0</x:v>
      </x:c>
      <x:c r="K41" s="16" t="n">
        <x:f>IF(E41="",0,IF(TODAY()-E41&gt;90,F41,0))</x:f>
        <x:v>0</x:v>
      </x:c>
      <x:c r="L41" s="13" t="str"/>
      <x:c r="M41" s="13" t="str">
        <x:v>未开始</x:v>
      </x:c>
    </x:row>
    <x:row r="42">
      <x:c r="A42" s="19" t="str">
        <x:v>应收</x:v>
      </x:c>
      <x:c r="B42" s="19" t="str"/>
      <x:c r="C42" s="19" t="str"/>
      <x:c r="D42" s="18"/>
      <x:c r="E42" s="18"/>
      <x:c r="F42" s="17" t="n">
        <x:v>0</x:v>
      </x:c>
      <x:c r="G42" s="16" t="n">
        <x:f>IF(E42="",0,IF(TODAY()&lt;=E42,F42,0))</x:f>
        <x:v>0</x:v>
      </x:c>
      <x:c r="H42" s="16" t="n">
        <x:f>IF(E42="",0,IF(AND(TODAY()-E42&gt;=1,TODAY()-E42&lt;=30),F42,0))</x:f>
        <x:v>0</x:v>
      </x:c>
      <x:c r="I42" s="16" t="n">
        <x:f>IF(E42="",0,IF(AND(TODAY()-E42&gt;=31,TODAY()-E42&lt;=60),F42,0))</x:f>
        <x:v>0</x:v>
      </x:c>
      <x:c r="J42" s="16" t="n">
        <x:f>IF(E42="",0,IF(AND(TODAY()-E42&gt;=61,TODAY()-E42&lt;=90),F42,0))</x:f>
        <x:v>0</x:v>
      </x:c>
      <x:c r="K42" s="16" t="n">
        <x:f>IF(E42="",0,IF(TODAY()-E42&gt;90,F42,0))</x:f>
        <x:v>0</x:v>
      </x:c>
      <x:c r="L42" s="13" t="str"/>
      <x:c r="M42" s="13" t="str">
        <x:v>未开始</x:v>
      </x:c>
    </x:row>
    <x:row r="43">
      <x:c r="A43" s="19" t="str">
        <x:v>应付</x:v>
      </x:c>
      <x:c r="B43" s="19" t="str"/>
      <x:c r="C43" s="19" t="str"/>
      <x:c r="D43" s="18"/>
      <x:c r="E43" s="18"/>
      <x:c r="F43" s="17" t="n">
        <x:v>0</x:v>
      </x:c>
      <x:c r="G43" s="16" t="n">
        <x:f>IF(E43="",0,IF(TODAY()&lt;=E43,F43,0))</x:f>
        <x:v>0</x:v>
      </x:c>
      <x:c r="H43" s="16" t="n">
        <x:f>IF(E43="",0,IF(AND(TODAY()-E43&gt;=1,TODAY()-E43&lt;=30),F43,0))</x:f>
        <x:v>0</x:v>
      </x:c>
      <x:c r="I43" s="16" t="n">
        <x:f>IF(E43="",0,IF(AND(TODAY()-E43&gt;=31,TODAY()-E43&lt;=60),F43,0))</x:f>
        <x:v>0</x:v>
      </x:c>
      <x:c r="J43" s="16" t="n">
        <x:f>IF(E43="",0,IF(AND(TODAY()-E43&gt;=61,TODAY()-E43&lt;=90),F43,0))</x:f>
        <x:v>0</x:v>
      </x:c>
      <x:c r="K43" s="16" t="n">
        <x:f>IF(E43="",0,IF(TODAY()-E43&gt;90,F43,0))</x:f>
        <x:v>0</x:v>
      </x:c>
      <x:c r="L43" s="13" t="str"/>
      <x:c r="M43" s="13" t="str">
        <x:v>未开始</x:v>
      </x:c>
    </x:row>
    <x:row r="44">
      <x:c r="A44" s="19" t="str">
        <x:v>应收</x:v>
      </x:c>
      <x:c r="B44" s="19" t="str"/>
      <x:c r="C44" s="19" t="str"/>
      <x:c r="D44" s="18"/>
      <x:c r="E44" s="18"/>
      <x:c r="F44" s="17" t="n">
        <x:v>0</x:v>
      </x:c>
      <x:c r="G44" s="16" t="n">
        <x:f>IF(E44="",0,IF(TODAY()&lt;=E44,F44,0))</x:f>
        <x:v>0</x:v>
      </x:c>
      <x:c r="H44" s="16" t="n">
        <x:f>IF(E44="",0,IF(AND(TODAY()-E44&gt;=1,TODAY()-E44&lt;=30),F44,0))</x:f>
        <x:v>0</x:v>
      </x:c>
      <x:c r="I44" s="16" t="n">
        <x:f>IF(E44="",0,IF(AND(TODAY()-E44&gt;=31,TODAY()-E44&lt;=60),F44,0))</x:f>
        <x:v>0</x:v>
      </x:c>
      <x:c r="J44" s="16" t="n">
        <x:f>IF(E44="",0,IF(AND(TODAY()-E44&gt;=61,TODAY()-E44&lt;=90),F44,0))</x:f>
        <x:v>0</x:v>
      </x:c>
      <x:c r="K44" s="16" t="n">
        <x:f>IF(E44="",0,IF(TODAY()-E44&gt;90,F44,0))</x:f>
        <x:v>0</x:v>
      </x:c>
      <x:c r="L44" s="13" t="str"/>
      <x:c r="M44" s="13" t="str">
        <x:v>未开始</x:v>
      </x:c>
    </x:row>
    <x:row r="45">
      <x:c r="A45" s="19" t="str">
        <x:v>应付</x:v>
      </x:c>
      <x:c r="B45" s="19" t="str"/>
      <x:c r="C45" s="19" t="str"/>
      <x:c r="D45" s="18"/>
      <x:c r="E45" s="18"/>
      <x:c r="F45" s="17" t="n">
        <x:v>0</x:v>
      </x:c>
      <x:c r="G45" s="16" t="n">
        <x:f>IF(E45="",0,IF(TODAY()&lt;=E45,F45,0))</x:f>
        <x:v>0</x:v>
      </x:c>
      <x:c r="H45" s="16" t="n">
        <x:f>IF(E45="",0,IF(AND(TODAY()-E45&gt;=1,TODAY()-E45&lt;=30),F45,0))</x:f>
        <x:v>0</x:v>
      </x:c>
      <x:c r="I45" s="16" t="n">
        <x:f>IF(E45="",0,IF(AND(TODAY()-E45&gt;=31,TODAY()-E45&lt;=60),F45,0))</x:f>
        <x:v>0</x:v>
      </x:c>
      <x:c r="J45" s="16" t="n">
        <x:f>IF(E45="",0,IF(AND(TODAY()-E45&gt;=61,TODAY()-E45&lt;=90),F45,0))</x:f>
        <x:v>0</x:v>
      </x:c>
      <x:c r="K45" s="16" t="n">
        <x:f>IF(E45="",0,IF(TODAY()-E45&gt;90,F45,0))</x:f>
        <x:v>0</x:v>
      </x:c>
      <x:c r="L45" s="13" t="str"/>
      <x:c r="M45" s="13" t="str">
        <x:v>未开始</x:v>
      </x:c>
    </x:row>
    <x:row r="46">
      <x:c r="A46" s="19" t="str">
        <x:v>应收</x:v>
      </x:c>
      <x:c r="B46" s="19" t="str"/>
      <x:c r="C46" s="19" t="str"/>
      <x:c r="D46" s="18"/>
      <x:c r="E46" s="18"/>
      <x:c r="F46" s="17" t="n">
        <x:v>0</x:v>
      </x:c>
      <x:c r="G46" s="16" t="n">
        <x:f>IF(E46="",0,IF(TODAY()&lt;=E46,F46,0))</x:f>
        <x:v>0</x:v>
      </x:c>
      <x:c r="H46" s="16" t="n">
        <x:f>IF(E46="",0,IF(AND(TODAY()-E46&gt;=1,TODAY()-E46&lt;=30),F46,0))</x:f>
        <x:v>0</x:v>
      </x:c>
      <x:c r="I46" s="16" t="n">
        <x:f>IF(E46="",0,IF(AND(TODAY()-E46&gt;=31,TODAY()-E46&lt;=60),F46,0))</x:f>
        <x:v>0</x:v>
      </x:c>
      <x:c r="J46" s="16" t="n">
        <x:f>IF(E46="",0,IF(AND(TODAY()-E46&gt;=61,TODAY()-E46&lt;=90),F46,0))</x:f>
        <x:v>0</x:v>
      </x:c>
      <x:c r="K46" s="16" t="n">
        <x:f>IF(E46="",0,IF(TODAY()-E46&gt;90,F46,0))</x:f>
        <x:v>0</x:v>
      </x:c>
      <x:c r="L46" s="13" t="str"/>
      <x:c r="M46" s="13" t="str">
        <x:v>未开始</x:v>
      </x:c>
    </x:row>
    <x:row r="47">
      <x:c r="A47" s="19" t="str">
        <x:v>应付</x:v>
      </x:c>
      <x:c r="B47" s="19" t="str"/>
      <x:c r="C47" s="19" t="str"/>
      <x:c r="D47" s="18"/>
      <x:c r="E47" s="18"/>
      <x:c r="F47" s="17" t="n">
        <x:v>0</x:v>
      </x:c>
      <x:c r="G47" s="16" t="n">
        <x:f>IF(E47="",0,IF(TODAY()&lt;=E47,F47,0))</x:f>
        <x:v>0</x:v>
      </x:c>
      <x:c r="H47" s="16" t="n">
        <x:f>IF(E47="",0,IF(AND(TODAY()-E47&gt;=1,TODAY()-E47&lt;=30),F47,0))</x:f>
        <x:v>0</x:v>
      </x:c>
      <x:c r="I47" s="16" t="n">
        <x:f>IF(E47="",0,IF(AND(TODAY()-E47&gt;=31,TODAY()-E47&lt;=60),F47,0))</x:f>
        <x:v>0</x:v>
      </x:c>
      <x:c r="J47" s="16" t="n">
        <x:f>IF(E47="",0,IF(AND(TODAY()-E47&gt;=61,TODAY()-E47&lt;=90),F47,0))</x:f>
        <x:v>0</x:v>
      </x:c>
      <x:c r="K47" s="16" t="n">
        <x:f>IF(E47="",0,IF(TODAY()-E47&gt;90,F47,0))</x:f>
        <x:v>0</x:v>
      </x:c>
      <x:c r="L47" s="13" t="str"/>
      <x:c r="M47" s="13" t="str">
        <x:v>未开始</x:v>
      </x:c>
    </x:row>
    <x:row r="48">
      <x:c r="A48" s="19" t="str">
        <x:v>应收</x:v>
      </x:c>
      <x:c r="B48" s="19" t="str"/>
      <x:c r="C48" s="19" t="str"/>
      <x:c r="D48" s="18"/>
      <x:c r="E48" s="18"/>
      <x:c r="F48" s="17" t="n">
        <x:v>0</x:v>
      </x:c>
      <x:c r="G48" s="16" t="n">
        <x:f>IF(E48="",0,IF(TODAY()&lt;=E48,F48,0))</x:f>
        <x:v>0</x:v>
      </x:c>
      <x:c r="H48" s="16" t="n">
        <x:f>IF(E48="",0,IF(AND(TODAY()-E48&gt;=1,TODAY()-E48&lt;=30),F48,0))</x:f>
        <x:v>0</x:v>
      </x:c>
      <x:c r="I48" s="16" t="n">
        <x:f>IF(E48="",0,IF(AND(TODAY()-E48&gt;=31,TODAY()-E48&lt;=60),F48,0))</x:f>
        <x:v>0</x:v>
      </x:c>
      <x:c r="J48" s="16" t="n">
        <x:f>IF(E48="",0,IF(AND(TODAY()-E48&gt;=61,TODAY()-E48&lt;=90),F48,0))</x:f>
        <x:v>0</x:v>
      </x:c>
      <x:c r="K48" s="16" t="n">
        <x:f>IF(E48="",0,IF(TODAY()-E48&gt;90,F48,0))</x:f>
        <x:v>0</x:v>
      </x:c>
      <x:c r="L48" s="13" t="str"/>
      <x:c r="M48" s="13" t="str">
        <x:v>未开始</x:v>
      </x:c>
    </x:row>
    <x:row r="49">
      <x:c r="A49" s="19" t="str">
        <x:v>应付</x:v>
      </x:c>
      <x:c r="B49" s="19" t="str"/>
      <x:c r="C49" s="19" t="str"/>
      <x:c r="D49" s="18"/>
      <x:c r="E49" s="18"/>
      <x:c r="F49" s="17" t="n">
        <x:v>0</x:v>
      </x:c>
      <x:c r="G49" s="16" t="n">
        <x:f>IF(E49="",0,IF(TODAY()&lt;=E49,F49,0))</x:f>
        <x:v>0</x:v>
      </x:c>
      <x:c r="H49" s="16" t="n">
        <x:f>IF(E49="",0,IF(AND(TODAY()-E49&gt;=1,TODAY()-E49&lt;=30),F49,0))</x:f>
        <x:v>0</x:v>
      </x:c>
      <x:c r="I49" s="16" t="n">
        <x:f>IF(E49="",0,IF(AND(TODAY()-E49&gt;=31,TODAY()-E49&lt;=60),F49,0))</x:f>
        <x:v>0</x:v>
      </x:c>
      <x:c r="J49" s="16" t="n">
        <x:f>IF(E49="",0,IF(AND(TODAY()-E49&gt;=61,TODAY()-E49&lt;=90),F49,0))</x:f>
        <x:v>0</x:v>
      </x:c>
      <x:c r="K49" s="16" t="n">
        <x:f>IF(E49="",0,IF(TODAY()-E49&gt;90,F49,0))</x:f>
        <x:v>0</x:v>
      </x:c>
      <x:c r="L49" s="13" t="str"/>
      <x:c r="M49" s="13" t="str">
        <x:v>未开始</x:v>
      </x:c>
    </x:row>
    <x:row r="50">
      <x:c r="A50" s="19" t="str">
        <x:v>应收</x:v>
      </x:c>
      <x:c r="B50" s="19" t="str"/>
      <x:c r="C50" s="19" t="str"/>
      <x:c r="D50" s="18"/>
      <x:c r="E50" s="18"/>
      <x:c r="F50" s="17" t="n">
        <x:v>0</x:v>
      </x:c>
      <x:c r="G50" s="16" t="n">
        <x:f>IF(E50="",0,IF(TODAY()&lt;=E50,F50,0))</x:f>
        <x:v>0</x:v>
      </x:c>
      <x:c r="H50" s="16" t="n">
        <x:f>IF(E50="",0,IF(AND(TODAY()-E50&gt;=1,TODAY()-E50&lt;=30),F50,0))</x:f>
        <x:v>0</x:v>
      </x:c>
      <x:c r="I50" s="16" t="n">
        <x:f>IF(E50="",0,IF(AND(TODAY()-E50&gt;=31,TODAY()-E50&lt;=60),F50,0))</x:f>
        <x:v>0</x:v>
      </x:c>
      <x:c r="J50" s="16" t="n">
        <x:f>IF(E50="",0,IF(AND(TODAY()-E50&gt;=61,TODAY()-E50&lt;=90),F50,0))</x:f>
        <x:v>0</x:v>
      </x:c>
      <x:c r="K50" s="16" t="n">
        <x:f>IF(E50="",0,IF(TODAY()-E50&gt;90,F50,0))</x:f>
        <x:v>0</x:v>
      </x:c>
      <x:c r="L50" s="13" t="str"/>
      <x:c r="M50" s="13" t="str">
        <x:v>未开始</x:v>
      </x:c>
    </x:row>
    <x:row r="51">
      <x:c r="A51" s="19" t="str">
        <x:v>应付</x:v>
      </x:c>
      <x:c r="B51" s="19" t="str"/>
      <x:c r="C51" s="19" t="str"/>
      <x:c r="D51" s="18"/>
      <x:c r="E51" s="18"/>
      <x:c r="F51" s="17" t="n">
        <x:v>0</x:v>
      </x:c>
      <x:c r="G51" s="16" t="n">
        <x:f>IF(E51="",0,IF(TODAY()&lt;=E51,F51,0))</x:f>
        <x:v>0</x:v>
      </x:c>
      <x:c r="H51" s="16" t="n">
        <x:f>IF(E51="",0,IF(AND(TODAY()-E51&gt;=1,TODAY()-E51&lt;=30),F51,0))</x:f>
        <x:v>0</x:v>
      </x:c>
      <x:c r="I51" s="16" t="n">
        <x:f>IF(E51="",0,IF(AND(TODAY()-E51&gt;=31,TODAY()-E51&lt;=60),F51,0))</x:f>
        <x:v>0</x:v>
      </x:c>
      <x:c r="J51" s="16" t="n">
        <x:f>IF(E51="",0,IF(AND(TODAY()-E51&gt;=61,TODAY()-E51&lt;=90),F51,0))</x:f>
        <x:v>0</x:v>
      </x:c>
      <x:c r="K51" s="16" t="n">
        <x:f>IF(E51="",0,IF(TODAY()-E51&gt;90,F51,0))</x:f>
        <x:v>0</x:v>
      </x:c>
      <x:c r="L51" s="13" t="str"/>
      <x:c r="M51" s="13" t="str">
        <x:v>未开始</x:v>
      </x:c>
    </x:row>
    <x:row r="52">
      <x:c r="A52" s="19" t="str">
        <x:v>应收</x:v>
      </x:c>
      <x:c r="B52" s="19" t="str"/>
      <x:c r="C52" s="19" t="str"/>
      <x:c r="D52" s="18"/>
      <x:c r="E52" s="18"/>
      <x:c r="F52" s="17" t="n">
        <x:v>0</x:v>
      </x:c>
      <x:c r="G52" s="16" t="n">
        <x:f>IF(E52="",0,IF(TODAY()&lt;=E52,F52,0))</x:f>
        <x:v>0</x:v>
      </x:c>
      <x:c r="H52" s="16" t="n">
        <x:f>IF(E52="",0,IF(AND(TODAY()-E52&gt;=1,TODAY()-E52&lt;=30),F52,0))</x:f>
        <x:v>0</x:v>
      </x:c>
      <x:c r="I52" s="16" t="n">
        <x:f>IF(E52="",0,IF(AND(TODAY()-E52&gt;=31,TODAY()-E52&lt;=60),F52,0))</x:f>
        <x:v>0</x:v>
      </x:c>
      <x:c r="J52" s="16" t="n">
        <x:f>IF(E52="",0,IF(AND(TODAY()-E52&gt;=61,TODAY()-E52&lt;=90),F52,0))</x:f>
        <x:v>0</x:v>
      </x:c>
      <x:c r="K52" s="16" t="n">
        <x:f>IF(E52="",0,IF(TODAY()-E52&gt;90,F52,0))</x:f>
        <x:v>0</x:v>
      </x:c>
      <x:c r="L52" s="13" t="str"/>
      <x:c r="M52" s="13" t="str">
        <x:v>未开始</x:v>
      </x:c>
    </x:row>
    <x:row r="53">
      <x:c r="A53" s="19" t="str">
        <x:v>应付</x:v>
      </x:c>
      <x:c r="B53" s="19" t="str"/>
      <x:c r="C53" s="19" t="str"/>
      <x:c r="D53" s="18"/>
      <x:c r="E53" s="18"/>
      <x:c r="F53" s="17" t="n">
        <x:v>0</x:v>
      </x:c>
      <x:c r="G53" s="16" t="n">
        <x:f>IF(E53="",0,IF(TODAY()&lt;=E53,F53,0))</x:f>
        <x:v>0</x:v>
      </x:c>
      <x:c r="H53" s="16" t="n">
        <x:f>IF(E53="",0,IF(AND(TODAY()-E53&gt;=1,TODAY()-E53&lt;=30),F53,0))</x:f>
        <x:v>0</x:v>
      </x:c>
      <x:c r="I53" s="16" t="n">
        <x:f>IF(E53="",0,IF(AND(TODAY()-E53&gt;=31,TODAY()-E53&lt;=60),F53,0))</x:f>
        <x:v>0</x:v>
      </x:c>
      <x:c r="J53" s="16" t="n">
        <x:f>IF(E53="",0,IF(AND(TODAY()-E53&gt;=61,TODAY()-E53&lt;=90),F53,0))</x:f>
        <x:v>0</x:v>
      </x:c>
      <x:c r="K53" s="16" t="n">
        <x:f>IF(E53="",0,IF(TODAY()-E53&gt;90,F53,0))</x:f>
        <x:v>0</x:v>
      </x:c>
      <x:c r="L53" s="13" t="str"/>
      <x:c r="M53" s="13" t="str">
        <x:v>未开始</x:v>
      </x:c>
    </x:row>
    <x:row r="54">
      <x:c r="A54" s="19" t="str">
        <x:v>应收</x:v>
      </x:c>
      <x:c r="B54" s="19" t="str"/>
      <x:c r="C54" s="19" t="str"/>
      <x:c r="D54" s="18"/>
      <x:c r="E54" s="18"/>
      <x:c r="F54" s="17" t="n">
        <x:v>0</x:v>
      </x:c>
      <x:c r="G54" s="16" t="n">
        <x:f>IF(E54="",0,IF(TODAY()&lt;=E54,F54,0))</x:f>
        <x:v>0</x:v>
      </x:c>
      <x:c r="H54" s="16" t="n">
        <x:f>IF(E54="",0,IF(AND(TODAY()-E54&gt;=1,TODAY()-E54&lt;=30),F54,0))</x:f>
        <x:v>0</x:v>
      </x:c>
      <x:c r="I54" s="16" t="n">
        <x:f>IF(E54="",0,IF(AND(TODAY()-E54&gt;=31,TODAY()-E54&lt;=60),F54,0))</x:f>
        <x:v>0</x:v>
      </x:c>
      <x:c r="J54" s="16" t="n">
        <x:f>IF(E54="",0,IF(AND(TODAY()-E54&gt;=61,TODAY()-E54&lt;=90),F54,0))</x:f>
        <x:v>0</x:v>
      </x:c>
      <x:c r="K54" s="16" t="n">
        <x:f>IF(E54="",0,IF(TODAY()-E54&gt;90,F54,0))</x:f>
        <x:v>0</x:v>
      </x:c>
      <x:c r="L54" s="13" t="str"/>
      <x:c r="M54" s="13" t="str">
        <x:v>未开始</x:v>
      </x:c>
    </x:row>
    <x:row r="55">
      <x:c r="A55" s="19" t="str">
        <x:v>应付</x:v>
      </x:c>
      <x:c r="B55" s="19" t="str"/>
      <x:c r="C55" s="19" t="str"/>
      <x:c r="D55" s="18"/>
      <x:c r="E55" s="18"/>
      <x:c r="F55" s="17" t="n">
        <x:v>0</x:v>
      </x:c>
      <x:c r="G55" s="16" t="n">
        <x:f>IF(E55="",0,IF(TODAY()&lt;=E55,F55,0))</x:f>
        <x:v>0</x:v>
      </x:c>
      <x:c r="H55" s="16" t="n">
        <x:f>IF(E55="",0,IF(AND(TODAY()-E55&gt;=1,TODAY()-E55&lt;=30),F55,0))</x:f>
        <x:v>0</x:v>
      </x:c>
      <x:c r="I55" s="16" t="n">
        <x:f>IF(E55="",0,IF(AND(TODAY()-E55&gt;=31,TODAY()-E55&lt;=60),F55,0))</x:f>
        <x:v>0</x:v>
      </x:c>
      <x:c r="J55" s="16" t="n">
        <x:f>IF(E55="",0,IF(AND(TODAY()-E55&gt;=61,TODAY()-E55&lt;=90),F55,0))</x:f>
        <x:v>0</x:v>
      </x:c>
      <x:c r="K55" s="16" t="n">
        <x:f>IF(E55="",0,IF(TODAY()-E55&gt;90,F55,0))</x:f>
        <x:v>0</x:v>
      </x:c>
      <x:c r="L55" s="13" t="str"/>
      <x:c r="M55" s="13" t="str">
        <x:v>未开始</x:v>
      </x:c>
    </x:row>
  </x:sheetData>
  <x:mergeCells>
    <x:mergeCell ref="A1:M1"/>
    <x:mergeCell ref="A2:M2"/>
  </x:mergeCells>
  <x:conditionalFormatting sqref="M6:M55">
    <x:cfRule type="containsText" dxfId="21" priority="1" operator="containsText" text="已完成"/>
    <x:cfRule type="containsText" dxfId="22" priority="2" operator="containsText" text="未开始"/>
    <x:cfRule type="containsText" dxfId="23" priority="3" operator="containsText" text="异常"/>
  </x:conditionalFormatting>
  <x:dataValidations count="1">
    <x:dataValidation type="list" sqref="M6:M5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bfde906c1a4da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13" hidden="0" customWidth="1"/>
    <x:col min="5" max="5" width="15" hidden="0" customWidth="1"/>
    <x:col min="6" max="6" width="12" hidden="0" customWidth="1"/>
    <x:col min="7" max="7" width="28" hidden="0" customWidth="1"/>
    <x:col min="8" max="8" width="30" hidden="0" customWidth="1"/>
    <x:col min="9" max="9" width="13" hidden="0" customWidth="1"/>
    <x:col min="10" max="10" width="13" hidden="0" customWidth="1"/>
    <x:col min="11" max="11" width="28" hidden="0" customWidth="1"/>
    <x:col min="12" max="12" width="11" hidden="0" customWidth="1"/>
  </x:cols>
  <x:sheetData>
    <x:row r="1" ht="30" customHeight="1">
      <x:c r="A1" s="1" t="str">
        <x:v>长期挂账清理</x:v>
      </x:c>
    </x:row>
    <x:row r="2" ht="25" customHeight="1">
      <x:c r="A2" s="3" t="str">
        <x:v>重大、逾期或长期未清事项需要责任人、期限和关闭证据。</x:v>
      </x:c>
    </x:row>
    <x:row r="5" ht="35" customHeight="1">
      <x:c r="A5" s="9" t="str">
        <x:v>编号</x:v>
      </x:c>
      <x:c r="B5" s="9" t="str">
        <x:v>对象/人员</x:v>
      </x:c>
      <x:c r="C5" s="9" t="str">
        <x:v>事项</x:v>
      </x:c>
      <x:c r="D5" s="9" t="str">
        <x:v>发生日</x:v>
      </x:c>
      <x:c r="E5" s="9" t="str">
        <x:v>金额</x:v>
      </x:c>
      <x:c r="F5" s="9" t="str">
        <x:v>账龄天数</x:v>
      </x:c>
      <x:c r="G5" s="9" t="str">
        <x:v>原因</x:v>
      </x:c>
      <x:c r="H5" s="9" t="str">
        <x:v>处理动作</x:v>
      </x:c>
      <x:c r="I5" s="9" t="str">
        <x:v>期限</x:v>
      </x:c>
      <x:c r="J5" s="9" t="str">
        <x:v>责任人</x:v>
      </x:c>
      <x:c r="K5" s="9" t="str">
        <x:v>关闭证据</x:v>
      </x:c>
      <x:c r="L5" s="9" t="str">
        <x:v>状态</x:v>
      </x:c>
    </x:row>
    <x:row r="6">
      <x:c r="A6" s="13" t="str">
        <x:v>LT-001</x:v>
      </x:c>
      <x:c r="B6" s="13" t="str"/>
      <x:c r="C6" s="13" t="str"/>
      <x:c r="D6" s="18"/>
      <x:c r="E6" s="19" t="n">
        <x:v>0</x:v>
      </x:c>
      <x:c r="F6" s="13" t="str">
        <x:f>IF(D6="","",TODAY()-D6)</x:f>
      </x:c>
      <x:c r="G6" s="13" t="str"/>
      <x:c r="H6" s="13" t="str"/>
      <x:c r="I6" s="15"/>
      <x:c r="J6" s="13" t="str"/>
      <x:c r="K6" s="13" t="str"/>
      <x:c r="L6" s="13" t="str">
        <x:v>未开始</x:v>
      </x:c>
    </x:row>
    <x:row r="7">
      <x:c r="A7" s="13" t="str">
        <x:v>LT-002</x:v>
      </x:c>
      <x:c r="B7" s="13" t="str"/>
      <x:c r="C7" s="13" t="str"/>
      <x:c r="D7" s="18"/>
      <x:c r="E7" s="19" t="n">
        <x:v>0</x:v>
      </x:c>
      <x:c r="F7" s="13" t="str">
        <x:f>IF(D7="","",TODAY()-D7)</x:f>
      </x:c>
      <x:c r="G7" s="13" t="str"/>
      <x:c r="H7" s="13" t="str"/>
      <x:c r="I7" s="15"/>
      <x:c r="J7" s="13" t="str"/>
      <x:c r="K7" s="13" t="str"/>
      <x:c r="L7" s="13" t="str">
        <x:v>未开始</x:v>
      </x:c>
    </x:row>
    <x:row r="8">
      <x:c r="A8" s="13" t="str">
        <x:v>LT-003</x:v>
      </x:c>
      <x:c r="B8" s="13" t="str"/>
      <x:c r="C8" s="13" t="str"/>
      <x:c r="D8" s="18"/>
      <x:c r="E8" s="19" t="n">
        <x:v>0</x:v>
      </x:c>
      <x:c r="F8" s="13" t="str">
        <x:f>IF(D8="","",TODAY()-D8)</x:f>
      </x:c>
      <x:c r="G8" s="13" t="str"/>
      <x:c r="H8" s="13" t="str"/>
      <x:c r="I8" s="15"/>
      <x:c r="J8" s="13" t="str"/>
      <x:c r="K8" s="13" t="str"/>
      <x:c r="L8" s="13" t="str">
        <x:v>未开始</x:v>
      </x:c>
    </x:row>
    <x:row r="9">
      <x:c r="A9" s="13" t="str">
        <x:v>LT-004</x:v>
      </x:c>
      <x:c r="B9" s="13" t="str"/>
      <x:c r="C9" s="13" t="str"/>
      <x:c r="D9" s="18"/>
      <x:c r="E9" s="19" t="n">
        <x:v>0</x:v>
      </x:c>
      <x:c r="F9" s="13" t="str">
        <x:f>IF(D9="","",TODAY()-D9)</x:f>
      </x:c>
      <x:c r="G9" s="13" t="str"/>
      <x:c r="H9" s="13" t="str"/>
      <x:c r="I9" s="15"/>
      <x:c r="J9" s="13" t="str"/>
      <x:c r="K9" s="13" t="str"/>
      <x:c r="L9" s="13" t="str">
        <x:v>未开始</x:v>
      </x:c>
    </x:row>
    <x:row r="10">
      <x:c r="A10" s="13" t="str">
        <x:v>LT-005</x:v>
      </x:c>
      <x:c r="B10" s="13" t="str"/>
      <x:c r="C10" s="13" t="str"/>
      <x:c r="D10" s="18"/>
      <x:c r="E10" s="19" t="n">
        <x:v>0</x:v>
      </x:c>
      <x:c r="F10" s="13" t="str">
        <x:f>IF(D10="","",TODAY()-D10)</x:f>
      </x:c>
      <x:c r="G10" s="13" t="str"/>
      <x:c r="H10" s="13" t="str"/>
      <x:c r="I10" s="15"/>
      <x:c r="J10" s="13" t="str"/>
      <x:c r="K10" s="13" t="str"/>
      <x:c r="L10" s="13" t="str">
        <x:v>未开始</x:v>
      </x:c>
    </x:row>
    <x:row r="11">
      <x:c r="A11" s="13" t="str">
        <x:v>LT-006</x:v>
      </x:c>
      <x:c r="B11" s="13" t="str"/>
      <x:c r="C11" s="13" t="str"/>
      <x:c r="D11" s="18"/>
      <x:c r="E11" s="19" t="n">
        <x:v>0</x:v>
      </x:c>
      <x:c r="F11" s="13" t="str">
        <x:f>IF(D11="","",TODAY()-D11)</x:f>
      </x:c>
      <x:c r="G11" s="13" t="str"/>
      <x:c r="H11" s="13" t="str"/>
      <x:c r="I11" s="15"/>
      <x:c r="J11" s="13" t="str"/>
      <x:c r="K11" s="13" t="str"/>
      <x:c r="L11" s="13" t="str">
        <x:v>未开始</x:v>
      </x:c>
    </x:row>
    <x:row r="12">
      <x:c r="A12" s="13" t="str">
        <x:v>LT-007</x:v>
      </x:c>
      <x:c r="B12" s="13" t="str"/>
      <x:c r="C12" s="13" t="str"/>
      <x:c r="D12" s="18"/>
      <x:c r="E12" s="19" t="n">
        <x:v>0</x:v>
      </x:c>
      <x:c r="F12" s="13" t="str">
        <x:f>IF(D12="","",TODAY()-D12)</x:f>
      </x:c>
      <x:c r="G12" s="13" t="str"/>
      <x:c r="H12" s="13" t="str"/>
      <x:c r="I12" s="15"/>
      <x:c r="J12" s="13" t="str"/>
      <x:c r="K12" s="13" t="str"/>
      <x:c r="L12" s="13" t="str">
        <x:v>未开始</x:v>
      </x:c>
    </x:row>
    <x:row r="13">
      <x:c r="A13" s="13" t="str">
        <x:v>LT-008</x:v>
      </x:c>
      <x:c r="B13" s="13" t="str"/>
      <x:c r="C13" s="13" t="str"/>
      <x:c r="D13" s="18"/>
      <x:c r="E13" s="19" t="n">
        <x:v>0</x:v>
      </x:c>
      <x:c r="F13" s="13" t="str">
        <x:f>IF(D13="","",TODAY()-D13)</x:f>
      </x:c>
      <x:c r="G13" s="13" t="str"/>
      <x:c r="H13" s="13" t="str"/>
      <x:c r="I13" s="15"/>
      <x:c r="J13" s="13" t="str"/>
      <x:c r="K13" s="13" t="str"/>
      <x:c r="L13" s="13" t="str">
        <x:v>未开始</x:v>
      </x:c>
    </x:row>
    <x:row r="14">
      <x:c r="A14" s="13" t="str">
        <x:v>LT-009</x:v>
      </x:c>
      <x:c r="B14" s="13" t="str"/>
      <x:c r="C14" s="13" t="str"/>
      <x:c r="D14" s="18"/>
      <x:c r="E14" s="19" t="n">
        <x:v>0</x:v>
      </x:c>
      <x:c r="F14" s="13" t="str">
        <x:f>IF(D14="","",TODAY()-D14)</x:f>
      </x:c>
      <x:c r="G14" s="13" t="str"/>
      <x:c r="H14" s="13" t="str"/>
      <x:c r="I14" s="15"/>
      <x:c r="J14" s="13" t="str"/>
      <x:c r="K14" s="13" t="str"/>
      <x:c r="L14" s="13" t="str">
        <x:v>未开始</x:v>
      </x:c>
    </x:row>
    <x:row r="15">
      <x:c r="A15" s="13" t="str">
        <x:v>LT-010</x:v>
      </x:c>
      <x:c r="B15" s="13" t="str"/>
      <x:c r="C15" s="13" t="str"/>
      <x:c r="D15" s="18"/>
      <x:c r="E15" s="19" t="n">
        <x:v>0</x:v>
      </x:c>
      <x:c r="F15" s="13" t="str">
        <x:f>IF(D15="","",TODAY()-D15)</x:f>
      </x:c>
      <x:c r="G15" s="13" t="str"/>
      <x:c r="H15" s="13" t="str"/>
      <x:c r="I15" s="15"/>
      <x:c r="J15" s="13" t="str"/>
      <x:c r="K15" s="13" t="str"/>
      <x:c r="L15" s="13" t="str">
        <x:v>未开始</x:v>
      </x:c>
    </x:row>
    <x:row r="16">
      <x:c r="A16" s="13" t="str">
        <x:v>LT-011</x:v>
      </x:c>
      <x:c r="B16" s="13" t="str"/>
      <x:c r="C16" s="13" t="str"/>
      <x:c r="D16" s="18"/>
      <x:c r="E16" s="19" t="n">
        <x:v>0</x:v>
      </x:c>
      <x:c r="F16" s="13" t="str">
        <x:f>IF(D16="","",TODAY()-D16)</x:f>
      </x:c>
      <x:c r="G16" s="13" t="str"/>
      <x:c r="H16" s="13" t="str"/>
      <x:c r="I16" s="15"/>
      <x:c r="J16" s="13" t="str"/>
      <x:c r="K16" s="13" t="str"/>
      <x:c r="L16" s="13" t="str">
        <x:v>未开始</x:v>
      </x:c>
    </x:row>
    <x:row r="17">
      <x:c r="A17" s="13" t="str">
        <x:v>LT-012</x:v>
      </x:c>
      <x:c r="B17" s="13" t="str"/>
      <x:c r="C17" s="13" t="str"/>
      <x:c r="D17" s="18"/>
      <x:c r="E17" s="19" t="n">
        <x:v>0</x:v>
      </x:c>
      <x:c r="F17" s="13" t="str">
        <x:f>IF(D17="","",TODAY()-D17)</x:f>
      </x:c>
      <x:c r="G17" s="13" t="str"/>
      <x:c r="H17" s="13" t="str"/>
      <x:c r="I17" s="15"/>
      <x:c r="J17" s="13" t="str"/>
      <x:c r="K17" s="13" t="str"/>
      <x:c r="L17" s="13" t="str">
        <x:v>未开始</x:v>
      </x:c>
    </x:row>
    <x:row r="18">
      <x:c r="A18" s="13" t="str">
        <x:v>LT-013</x:v>
      </x:c>
      <x:c r="B18" s="13" t="str"/>
      <x:c r="C18" s="13" t="str"/>
      <x:c r="D18" s="18"/>
      <x:c r="E18" s="19" t="n">
        <x:v>0</x:v>
      </x:c>
      <x:c r="F18" s="13" t="str">
        <x:f>IF(D18="","",TODAY()-D18)</x:f>
      </x:c>
      <x:c r="G18" s="13" t="str"/>
      <x:c r="H18" s="13" t="str"/>
      <x:c r="I18" s="15"/>
      <x:c r="J18" s="13" t="str"/>
      <x:c r="K18" s="13" t="str"/>
      <x:c r="L18" s="13" t="str">
        <x:v>未开始</x:v>
      </x:c>
    </x:row>
    <x:row r="19">
      <x:c r="A19" s="13" t="str">
        <x:v>LT-014</x:v>
      </x:c>
      <x:c r="B19" s="13" t="str"/>
      <x:c r="C19" s="13" t="str"/>
      <x:c r="D19" s="18"/>
      <x:c r="E19" s="19" t="n">
        <x:v>0</x:v>
      </x:c>
      <x:c r="F19" s="13" t="str">
        <x:f>IF(D19="","",TODAY()-D19)</x:f>
      </x:c>
      <x:c r="G19" s="13" t="str"/>
      <x:c r="H19" s="13" t="str"/>
      <x:c r="I19" s="15"/>
      <x:c r="J19" s="13" t="str"/>
      <x:c r="K19" s="13" t="str"/>
      <x:c r="L19" s="13" t="str">
        <x:v>未开始</x:v>
      </x:c>
    </x:row>
    <x:row r="20">
      <x:c r="A20" s="13" t="str">
        <x:v>LT-015</x:v>
      </x:c>
      <x:c r="B20" s="13" t="str"/>
      <x:c r="C20" s="13" t="str"/>
      <x:c r="D20" s="18"/>
      <x:c r="E20" s="19" t="n">
        <x:v>0</x:v>
      </x:c>
      <x:c r="F20" s="13" t="str">
        <x:f>IF(D20="","",TODAY()-D20)</x:f>
      </x:c>
      <x:c r="G20" s="13" t="str"/>
      <x:c r="H20" s="13" t="str"/>
      <x:c r="I20" s="15"/>
      <x:c r="J20" s="13" t="str"/>
      <x:c r="K20" s="13" t="str"/>
      <x:c r="L20" s="13" t="str">
        <x:v>未开始</x:v>
      </x:c>
    </x:row>
    <x:row r="21">
      <x:c r="A21" s="13" t="str">
        <x:v>LT-016</x:v>
      </x:c>
      <x:c r="B21" s="13" t="str"/>
      <x:c r="C21" s="13" t="str"/>
      <x:c r="D21" s="18"/>
      <x:c r="E21" s="19" t="n">
        <x:v>0</x:v>
      </x:c>
      <x:c r="F21" s="13" t="str">
        <x:f>IF(D21="","",TODAY()-D21)</x:f>
      </x:c>
      <x:c r="G21" s="13" t="str"/>
      <x:c r="H21" s="13" t="str"/>
      <x:c r="I21" s="15"/>
      <x:c r="J21" s="13" t="str"/>
      <x:c r="K21" s="13" t="str"/>
      <x:c r="L21" s="13" t="str">
        <x:v>未开始</x:v>
      </x:c>
    </x:row>
    <x:row r="22">
      <x:c r="A22" s="13" t="str">
        <x:v>LT-017</x:v>
      </x:c>
      <x:c r="B22" s="13" t="str"/>
      <x:c r="C22" s="13" t="str"/>
      <x:c r="D22" s="18"/>
      <x:c r="E22" s="19" t="n">
        <x:v>0</x:v>
      </x:c>
      <x:c r="F22" s="13" t="str">
        <x:f>IF(D22="","",TODAY()-D22)</x:f>
      </x:c>
      <x:c r="G22" s="13" t="str"/>
      <x:c r="H22" s="13" t="str"/>
      <x:c r="I22" s="15"/>
      <x:c r="J22" s="13" t="str"/>
      <x:c r="K22" s="13" t="str"/>
      <x:c r="L22" s="13" t="str">
        <x:v>未开始</x:v>
      </x:c>
    </x:row>
    <x:row r="23">
      <x:c r="A23" s="13" t="str">
        <x:v>LT-018</x:v>
      </x:c>
      <x:c r="B23" s="13" t="str"/>
      <x:c r="C23" s="13" t="str"/>
      <x:c r="D23" s="18"/>
      <x:c r="E23" s="19" t="n">
        <x:v>0</x:v>
      </x:c>
      <x:c r="F23" s="13" t="str">
        <x:f>IF(D23="","",TODAY()-D23)</x:f>
      </x:c>
      <x:c r="G23" s="13" t="str"/>
      <x:c r="H23" s="13" t="str"/>
      <x:c r="I23" s="15"/>
      <x:c r="J23" s="13" t="str"/>
      <x:c r="K23" s="13" t="str"/>
      <x:c r="L23" s="13" t="str">
        <x:v>未开始</x:v>
      </x:c>
    </x:row>
    <x:row r="24">
      <x:c r="A24" s="13" t="str">
        <x:v>LT-019</x:v>
      </x:c>
      <x:c r="B24" s="13" t="str"/>
      <x:c r="C24" s="13" t="str"/>
      <x:c r="D24" s="18"/>
      <x:c r="E24" s="19" t="n">
        <x:v>0</x:v>
      </x:c>
      <x:c r="F24" s="13" t="str">
        <x:f>IF(D24="","",TODAY()-D24)</x:f>
      </x:c>
      <x:c r="G24" s="13" t="str"/>
      <x:c r="H24" s="13" t="str"/>
      <x:c r="I24" s="15"/>
      <x:c r="J24" s="13" t="str"/>
      <x:c r="K24" s="13" t="str"/>
      <x:c r="L24" s="13" t="str">
        <x:v>未开始</x:v>
      </x:c>
    </x:row>
    <x:row r="25">
      <x:c r="A25" s="13" t="str">
        <x:v>LT-020</x:v>
      </x:c>
      <x:c r="B25" s="13" t="str"/>
      <x:c r="C25" s="13" t="str"/>
      <x:c r="D25" s="18"/>
      <x:c r="E25" s="19" t="n">
        <x:v>0</x:v>
      </x:c>
      <x:c r="F25" s="13" t="str">
        <x:f>IF(D25="","",TODAY()-D25)</x:f>
      </x:c>
      <x:c r="G25" s="13" t="str"/>
      <x:c r="H25" s="13" t="str"/>
      <x:c r="I25" s="15"/>
      <x:c r="J25" s="13" t="str"/>
      <x:c r="K25" s="13" t="str"/>
      <x:c r="L25" s="13" t="str">
        <x:v>未开始</x:v>
      </x:c>
    </x:row>
    <x:row r="26">
      <x:c r="A26" s="13" t="str">
        <x:v>LT-021</x:v>
      </x:c>
      <x:c r="B26" s="13" t="str"/>
      <x:c r="C26" s="13" t="str"/>
      <x:c r="D26" s="18"/>
      <x:c r="E26" s="19" t="n">
        <x:v>0</x:v>
      </x:c>
      <x:c r="F26" s="13" t="str">
        <x:f>IF(D26="","",TODAY()-D26)</x:f>
      </x:c>
      <x:c r="G26" s="13" t="str"/>
      <x:c r="H26" s="13" t="str"/>
      <x:c r="I26" s="15"/>
      <x:c r="J26" s="13" t="str"/>
      <x:c r="K26" s="13" t="str"/>
      <x:c r="L26" s="13" t="str">
        <x:v>未开始</x:v>
      </x:c>
    </x:row>
    <x:row r="27">
      <x:c r="A27" s="13" t="str">
        <x:v>LT-022</x:v>
      </x:c>
      <x:c r="B27" s="13" t="str"/>
      <x:c r="C27" s="13" t="str"/>
      <x:c r="D27" s="18"/>
      <x:c r="E27" s="19" t="n">
        <x:v>0</x:v>
      </x:c>
      <x:c r="F27" s="13" t="str">
        <x:f>IF(D27="","",TODAY()-D27)</x:f>
      </x:c>
      <x:c r="G27" s="13" t="str"/>
      <x:c r="H27" s="13" t="str"/>
      <x:c r="I27" s="15"/>
      <x:c r="J27" s="13" t="str"/>
      <x:c r="K27" s="13" t="str"/>
      <x:c r="L27" s="13" t="str">
        <x:v>未开始</x:v>
      </x:c>
    </x:row>
    <x:row r="28">
      <x:c r="A28" s="13" t="str">
        <x:v>LT-023</x:v>
      </x:c>
      <x:c r="B28" s="13" t="str"/>
      <x:c r="C28" s="13" t="str"/>
      <x:c r="D28" s="18"/>
      <x:c r="E28" s="19" t="n">
        <x:v>0</x:v>
      </x:c>
      <x:c r="F28" s="13" t="str">
        <x:f>IF(D28="","",TODAY()-D28)</x:f>
      </x:c>
      <x:c r="G28" s="13" t="str"/>
      <x:c r="H28" s="13" t="str"/>
      <x:c r="I28" s="15"/>
      <x:c r="J28" s="13" t="str"/>
      <x:c r="K28" s="13" t="str"/>
      <x:c r="L28" s="13" t="str">
        <x:v>未开始</x:v>
      </x:c>
    </x:row>
    <x:row r="29">
      <x:c r="A29" s="13" t="str">
        <x:v>LT-024</x:v>
      </x:c>
      <x:c r="B29" s="13" t="str"/>
      <x:c r="C29" s="13" t="str"/>
      <x:c r="D29" s="18"/>
      <x:c r="E29" s="19" t="n">
        <x:v>0</x:v>
      </x:c>
      <x:c r="F29" s="13" t="str">
        <x:f>IF(D29="","",TODAY()-D29)</x:f>
      </x:c>
      <x:c r="G29" s="13" t="str"/>
      <x:c r="H29" s="13" t="str"/>
      <x:c r="I29" s="15"/>
      <x:c r="J29" s="13" t="str"/>
      <x:c r="K29" s="13" t="str"/>
      <x:c r="L29" s="13" t="str">
        <x:v>未开始</x:v>
      </x:c>
    </x:row>
    <x:row r="30">
      <x:c r="A30" s="13" t="str">
        <x:v>LT-025</x:v>
      </x:c>
      <x:c r="B30" s="13" t="str"/>
      <x:c r="C30" s="13" t="str"/>
      <x:c r="D30" s="18"/>
      <x:c r="E30" s="19" t="n">
        <x:v>0</x:v>
      </x:c>
      <x:c r="F30" s="13" t="str">
        <x:f>IF(D30="","",TODAY()-D30)</x:f>
      </x:c>
      <x:c r="G30" s="13" t="str"/>
      <x:c r="H30" s="13" t="str"/>
      <x:c r="I30" s="15"/>
      <x:c r="J30" s="13" t="str"/>
      <x:c r="K30" s="13" t="str"/>
      <x:c r="L30" s="13" t="str">
        <x:v>未开始</x:v>
      </x:c>
    </x:row>
    <x:row r="31">
      <x:c r="A31" s="13" t="str">
        <x:v>LT-026</x:v>
      </x:c>
      <x:c r="B31" s="13" t="str"/>
      <x:c r="C31" s="13" t="str"/>
      <x:c r="D31" s="18"/>
      <x:c r="E31" s="19" t="n">
        <x:v>0</x:v>
      </x:c>
      <x:c r="F31" s="13" t="str">
        <x:f>IF(D31="","",TODAY()-D31)</x:f>
      </x:c>
      <x:c r="G31" s="13" t="str"/>
      <x:c r="H31" s="13" t="str"/>
      <x:c r="I31" s="15"/>
      <x:c r="J31" s="13" t="str"/>
      <x:c r="K31" s="13" t="str"/>
      <x:c r="L31" s="13" t="str">
        <x:v>未开始</x:v>
      </x:c>
    </x:row>
    <x:row r="32">
      <x:c r="A32" s="13" t="str">
        <x:v>LT-027</x:v>
      </x:c>
      <x:c r="B32" s="13" t="str"/>
      <x:c r="C32" s="13" t="str"/>
      <x:c r="D32" s="18"/>
      <x:c r="E32" s="19" t="n">
        <x:v>0</x:v>
      </x:c>
      <x:c r="F32" s="13" t="str">
        <x:f>IF(D32="","",TODAY()-D32)</x:f>
      </x:c>
      <x:c r="G32" s="13" t="str"/>
      <x:c r="H32" s="13" t="str"/>
      <x:c r="I32" s="15"/>
      <x:c r="J32" s="13" t="str"/>
      <x:c r="K32" s="13" t="str"/>
      <x:c r="L32" s="13" t="str">
        <x:v>未开始</x:v>
      </x:c>
    </x:row>
    <x:row r="33">
      <x:c r="A33" s="13" t="str">
        <x:v>LT-028</x:v>
      </x:c>
      <x:c r="B33" s="13" t="str"/>
      <x:c r="C33" s="13" t="str"/>
      <x:c r="D33" s="18"/>
      <x:c r="E33" s="19" t="n">
        <x:v>0</x:v>
      </x:c>
      <x:c r="F33" s="13" t="str">
        <x:f>IF(D33="","",TODAY()-D33)</x:f>
      </x:c>
      <x:c r="G33" s="13" t="str"/>
      <x:c r="H33" s="13" t="str"/>
      <x:c r="I33" s="15"/>
      <x:c r="J33" s="13" t="str"/>
      <x:c r="K33" s="13" t="str"/>
      <x:c r="L33" s="13" t="str">
        <x:v>未开始</x:v>
      </x:c>
    </x:row>
    <x:row r="34">
      <x:c r="A34" s="13" t="str">
        <x:v>LT-029</x:v>
      </x:c>
      <x:c r="B34" s="13" t="str"/>
      <x:c r="C34" s="13" t="str"/>
      <x:c r="D34" s="18"/>
      <x:c r="E34" s="19" t="n">
        <x:v>0</x:v>
      </x:c>
      <x:c r="F34" s="13" t="str">
        <x:f>IF(D34="","",TODAY()-D34)</x:f>
      </x:c>
      <x:c r="G34" s="13" t="str"/>
      <x:c r="H34" s="13" t="str"/>
      <x:c r="I34" s="15"/>
      <x:c r="J34" s="13" t="str"/>
      <x:c r="K34" s="13" t="str"/>
      <x:c r="L34" s="13" t="str">
        <x:v>未开始</x:v>
      </x:c>
    </x:row>
    <x:row r="35">
      <x:c r="A35" s="13" t="str">
        <x:v>LT-030</x:v>
      </x:c>
      <x:c r="B35" s="13" t="str"/>
      <x:c r="C35" s="13" t="str"/>
      <x:c r="D35" s="18"/>
      <x:c r="E35" s="19" t="n">
        <x:v>0</x:v>
      </x:c>
      <x:c r="F35" s="13" t="str">
        <x:f>IF(D35="","",TODAY()-D35)</x:f>
      </x:c>
      <x:c r="G35" s="13" t="str"/>
      <x:c r="H35" s="13" t="str"/>
      <x:c r="I35" s="15"/>
      <x:c r="J35" s="13" t="str"/>
      <x:c r="K35" s="13" t="str"/>
      <x:c r="L35" s="13" t="str">
        <x:v>未开始</x:v>
      </x:c>
    </x:row>
    <x:row r="36">
      <x:c r="A36" s="13" t="str">
        <x:v>LT-031</x:v>
      </x:c>
      <x:c r="B36" s="13" t="str"/>
      <x:c r="C36" s="13" t="str"/>
      <x:c r="D36" s="18"/>
      <x:c r="E36" s="19" t="n">
        <x:v>0</x:v>
      </x:c>
      <x:c r="F36" s="13" t="str">
        <x:f>IF(D36="","",TODAY()-D36)</x:f>
      </x:c>
      <x:c r="G36" s="13" t="str"/>
      <x:c r="H36" s="13" t="str"/>
      <x:c r="I36" s="15"/>
      <x:c r="J36" s="13" t="str"/>
      <x:c r="K36" s="13" t="str"/>
      <x:c r="L36" s="13" t="str">
        <x:v>未开始</x:v>
      </x:c>
    </x:row>
    <x:row r="37">
      <x:c r="A37" s="13" t="str">
        <x:v>LT-032</x:v>
      </x:c>
      <x:c r="B37" s="13" t="str"/>
      <x:c r="C37" s="13" t="str"/>
      <x:c r="D37" s="18"/>
      <x:c r="E37" s="19" t="n">
        <x:v>0</x:v>
      </x:c>
      <x:c r="F37" s="13" t="str">
        <x:f>IF(D37="","",TODAY()-D37)</x:f>
      </x:c>
      <x:c r="G37" s="13" t="str"/>
      <x:c r="H37" s="13" t="str"/>
      <x:c r="I37" s="15"/>
      <x:c r="J37" s="13" t="str"/>
      <x:c r="K37" s="13" t="str"/>
      <x:c r="L37" s="13" t="str">
        <x:v>未开始</x:v>
      </x:c>
    </x:row>
    <x:row r="38">
      <x:c r="A38" s="13" t="str">
        <x:v>LT-033</x:v>
      </x:c>
      <x:c r="B38" s="13" t="str"/>
      <x:c r="C38" s="13" t="str"/>
      <x:c r="D38" s="18"/>
      <x:c r="E38" s="19" t="n">
        <x:v>0</x:v>
      </x:c>
      <x:c r="F38" s="13" t="str">
        <x:f>IF(D38="","",TODAY()-D38)</x:f>
      </x:c>
      <x:c r="G38" s="13" t="str"/>
      <x:c r="H38" s="13" t="str"/>
      <x:c r="I38" s="15"/>
      <x:c r="J38" s="13" t="str"/>
      <x:c r="K38" s="13" t="str"/>
      <x:c r="L38" s="13" t="str">
        <x:v>未开始</x:v>
      </x:c>
    </x:row>
    <x:row r="39">
      <x:c r="A39" s="13" t="str">
        <x:v>LT-034</x:v>
      </x:c>
      <x:c r="B39" s="13" t="str"/>
      <x:c r="C39" s="13" t="str"/>
      <x:c r="D39" s="18"/>
      <x:c r="E39" s="19" t="n">
        <x:v>0</x:v>
      </x:c>
      <x:c r="F39" s="13" t="str">
        <x:f>IF(D39="","",TODAY()-D39)</x:f>
      </x:c>
      <x:c r="G39" s="13" t="str"/>
      <x:c r="H39" s="13" t="str"/>
      <x:c r="I39" s="15"/>
      <x:c r="J39" s="13" t="str"/>
      <x:c r="K39" s="13" t="str"/>
      <x:c r="L39" s="13" t="str">
        <x:v>未开始</x:v>
      </x:c>
    </x:row>
    <x:row r="40">
      <x:c r="A40" s="13" t="str">
        <x:v>LT-035</x:v>
      </x:c>
      <x:c r="B40" s="13" t="str"/>
      <x:c r="C40" s="13" t="str"/>
      <x:c r="D40" s="18"/>
      <x:c r="E40" s="19" t="n">
        <x:v>0</x:v>
      </x:c>
      <x:c r="F40" s="13" t="str">
        <x:f>IF(D40="","",TODAY()-D40)</x:f>
      </x:c>
      <x:c r="G40" s="13" t="str"/>
      <x:c r="H40" s="13" t="str"/>
      <x:c r="I40" s="15"/>
      <x:c r="J40" s="13" t="str"/>
      <x:c r="K40" s="13" t="str"/>
      <x:c r="L40" s="13" t="str">
        <x:v>未开始</x:v>
      </x:c>
    </x:row>
    <x:row r="41">
      <x:c r="A41" s="13" t="str">
        <x:v>LT-036</x:v>
      </x:c>
      <x:c r="B41" s="13" t="str"/>
      <x:c r="C41" s="13" t="str"/>
      <x:c r="D41" s="18"/>
      <x:c r="E41" s="19" t="n">
        <x:v>0</x:v>
      </x:c>
      <x:c r="F41" s="13" t="str">
        <x:f>IF(D41="","",TODAY()-D41)</x:f>
      </x:c>
      <x:c r="G41" s="13" t="str"/>
      <x:c r="H41" s="13" t="str"/>
      <x:c r="I41" s="15"/>
      <x:c r="J41" s="13" t="str"/>
      <x:c r="K41" s="13" t="str"/>
      <x:c r="L41" s="13" t="str">
        <x:v>未开始</x:v>
      </x:c>
    </x:row>
    <x:row r="42">
      <x:c r="A42" s="13" t="str">
        <x:v>LT-037</x:v>
      </x:c>
      <x:c r="B42" s="13" t="str"/>
      <x:c r="C42" s="13" t="str"/>
      <x:c r="D42" s="18"/>
      <x:c r="E42" s="19" t="n">
        <x:v>0</x:v>
      </x:c>
      <x:c r="F42" s="13" t="str">
        <x:f>IF(D42="","",TODAY()-D42)</x:f>
      </x:c>
      <x:c r="G42" s="13" t="str"/>
      <x:c r="H42" s="13" t="str"/>
      <x:c r="I42" s="15"/>
      <x:c r="J42" s="13" t="str"/>
      <x:c r="K42" s="13" t="str"/>
      <x:c r="L42" s="13" t="str">
        <x:v>未开始</x:v>
      </x:c>
    </x:row>
    <x:row r="43">
      <x:c r="A43" s="13" t="str">
        <x:v>LT-038</x:v>
      </x:c>
      <x:c r="B43" s="13" t="str"/>
      <x:c r="C43" s="13" t="str"/>
      <x:c r="D43" s="18"/>
      <x:c r="E43" s="19" t="n">
        <x:v>0</x:v>
      </x:c>
      <x:c r="F43" s="13" t="str">
        <x:f>IF(D43="","",TODAY()-D43)</x:f>
      </x:c>
      <x:c r="G43" s="13" t="str"/>
      <x:c r="H43" s="13" t="str"/>
      <x:c r="I43" s="15"/>
      <x:c r="J43" s="13" t="str"/>
      <x:c r="K43" s="13" t="str"/>
      <x:c r="L43" s="13" t="str">
        <x:v>未开始</x:v>
      </x:c>
    </x:row>
    <x:row r="44">
      <x:c r="A44" s="13" t="str">
        <x:v>LT-039</x:v>
      </x:c>
      <x:c r="B44" s="13" t="str"/>
      <x:c r="C44" s="13" t="str"/>
      <x:c r="D44" s="18"/>
      <x:c r="E44" s="19" t="n">
        <x:v>0</x:v>
      </x:c>
      <x:c r="F44" s="13" t="str">
        <x:f>IF(D44="","",TODAY()-D44)</x:f>
      </x:c>
      <x:c r="G44" s="13" t="str"/>
      <x:c r="H44" s="13" t="str"/>
      <x:c r="I44" s="15"/>
      <x:c r="J44" s="13" t="str"/>
      <x:c r="K44" s="13" t="str"/>
      <x:c r="L44" s="13" t="str">
        <x:v>未开始</x:v>
      </x:c>
    </x:row>
    <x:row r="45">
      <x:c r="A45" s="13" t="str">
        <x:v>LT-040</x:v>
      </x:c>
      <x:c r="B45" s="13" t="str"/>
      <x:c r="C45" s="13" t="str"/>
      <x:c r="D45" s="18"/>
      <x:c r="E45" s="19" t="n">
        <x:v>0</x:v>
      </x:c>
      <x:c r="F45" s="13" t="str">
        <x:f>IF(D45="","",TODAY()-D45)</x:f>
      </x:c>
      <x:c r="G45" s="13" t="str"/>
      <x:c r="H45" s="13" t="str"/>
      <x:c r="I45" s="15"/>
      <x:c r="J45" s="13" t="str"/>
      <x:c r="K45" s="13" t="str"/>
      <x:c r="L45" s="13" t="str">
        <x:v>未开始</x:v>
      </x:c>
    </x:row>
  </x:sheetData>
  <x:mergeCells>
    <x:mergeCell ref="A1:L1"/>
    <x:mergeCell ref="A2:L2"/>
  </x:mergeCells>
  <x:conditionalFormatting sqref="L6:L45">
    <x:cfRule type="containsText" dxfId="24" priority="1" operator="containsText" text="已完成"/>
    <x:cfRule type="containsText" dxfId="25" priority="2" operator="containsText" text="未开始"/>
    <x:cfRule type="containsText" dxfId="26" priority="3" operator="containsText" text="异常"/>
  </x:conditionalFormatting>
  <x:dataValidations count="1">
    <x:dataValidation type="list" sqref="L6:L4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4e58e59e38492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13" hidden="0" customWidth="1"/>
    <x:col min="5" max="5" width="15" hidden="0" customWidth="1"/>
    <x:col min="6" max="6" width="12" hidden="0" customWidth="1"/>
    <x:col min="7" max="7" width="28" hidden="0" customWidth="1"/>
    <x:col min="8" max="8" width="30" hidden="0" customWidth="1"/>
    <x:col min="9" max="9" width="13" hidden="0" customWidth="1"/>
    <x:col min="10" max="10" width="13" hidden="0" customWidth="1"/>
    <x:col min="11" max="11" width="28" hidden="0" customWidth="1"/>
    <x:col min="12" max="12" width="11" hidden="0" customWidth="1"/>
  </x:cols>
  <x:sheetData>
    <x:row r="1" ht="30" customHeight="1">
      <x:c r="A1" s="1" t="str">
        <x:v>员工借款与备用金</x:v>
      </x:c>
    </x:row>
    <x:row r="2" ht="25" customHeight="1">
      <x:c r="A2" s="3" t="str">
        <x:v>重大、逾期或长期未清事项需要责任人、期限和关闭证据。</x:v>
      </x:c>
    </x:row>
    <x:row r="5" ht="35" customHeight="1">
      <x:c r="A5" s="9" t="str">
        <x:v>编号</x:v>
      </x:c>
      <x:c r="B5" s="9" t="str">
        <x:v>对象/人员</x:v>
      </x:c>
      <x:c r="C5" s="9" t="str">
        <x:v>事项</x:v>
      </x:c>
      <x:c r="D5" s="9" t="str">
        <x:v>发生日</x:v>
      </x:c>
      <x:c r="E5" s="9" t="str">
        <x:v>金额</x:v>
      </x:c>
      <x:c r="F5" s="9" t="str">
        <x:v>账龄天数</x:v>
      </x:c>
      <x:c r="G5" s="9" t="str">
        <x:v>原因</x:v>
      </x:c>
      <x:c r="H5" s="9" t="str">
        <x:v>处理动作</x:v>
      </x:c>
      <x:c r="I5" s="9" t="str">
        <x:v>期限</x:v>
      </x:c>
      <x:c r="J5" s="9" t="str">
        <x:v>责任人</x:v>
      </x:c>
      <x:c r="K5" s="9" t="str">
        <x:v>关闭证据</x:v>
      </x:c>
      <x:c r="L5" s="9" t="str">
        <x:v>状态</x:v>
      </x:c>
    </x:row>
    <x:row r="6">
      <x:c r="A6" s="13" t="str">
        <x:v>EA-001</x:v>
      </x:c>
      <x:c r="B6" s="13" t="str"/>
      <x:c r="C6" s="13" t="str"/>
      <x:c r="D6" s="18"/>
      <x:c r="E6" s="19" t="n">
        <x:v>0</x:v>
      </x:c>
      <x:c r="F6" s="13" t="str">
        <x:f>IF(D6="","",TODAY()-D6)</x:f>
      </x:c>
      <x:c r="G6" s="13" t="str"/>
      <x:c r="H6" s="13" t="str"/>
      <x:c r="I6" s="15"/>
      <x:c r="J6" s="13" t="str"/>
      <x:c r="K6" s="13" t="str"/>
      <x:c r="L6" s="13" t="str">
        <x:v>未开始</x:v>
      </x:c>
    </x:row>
    <x:row r="7">
      <x:c r="A7" s="13" t="str">
        <x:v>EA-002</x:v>
      </x:c>
      <x:c r="B7" s="13" t="str"/>
      <x:c r="C7" s="13" t="str"/>
      <x:c r="D7" s="18"/>
      <x:c r="E7" s="19" t="n">
        <x:v>0</x:v>
      </x:c>
      <x:c r="F7" s="13" t="str">
        <x:f>IF(D7="","",TODAY()-D7)</x:f>
      </x:c>
      <x:c r="G7" s="13" t="str"/>
      <x:c r="H7" s="13" t="str"/>
      <x:c r="I7" s="15"/>
      <x:c r="J7" s="13" t="str"/>
      <x:c r="K7" s="13" t="str"/>
      <x:c r="L7" s="13" t="str">
        <x:v>未开始</x:v>
      </x:c>
    </x:row>
    <x:row r="8">
      <x:c r="A8" s="13" t="str">
        <x:v>EA-003</x:v>
      </x:c>
      <x:c r="B8" s="13" t="str"/>
      <x:c r="C8" s="13" t="str"/>
      <x:c r="D8" s="18"/>
      <x:c r="E8" s="19" t="n">
        <x:v>0</x:v>
      </x:c>
      <x:c r="F8" s="13" t="str">
        <x:f>IF(D8="","",TODAY()-D8)</x:f>
      </x:c>
      <x:c r="G8" s="13" t="str"/>
      <x:c r="H8" s="13" t="str"/>
      <x:c r="I8" s="15"/>
      <x:c r="J8" s="13" t="str"/>
      <x:c r="K8" s="13" t="str"/>
      <x:c r="L8" s="13" t="str">
        <x:v>未开始</x:v>
      </x:c>
    </x:row>
    <x:row r="9">
      <x:c r="A9" s="13" t="str">
        <x:v>EA-004</x:v>
      </x:c>
      <x:c r="B9" s="13" t="str"/>
      <x:c r="C9" s="13" t="str"/>
      <x:c r="D9" s="18"/>
      <x:c r="E9" s="19" t="n">
        <x:v>0</x:v>
      </x:c>
      <x:c r="F9" s="13" t="str">
        <x:f>IF(D9="","",TODAY()-D9)</x:f>
      </x:c>
      <x:c r="G9" s="13" t="str"/>
      <x:c r="H9" s="13" t="str"/>
      <x:c r="I9" s="15"/>
      <x:c r="J9" s="13" t="str"/>
      <x:c r="K9" s="13" t="str"/>
      <x:c r="L9" s="13" t="str">
        <x:v>未开始</x:v>
      </x:c>
    </x:row>
    <x:row r="10">
      <x:c r="A10" s="13" t="str">
        <x:v>EA-005</x:v>
      </x:c>
      <x:c r="B10" s="13" t="str"/>
      <x:c r="C10" s="13" t="str"/>
      <x:c r="D10" s="18"/>
      <x:c r="E10" s="19" t="n">
        <x:v>0</x:v>
      </x:c>
      <x:c r="F10" s="13" t="str">
        <x:f>IF(D10="","",TODAY()-D10)</x:f>
      </x:c>
      <x:c r="G10" s="13" t="str"/>
      <x:c r="H10" s="13" t="str"/>
      <x:c r="I10" s="15"/>
      <x:c r="J10" s="13" t="str"/>
      <x:c r="K10" s="13" t="str"/>
      <x:c r="L10" s="13" t="str">
        <x:v>未开始</x:v>
      </x:c>
    </x:row>
    <x:row r="11">
      <x:c r="A11" s="13" t="str">
        <x:v>EA-006</x:v>
      </x:c>
      <x:c r="B11" s="13" t="str"/>
      <x:c r="C11" s="13" t="str"/>
      <x:c r="D11" s="18"/>
      <x:c r="E11" s="19" t="n">
        <x:v>0</x:v>
      </x:c>
      <x:c r="F11" s="13" t="str">
        <x:f>IF(D11="","",TODAY()-D11)</x:f>
      </x:c>
      <x:c r="G11" s="13" t="str"/>
      <x:c r="H11" s="13" t="str"/>
      <x:c r="I11" s="15"/>
      <x:c r="J11" s="13" t="str"/>
      <x:c r="K11" s="13" t="str"/>
      <x:c r="L11" s="13" t="str">
        <x:v>未开始</x:v>
      </x:c>
    </x:row>
    <x:row r="12">
      <x:c r="A12" s="13" t="str">
        <x:v>EA-007</x:v>
      </x:c>
      <x:c r="B12" s="13" t="str"/>
      <x:c r="C12" s="13" t="str"/>
      <x:c r="D12" s="18"/>
      <x:c r="E12" s="19" t="n">
        <x:v>0</x:v>
      </x:c>
      <x:c r="F12" s="13" t="str">
        <x:f>IF(D12="","",TODAY()-D12)</x:f>
      </x:c>
      <x:c r="G12" s="13" t="str"/>
      <x:c r="H12" s="13" t="str"/>
      <x:c r="I12" s="15"/>
      <x:c r="J12" s="13" t="str"/>
      <x:c r="K12" s="13" t="str"/>
      <x:c r="L12" s="13" t="str">
        <x:v>未开始</x:v>
      </x:c>
    </x:row>
    <x:row r="13">
      <x:c r="A13" s="13" t="str">
        <x:v>EA-008</x:v>
      </x:c>
      <x:c r="B13" s="13" t="str"/>
      <x:c r="C13" s="13" t="str"/>
      <x:c r="D13" s="18"/>
      <x:c r="E13" s="19" t="n">
        <x:v>0</x:v>
      </x:c>
      <x:c r="F13" s="13" t="str">
        <x:f>IF(D13="","",TODAY()-D13)</x:f>
      </x:c>
      <x:c r="G13" s="13" t="str"/>
      <x:c r="H13" s="13" t="str"/>
      <x:c r="I13" s="15"/>
      <x:c r="J13" s="13" t="str"/>
      <x:c r="K13" s="13" t="str"/>
      <x:c r="L13" s="13" t="str">
        <x:v>未开始</x:v>
      </x:c>
    </x:row>
    <x:row r="14">
      <x:c r="A14" s="13" t="str">
        <x:v>EA-009</x:v>
      </x:c>
      <x:c r="B14" s="13" t="str"/>
      <x:c r="C14" s="13" t="str"/>
      <x:c r="D14" s="18"/>
      <x:c r="E14" s="19" t="n">
        <x:v>0</x:v>
      </x:c>
      <x:c r="F14" s="13" t="str">
        <x:f>IF(D14="","",TODAY()-D14)</x:f>
      </x:c>
      <x:c r="G14" s="13" t="str"/>
      <x:c r="H14" s="13" t="str"/>
      <x:c r="I14" s="15"/>
      <x:c r="J14" s="13" t="str"/>
      <x:c r="K14" s="13" t="str"/>
      <x:c r="L14" s="13" t="str">
        <x:v>未开始</x:v>
      </x:c>
    </x:row>
    <x:row r="15">
      <x:c r="A15" s="13" t="str">
        <x:v>EA-010</x:v>
      </x:c>
      <x:c r="B15" s="13" t="str"/>
      <x:c r="C15" s="13" t="str"/>
      <x:c r="D15" s="18"/>
      <x:c r="E15" s="19" t="n">
        <x:v>0</x:v>
      </x:c>
      <x:c r="F15" s="13" t="str">
        <x:f>IF(D15="","",TODAY()-D15)</x:f>
      </x:c>
      <x:c r="G15" s="13" t="str"/>
      <x:c r="H15" s="13" t="str"/>
      <x:c r="I15" s="15"/>
      <x:c r="J15" s="13" t="str"/>
      <x:c r="K15" s="13" t="str"/>
      <x:c r="L15" s="13" t="str">
        <x:v>未开始</x:v>
      </x:c>
    </x:row>
    <x:row r="16">
      <x:c r="A16" s="13" t="str">
        <x:v>EA-011</x:v>
      </x:c>
      <x:c r="B16" s="13" t="str"/>
      <x:c r="C16" s="13" t="str"/>
      <x:c r="D16" s="18"/>
      <x:c r="E16" s="19" t="n">
        <x:v>0</x:v>
      </x:c>
      <x:c r="F16" s="13" t="str">
        <x:f>IF(D16="","",TODAY()-D16)</x:f>
      </x:c>
      <x:c r="G16" s="13" t="str"/>
      <x:c r="H16" s="13" t="str"/>
      <x:c r="I16" s="15"/>
      <x:c r="J16" s="13" t="str"/>
      <x:c r="K16" s="13" t="str"/>
      <x:c r="L16" s="13" t="str">
        <x:v>未开始</x:v>
      </x:c>
    </x:row>
    <x:row r="17">
      <x:c r="A17" s="13" t="str">
        <x:v>EA-012</x:v>
      </x:c>
      <x:c r="B17" s="13" t="str"/>
      <x:c r="C17" s="13" t="str"/>
      <x:c r="D17" s="18"/>
      <x:c r="E17" s="19" t="n">
        <x:v>0</x:v>
      </x:c>
      <x:c r="F17" s="13" t="str">
        <x:f>IF(D17="","",TODAY()-D17)</x:f>
      </x:c>
      <x:c r="G17" s="13" t="str"/>
      <x:c r="H17" s="13" t="str"/>
      <x:c r="I17" s="15"/>
      <x:c r="J17" s="13" t="str"/>
      <x:c r="K17" s="13" t="str"/>
      <x:c r="L17" s="13" t="str">
        <x:v>未开始</x:v>
      </x:c>
    </x:row>
    <x:row r="18">
      <x:c r="A18" s="13" t="str">
        <x:v>EA-013</x:v>
      </x:c>
      <x:c r="B18" s="13" t="str"/>
      <x:c r="C18" s="13" t="str"/>
      <x:c r="D18" s="18"/>
      <x:c r="E18" s="19" t="n">
        <x:v>0</x:v>
      </x:c>
      <x:c r="F18" s="13" t="str">
        <x:f>IF(D18="","",TODAY()-D18)</x:f>
      </x:c>
      <x:c r="G18" s="13" t="str"/>
      <x:c r="H18" s="13" t="str"/>
      <x:c r="I18" s="15"/>
      <x:c r="J18" s="13" t="str"/>
      <x:c r="K18" s="13" t="str"/>
      <x:c r="L18" s="13" t="str">
        <x:v>未开始</x:v>
      </x:c>
    </x:row>
    <x:row r="19">
      <x:c r="A19" s="13" t="str">
        <x:v>EA-014</x:v>
      </x:c>
      <x:c r="B19" s="13" t="str"/>
      <x:c r="C19" s="13" t="str"/>
      <x:c r="D19" s="18"/>
      <x:c r="E19" s="19" t="n">
        <x:v>0</x:v>
      </x:c>
      <x:c r="F19" s="13" t="str">
        <x:f>IF(D19="","",TODAY()-D19)</x:f>
      </x:c>
      <x:c r="G19" s="13" t="str"/>
      <x:c r="H19" s="13" t="str"/>
      <x:c r="I19" s="15"/>
      <x:c r="J19" s="13" t="str"/>
      <x:c r="K19" s="13" t="str"/>
      <x:c r="L19" s="13" t="str">
        <x:v>未开始</x:v>
      </x:c>
    </x:row>
    <x:row r="20">
      <x:c r="A20" s="13" t="str">
        <x:v>EA-015</x:v>
      </x:c>
      <x:c r="B20" s="13" t="str"/>
      <x:c r="C20" s="13" t="str"/>
      <x:c r="D20" s="18"/>
      <x:c r="E20" s="19" t="n">
        <x:v>0</x:v>
      </x:c>
      <x:c r="F20" s="13" t="str">
        <x:f>IF(D20="","",TODAY()-D20)</x:f>
      </x:c>
      <x:c r="G20" s="13" t="str"/>
      <x:c r="H20" s="13" t="str"/>
      <x:c r="I20" s="15"/>
      <x:c r="J20" s="13" t="str"/>
      <x:c r="K20" s="13" t="str"/>
      <x:c r="L20" s="13" t="str">
        <x:v>未开始</x:v>
      </x:c>
    </x:row>
    <x:row r="21">
      <x:c r="A21" s="13" t="str">
        <x:v>EA-016</x:v>
      </x:c>
      <x:c r="B21" s="13" t="str"/>
      <x:c r="C21" s="13" t="str"/>
      <x:c r="D21" s="18"/>
      <x:c r="E21" s="19" t="n">
        <x:v>0</x:v>
      </x:c>
      <x:c r="F21" s="13" t="str">
        <x:f>IF(D21="","",TODAY()-D21)</x:f>
      </x:c>
      <x:c r="G21" s="13" t="str"/>
      <x:c r="H21" s="13" t="str"/>
      <x:c r="I21" s="15"/>
      <x:c r="J21" s="13" t="str"/>
      <x:c r="K21" s="13" t="str"/>
      <x:c r="L21" s="13" t="str">
        <x:v>未开始</x:v>
      </x:c>
    </x:row>
    <x:row r="22">
      <x:c r="A22" s="13" t="str">
        <x:v>EA-017</x:v>
      </x:c>
      <x:c r="B22" s="13" t="str"/>
      <x:c r="C22" s="13" t="str"/>
      <x:c r="D22" s="18"/>
      <x:c r="E22" s="19" t="n">
        <x:v>0</x:v>
      </x:c>
      <x:c r="F22" s="13" t="str">
        <x:f>IF(D22="","",TODAY()-D22)</x:f>
      </x:c>
      <x:c r="G22" s="13" t="str"/>
      <x:c r="H22" s="13" t="str"/>
      <x:c r="I22" s="15"/>
      <x:c r="J22" s="13" t="str"/>
      <x:c r="K22" s="13" t="str"/>
      <x:c r="L22" s="13" t="str">
        <x:v>未开始</x:v>
      </x:c>
    </x:row>
    <x:row r="23">
      <x:c r="A23" s="13" t="str">
        <x:v>EA-018</x:v>
      </x:c>
      <x:c r="B23" s="13" t="str"/>
      <x:c r="C23" s="13" t="str"/>
      <x:c r="D23" s="18"/>
      <x:c r="E23" s="19" t="n">
        <x:v>0</x:v>
      </x:c>
      <x:c r="F23" s="13" t="str">
        <x:f>IF(D23="","",TODAY()-D23)</x:f>
      </x:c>
      <x:c r="G23" s="13" t="str"/>
      <x:c r="H23" s="13" t="str"/>
      <x:c r="I23" s="15"/>
      <x:c r="J23" s="13" t="str"/>
      <x:c r="K23" s="13" t="str"/>
      <x:c r="L23" s="13" t="str">
        <x:v>未开始</x:v>
      </x:c>
    </x:row>
    <x:row r="24">
      <x:c r="A24" s="13" t="str">
        <x:v>EA-019</x:v>
      </x:c>
      <x:c r="B24" s="13" t="str"/>
      <x:c r="C24" s="13" t="str"/>
      <x:c r="D24" s="18"/>
      <x:c r="E24" s="19" t="n">
        <x:v>0</x:v>
      </x:c>
      <x:c r="F24" s="13" t="str">
        <x:f>IF(D24="","",TODAY()-D24)</x:f>
      </x:c>
      <x:c r="G24" s="13" t="str"/>
      <x:c r="H24" s="13" t="str"/>
      <x:c r="I24" s="15"/>
      <x:c r="J24" s="13" t="str"/>
      <x:c r="K24" s="13" t="str"/>
      <x:c r="L24" s="13" t="str">
        <x:v>未开始</x:v>
      </x:c>
    </x:row>
    <x:row r="25">
      <x:c r="A25" s="13" t="str">
        <x:v>EA-020</x:v>
      </x:c>
      <x:c r="B25" s="13" t="str"/>
      <x:c r="C25" s="13" t="str"/>
      <x:c r="D25" s="18"/>
      <x:c r="E25" s="19" t="n">
        <x:v>0</x:v>
      </x:c>
      <x:c r="F25" s="13" t="str">
        <x:f>IF(D25="","",TODAY()-D25)</x:f>
      </x:c>
      <x:c r="G25" s="13" t="str"/>
      <x:c r="H25" s="13" t="str"/>
      <x:c r="I25" s="15"/>
      <x:c r="J25" s="13" t="str"/>
      <x:c r="K25" s="13" t="str"/>
      <x:c r="L25" s="13" t="str">
        <x:v>未开始</x:v>
      </x:c>
    </x:row>
    <x:row r="26">
      <x:c r="A26" s="13" t="str">
        <x:v>EA-021</x:v>
      </x:c>
      <x:c r="B26" s="13" t="str"/>
      <x:c r="C26" s="13" t="str"/>
      <x:c r="D26" s="18"/>
      <x:c r="E26" s="19" t="n">
        <x:v>0</x:v>
      </x:c>
      <x:c r="F26" s="13" t="str">
        <x:f>IF(D26="","",TODAY()-D26)</x:f>
      </x:c>
      <x:c r="G26" s="13" t="str"/>
      <x:c r="H26" s="13" t="str"/>
      <x:c r="I26" s="15"/>
      <x:c r="J26" s="13" t="str"/>
      <x:c r="K26" s="13" t="str"/>
      <x:c r="L26" s="13" t="str">
        <x:v>未开始</x:v>
      </x:c>
    </x:row>
    <x:row r="27">
      <x:c r="A27" s="13" t="str">
        <x:v>EA-022</x:v>
      </x:c>
      <x:c r="B27" s="13" t="str"/>
      <x:c r="C27" s="13" t="str"/>
      <x:c r="D27" s="18"/>
      <x:c r="E27" s="19" t="n">
        <x:v>0</x:v>
      </x:c>
      <x:c r="F27" s="13" t="str">
        <x:f>IF(D27="","",TODAY()-D27)</x:f>
      </x:c>
      <x:c r="G27" s="13" t="str"/>
      <x:c r="H27" s="13" t="str"/>
      <x:c r="I27" s="15"/>
      <x:c r="J27" s="13" t="str"/>
      <x:c r="K27" s="13" t="str"/>
      <x:c r="L27" s="13" t="str">
        <x:v>未开始</x:v>
      </x:c>
    </x:row>
    <x:row r="28">
      <x:c r="A28" s="13" t="str">
        <x:v>EA-023</x:v>
      </x:c>
      <x:c r="B28" s="13" t="str"/>
      <x:c r="C28" s="13" t="str"/>
      <x:c r="D28" s="18"/>
      <x:c r="E28" s="19" t="n">
        <x:v>0</x:v>
      </x:c>
      <x:c r="F28" s="13" t="str">
        <x:f>IF(D28="","",TODAY()-D28)</x:f>
      </x:c>
      <x:c r="G28" s="13" t="str"/>
      <x:c r="H28" s="13" t="str"/>
      <x:c r="I28" s="15"/>
      <x:c r="J28" s="13" t="str"/>
      <x:c r="K28" s="13" t="str"/>
      <x:c r="L28" s="13" t="str">
        <x:v>未开始</x:v>
      </x:c>
    </x:row>
    <x:row r="29">
      <x:c r="A29" s="13" t="str">
        <x:v>EA-024</x:v>
      </x:c>
      <x:c r="B29" s="13" t="str"/>
      <x:c r="C29" s="13" t="str"/>
      <x:c r="D29" s="18"/>
      <x:c r="E29" s="19" t="n">
        <x:v>0</x:v>
      </x:c>
      <x:c r="F29" s="13" t="str">
        <x:f>IF(D29="","",TODAY()-D29)</x:f>
      </x:c>
      <x:c r="G29" s="13" t="str"/>
      <x:c r="H29" s="13" t="str"/>
      <x:c r="I29" s="15"/>
      <x:c r="J29" s="13" t="str"/>
      <x:c r="K29" s="13" t="str"/>
      <x:c r="L29" s="13" t="str">
        <x:v>未开始</x:v>
      </x:c>
    </x:row>
    <x:row r="30">
      <x:c r="A30" s="13" t="str">
        <x:v>EA-025</x:v>
      </x:c>
      <x:c r="B30" s="13" t="str"/>
      <x:c r="C30" s="13" t="str"/>
      <x:c r="D30" s="18"/>
      <x:c r="E30" s="19" t="n">
        <x:v>0</x:v>
      </x:c>
      <x:c r="F30" s="13" t="str">
        <x:f>IF(D30="","",TODAY()-D30)</x:f>
      </x:c>
      <x:c r="G30" s="13" t="str"/>
      <x:c r="H30" s="13" t="str"/>
      <x:c r="I30" s="15"/>
      <x:c r="J30" s="13" t="str"/>
      <x:c r="K30" s="13" t="str"/>
      <x:c r="L30" s="13" t="str">
        <x:v>未开始</x:v>
      </x:c>
    </x:row>
    <x:row r="31">
      <x:c r="A31" s="13" t="str">
        <x:v>EA-026</x:v>
      </x:c>
      <x:c r="B31" s="13" t="str"/>
      <x:c r="C31" s="13" t="str"/>
      <x:c r="D31" s="18"/>
      <x:c r="E31" s="19" t="n">
        <x:v>0</x:v>
      </x:c>
      <x:c r="F31" s="13" t="str">
        <x:f>IF(D31="","",TODAY()-D31)</x:f>
      </x:c>
      <x:c r="G31" s="13" t="str"/>
      <x:c r="H31" s="13" t="str"/>
      <x:c r="I31" s="15"/>
      <x:c r="J31" s="13" t="str"/>
      <x:c r="K31" s="13" t="str"/>
      <x:c r="L31" s="13" t="str">
        <x:v>未开始</x:v>
      </x:c>
    </x:row>
    <x:row r="32">
      <x:c r="A32" s="13" t="str">
        <x:v>EA-027</x:v>
      </x:c>
      <x:c r="B32" s="13" t="str"/>
      <x:c r="C32" s="13" t="str"/>
      <x:c r="D32" s="18"/>
      <x:c r="E32" s="19" t="n">
        <x:v>0</x:v>
      </x:c>
      <x:c r="F32" s="13" t="str">
        <x:f>IF(D32="","",TODAY()-D32)</x:f>
      </x:c>
      <x:c r="G32" s="13" t="str"/>
      <x:c r="H32" s="13" t="str"/>
      <x:c r="I32" s="15"/>
      <x:c r="J32" s="13" t="str"/>
      <x:c r="K32" s="13" t="str"/>
      <x:c r="L32" s="13" t="str">
        <x:v>未开始</x:v>
      </x:c>
    </x:row>
    <x:row r="33">
      <x:c r="A33" s="13" t="str">
        <x:v>EA-028</x:v>
      </x:c>
      <x:c r="B33" s="13" t="str"/>
      <x:c r="C33" s="13" t="str"/>
      <x:c r="D33" s="18"/>
      <x:c r="E33" s="19" t="n">
        <x:v>0</x:v>
      </x:c>
      <x:c r="F33" s="13" t="str">
        <x:f>IF(D33="","",TODAY()-D33)</x:f>
      </x:c>
      <x:c r="G33" s="13" t="str"/>
      <x:c r="H33" s="13" t="str"/>
      <x:c r="I33" s="15"/>
      <x:c r="J33" s="13" t="str"/>
      <x:c r="K33" s="13" t="str"/>
      <x:c r="L33" s="13" t="str">
        <x:v>未开始</x:v>
      </x:c>
    </x:row>
    <x:row r="34">
      <x:c r="A34" s="13" t="str">
        <x:v>EA-029</x:v>
      </x:c>
      <x:c r="B34" s="13" t="str"/>
      <x:c r="C34" s="13" t="str"/>
      <x:c r="D34" s="18"/>
      <x:c r="E34" s="19" t="n">
        <x:v>0</x:v>
      </x:c>
      <x:c r="F34" s="13" t="str">
        <x:f>IF(D34="","",TODAY()-D34)</x:f>
      </x:c>
      <x:c r="G34" s="13" t="str"/>
      <x:c r="H34" s="13" t="str"/>
      <x:c r="I34" s="15"/>
      <x:c r="J34" s="13" t="str"/>
      <x:c r="K34" s="13" t="str"/>
      <x:c r="L34" s="13" t="str">
        <x:v>未开始</x:v>
      </x:c>
    </x:row>
    <x:row r="35">
      <x:c r="A35" s="13" t="str">
        <x:v>EA-030</x:v>
      </x:c>
      <x:c r="B35" s="13" t="str"/>
      <x:c r="C35" s="13" t="str"/>
      <x:c r="D35" s="18"/>
      <x:c r="E35" s="19" t="n">
        <x:v>0</x:v>
      </x:c>
      <x:c r="F35" s="13" t="str">
        <x:f>IF(D35="","",TODAY()-D35)</x:f>
      </x:c>
      <x:c r="G35" s="13" t="str"/>
      <x:c r="H35" s="13" t="str"/>
      <x:c r="I35" s="15"/>
      <x:c r="J35" s="13" t="str"/>
      <x:c r="K35" s="13" t="str"/>
      <x:c r="L35" s="13" t="str">
        <x:v>未开始</x:v>
      </x:c>
    </x:row>
    <x:row r="36">
      <x:c r="A36" s="13" t="str">
        <x:v>EA-031</x:v>
      </x:c>
      <x:c r="B36" s="13" t="str"/>
      <x:c r="C36" s="13" t="str"/>
      <x:c r="D36" s="18"/>
      <x:c r="E36" s="19" t="n">
        <x:v>0</x:v>
      </x:c>
      <x:c r="F36" s="13" t="str">
        <x:f>IF(D36="","",TODAY()-D36)</x:f>
      </x:c>
      <x:c r="G36" s="13" t="str"/>
      <x:c r="H36" s="13" t="str"/>
      <x:c r="I36" s="15"/>
      <x:c r="J36" s="13" t="str"/>
      <x:c r="K36" s="13" t="str"/>
      <x:c r="L36" s="13" t="str">
        <x:v>未开始</x:v>
      </x:c>
    </x:row>
    <x:row r="37">
      <x:c r="A37" s="13" t="str">
        <x:v>EA-032</x:v>
      </x:c>
      <x:c r="B37" s="13" t="str"/>
      <x:c r="C37" s="13" t="str"/>
      <x:c r="D37" s="18"/>
      <x:c r="E37" s="19" t="n">
        <x:v>0</x:v>
      </x:c>
      <x:c r="F37" s="13" t="str">
        <x:f>IF(D37="","",TODAY()-D37)</x:f>
      </x:c>
      <x:c r="G37" s="13" t="str"/>
      <x:c r="H37" s="13" t="str"/>
      <x:c r="I37" s="15"/>
      <x:c r="J37" s="13" t="str"/>
      <x:c r="K37" s="13" t="str"/>
      <x:c r="L37" s="13" t="str">
        <x:v>未开始</x:v>
      </x:c>
    </x:row>
    <x:row r="38">
      <x:c r="A38" s="13" t="str">
        <x:v>EA-033</x:v>
      </x:c>
      <x:c r="B38" s="13" t="str"/>
      <x:c r="C38" s="13" t="str"/>
      <x:c r="D38" s="18"/>
      <x:c r="E38" s="19" t="n">
        <x:v>0</x:v>
      </x:c>
      <x:c r="F38" s="13" t="str">
        <x:f>IF(D38="","",TODAY()-D38)</x:f>
      </x:c>
      <x:c r="G38" s="13" t="str"/>
      <x:c r="H38" s="13" t="str"/>
      <x:c r="I38" s="15"/>
      <x:c r="J38" s="13" t="str"/>
      <x:c r="K38" s="13" t="str"/>
      <x:c r="L38" s="13" t="str">
        <x:v>未开始</x:v>
      </x:c>
    </x:row>
    <x:row r="39">
      <x:c r="A39" s="13" t="str">
        <x:v>EA-034</x:v>
      </x:c>
      <x:c r="B39" s="13" t="str"/>
      <x:c r="C39" s="13" t="str"/>
      <x:c r="D39" s="18"/>
      <x:c r="E39" s="19" t="n">
        <x:v>0</x:v>
      </x:c>
      <x:c r="F39" s="13" t="str">
        <x:f>IF(D39="","",TODAY()-D39)</x:f>
      </x:c>
      <x:c r="G39" s="13" t="str"/>
      <x:c r="H39" s="13" t="str"/>
      <x:c r="I39" s="15"/>
      <x:c r="J39" s="13" t="str"/>
      <x:c r="K39" s="13" t="str"/>
      <x:c r="L39" s="13" t="str">
        <x:v>未开始</x:v>
      </x:c>
    </x:row>
    <x:row r="40">
      <x:c r="A40" s="13" t="str">
        <x:v>EA-035</x:v>
      </x:c>
      <x:c r="B40" s="13" t="str"/>
      <x:c r="C40" s="13" t="str"/>
      <x:c r="D40" s="18"/>
      <x:c r="E40" s="19" t="n">
        <x:v>0</x:v>
      </x:c>
      <x:c r="F40" s="13" t="str">
        <x:f>IF(D40="","",TODAY()-D40)</x:f>
      </x:c>
      <x:c r="G40" s="13" t="str"/>
      <x:c r="H40" s="13" t="str"/>
      <x:c r="I40" s="15"/>
      <x:c r="J40" s="13" t="str"/>
      <x:c r="K40" s="13" t="str"/>
      <x:c r="L40" s="13" t="str">
        <x:v>未开始</x:v>
      </x:c>
    </x:row>
    <x:row r="41">
      <x:c r="A41" s="13" t="str">
        <x:v>EA-036</x:v>
      </x:c>
      <x:c r="B41" s="13" t="str"/>
      <x:c r="C41" s="13" t="str"/>
      <x:c r="D41" s="18"/>
      <x:c r="E41" s="19" t="n">
        <x:v>0</x:v>
      </x:c>
      <x:c r="F41" s="13" t="str">
        <x:f>IF(D41="","",TODAY()-D41)</x:f>
      </x:c>
      <x:c r="G41" s="13" t="str"/>
      <x:c r="H41" s="13" t="str"/>
      <x:c r="I41" s="15"/>
      <x:c r="J41" s="13" t="str"/>
      <x:c r="K41" s="13" t="str"/>
      <x:c r="L41" s="13" t="str">
        <x:v>未开始</x:v>
      </x:c>
    </x:row>
    <x:row r="42">
      <x:c r="A42" s="13" t="str">
        <x:v>EA-037</x:v>
      </x:c>
      <x:c r="B42" s="13" t="str"/>
      <x:c r="C42" s="13" t="str"/>
      <x:c r="D42" s="18"/>
      <x:c r="E42" s="19" t="n">
        <x:v>0</x:v>
      </x:c>
      <x:c r="F42" s="13" t="str">
        <x:f>IF(D42="","",TODAY()-D42)</x:f>
      </x:c>
      <x:c r="G42" s="13" t="str"/>
      <x:c r="H42" s="13" t="str"/>
      <x:c r="I42" s="15"/>
      <x:c r="J42" s="13" t="str"/>
      <x:c r="K42" s="13" t="str"/>
      <x:c r="L42" s="13" t="str">
        <x:v>未开始</x:v>
      </x:c>
    </x:row>
    <x:row r="43">
      <x:c r="A43" s="13" t="str">
        <x:v>EA-038</x:v>
      </x:c>
      <x:c r="B43" s="13" t="str"/>
      <x:c r="C43" s="13" t="str"/>
      <x:c r="D43" s="18"/>
      <x:c r="E43" s="19" t="n">
        <x:v>0</x:v>
      </x:c>
      <x:c r="F43" s="13" t="str">
        <x:f>IF(D43="","",TODAY()-D43)</x:f>
      </x:c>
      <x:c r="G43" s="13" t="str"/>
      <x:c r="H43" s="13" t="str"/>
      <x:c r="I43" s="15"/>
      <x:c r="J43" s="13" t="str"/>
      <x:c r="K43" s="13" t="str"/>
      <x:c r="L43" s="13" t="str">
        <x:v>未开始</x:v>
      </x:c>
    </x:row>
    <x:row r="44">
      <x:c r="A44" s="13" t="str">
        <x:v>EA-039</x:v>
      </x:c>
      <x:c r="B44" s="13" t="str"/>
      <x:c r="C44" s="13" t="str"/>
      <x:c r="D44" s="18"/>
      <x:c r="E44" s="19" t="n">
        <x:v>0</x:v>
      </x:c>
      <x:c r="F44" s="13" t="str">
        <x:f>IF(D44="","",TODAY()-D44)</x:f>
      </x:c>
      <x:c r="G44" s="13" t="str"/>
      <x:c r="H44" s="13" t="str"/>
      <x:c r="I44" s="15"/>
      <x:c r="J44" s="13" t="str"/>
      <x:c r="K44" s="13" t="str"/>
      <x:c r="L44" s="13" t="str">
        <x:v>未开始</x:v>
      </x:c>
    </x:row>
    <x:row r="45">
      <x:c r="A45" s="13" t="str">
        <x:v>EA-040</x:v>
      </x:c>
      <x:c r="B45" s="13" t="str"/>
      <x:c r="C45" s="13" t="str"/>
      <x:c r="D45" s="18"/>
      <x:c r="E45" s="19" t="n">
        <x:v>0</x:v>
      </x:c>
      <x:c r="F45" s="13" t="str">
        <x:f>IF(D45="","",TODAY()-D45)</x:f>
      </x:c>
      <x:c r="G45" s="13" t="str"/>
      <x:c r="H45" s="13" t="str"/>
      <x:c r="I45" s="15"/>
      <x:c r="J45" s="13" t="str"/>
      <x:c r="K45" s="13" t="str"/>
      <x:c r="L45" s="13" t="str">
        <x:v>未开始</x:v>
      </x:c>
    </x:row>
  </x:sheetData>
  <x:mergeCells>
    <x:mergeCell ref="A1:L1"/>
    <x:mergeCell ref="A2:L2"/>
  </x:mergeCells>
  <x:conditionalFormatting sqref="L6:L45">
    <x:cfRule type="containsText" dxfId="27" priority="1" operator="containsText" text="已完成"/>
    <x:cfRule type="containsText" dxfId="28" priority="2" operator="containsText" text="未开始"/>
    <x:cfRule type="containsText" dxfId="29" priority="3" operator="containsText" text="异常"/>
  </x:conditionalFormatting>
  <x:dataValidations count="1">
    <x:dataValidation type="list" sqref="L6:L4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bda1375f984d8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13" hidden="0" customWidth="1"/>
    <x:col min="5" max="5" width="15" hidden="0" customWidth="1"/>
    <x:col min="6" max="6" width="12" hidden="0" customWidth="1"/>
    <x:col min="7" max="7" width="28" hidden="0" customWidth="1"/>
    <x:col min="8" max="8" width="30" hidden="0" customWidth="1"/>
    <x:col min="9" max="9" width="13" hidden="0" customWidth="1"/>
    <x:col min="10" max="10" width="13" hidden="0" customWidth="1"/>
    <x:col min="11" max="11" width="28" hidden="0" customWidth="1"/>
    <x:col min="12" max="12" width="11" hidden="0" customWidth="1"/>
  </x:cols>
  <x:sheetData>
    <x:row r="1" ht="30" customHeight="1">
      <x:c r="A1" s="1" t="str">
        <x:v>关联方往来核对</x:v>
      </x:c>
    </x:row>
    <x:row r="2" ht="25" customHeight="1">
      <x:c r="A2" s="3" t="str">
        <x:v>重大、逾期或长期未清事项需要责任人、期限和关闭证据。</x:v>
      </x:c>
    </x:row>
    <x:row r="5" ht="35" customHeight="1">
      <x:c r="A5" s="9" t="str">
        <x:v>编号</x:v>
      </x:c>
      <x:c r="B5" s="9" t="str">
        <x:v>对象/人员</x:v>
      </x:c>
      <x:c r="C5" s="9" t="str">
        <x:v>事项</x:v>
      </x:c>
      <x:c r="D5" s="9" t="str">
        <x:v>发生日</x:v>
      </x:c>
      <x:c r="E5" s="9" t="str">
        <x:v>金额</x:v>
      </x:c>
      <x:c r="F5" s="9" t="str">
        <x:v>账龄天数</x:v>
      </x:c>
      <x:c r="G5" s="9" t="str">
        <x:v>原因</x:v>
      </x:c>
      <x:c r="H5" s="9" t="str">
        <x:v>处理动作</x:v>
      </x:c>
      <x:c r="I5" s="9" t="str">
        <x:v>期限</x:v>
      </x:c>
      <x:c r="J5" s="9" t="str">
        <x:v>责任人</x:v>
      </x:c>
      <x:c r="K5" s="9" t="str">
        <x:v>关闭证据</x:v>
      </x:c>
      <x:c r="L5" s="9" t="str">
        <x:v>状态</x:v>
      </x:c>
    </x:row>
    <x:row r="6">
      <x:c r="A6" s="13" t="str">
        <x:v>RP-001</x:v>
      </x:c>
      <x:c r="B6" s="13" t="str"/>
      <x:c r="C6" s="13" t="str"/>
      <x:c r="D6" s="18"/>
      <x:c r="E6" s="19" t="n">
        <x:v>0</x:v>
      </x:c>
      <x:c r="F6" s="13" t="str">
        <x:f>IF(D6="","",TODAY()-D6)</x:f>
      </x:c>
      <x:c r="G6" s="13" t="str"/>
      <x:c r="H6" s="13" t="str"/>
      <x:c r="I6" s="15"/>
      <x:c r="J6" s="13" t="str"/>
      <x:c r="K6" s="13" t="str"/>
      <x:c r="L6" s="13" t="str">
        <x:v>未开始</x:v>
      </x:c>
    </x:row>
    <x:row r="7">
      <x:c r="A7" s="13" t="str">
        <x:v>RP-002</x:v>
      </x:c>
      <x:c r="B7" s="13" t="str"/>
      <x:c r="C7" s="13" t="str"/>
      <x:c r="D7" s="18"/>
      <x:c r="E7" s="19" t="n">
        <x:v>0</x:v>
      </x:c>
      <x:c r="F7" s="13" t="str">
        <x:f>IF(D7="","",TODAY()-D7)</x:f>
      </x:c>
      <x:c r="G7" s="13" t="str"/>
      <x:c r="H7" s="13" t="str"/>
      <x:c r="I7" s="15"/>
      <x:c r="J7" s="13" t="str"/>
      <x:c r="K7" s="13" t="str"/>
      <x:c r="L7" s="13" t="str">
        <x:v>未开始</x:v>
      </x:c>
    </x:row>
    <x:row r="8">
      <x:c r="A8" s="13" t="str">
        <x:v>RP-003</x:v>
      </x:c>
      <x:c r="B8" s="13" t="str"/>
      <x:c r="C8" s="13" t="str"/>
      <x:c r="D8" s="18"/>
      <x:c r="E8" s="19" t="n">
        <x:v>0</x:v>
      </x:c>
      <x:c r="F8" s="13" t="str">
        <x:f>IF(D8="","",TODAY()-D8)</x:f>
      </x:c>
      <x:c r="G8" s="13" t="str"/>
      <x:c r="H8" s="13" t="str"/>
      <x:c r="I8" s="15"/>
      <x:c r="J8" s="13" t="str"/>
      <x:c r="K8" s="13" t="str"/>
      <x:c r="L8" s="13" t="str">
        <x:v>未开始</x:v>
      </x:c>
    </x:row>
    <x:row r="9">
      <x:c r="A9" s="13" t="str">
        <x:v>RP-004</x:v>
      </x:c>
      <x:c r="B9" s="13" t="str"/>
      <x:c r="C9" s="13" t="str"/>
      <x:c r="D9" s="18"/>
      <x:c r="E9" s="19" t="n">
        <x:v>0</x:v>
      </x:c>
      <x:c r="F9" s="13" t="str">
        <x:f>IF(D9="","",TODAY()-D9)</x:f>
      </x:c>
      <x:c r="G9" s="13" t="str"/>
      <x:c r="H9" s="13" t="str"/>
      <x:c r="I9" s="15"/>
      <x:c r="J9" s="13" t="str"/>
      <x:c r="K9" s="13" t="str"/>
      <x:c r="L9" s="13" t="str">
        <x:v>未开始</x:v>
      </x:c>
    </x:row>
    <x:row r="10">
      <x:c r="A10" s="13" t="str">
        <x:v>RP-005</x:v>
      </x:c>
      <x:c r="B10" s="13" t="str"/>
      <x:c r="C10" s="13" t="str"/>
      <x:c r="D10" s="18"/>
      <x:c r="E10" s="19" t="n">
        <x:v>0</x:v>
      </x:c>
      <x:c r="F10" s="13" t="str">
        <x:f>IF(D10="","",TODAY()-D10)</x:f>
      </x:c>
      <x:c r="G10" s="13" t="str"/>
      <x:c r="H10" s="13" t="str"/>
      <x:c r="I10" s="15"/>
      <x:c r="J10" s="13" t="str"/>
      <x:c r="K10" s="13" t="str"/>
      <x:c r="L10" s="13" t="str">
        <x:v>未开始</x:v>
      </x:c>
    </x:row>
    <x:row r="11">
      <x:c r="A11" s="13" t="str">
        <x:v>RP-006</x:v>
      </x:c>
      <x:c r="B11" s="13" t="str"/>
      <x:c r="C11" s="13" t="str"/>
      <x:c r="D11" s="18"/>
      <x:c r="E11" s="19" t="n">
        <x:v>0</x:v>
      </x:c>
      <x:c r="F11" s="13" t="str">
        <x:f>IF(D11="","",TODAY()-D11)</x:f>
      </x:c>
      <x:c r="G11" s="13" t="str"/>
      <x:c r="H11" s="13" t="str"/>
      <x:c r="I11" s="15"/>
      <x:c r="J11" s="13" t="str"/>
      <x:c r="K11" s="13" t="str"/>
      <x:c r="L11" s="13" t="str">
        <x:v>未开始</x:v>
      </x:c>
    </x:row>
    <x:row r="12">
      <x:c r="A12" s="13" t="str">
        <x:v>RP-007</x:v>
      </x:c>
      <x:c r="B12" s="13" t="str"/>
      <x:c r="C12" s="13" t="str"/>
      <x:c r="D12" s="18"/>
      <x:c r="E12" s="19" t="n">
        <x:v>0</x:v>
      </x:c>
      <x:c r="F12" s="13" t="str">
        <x:f>IF(D12="","",TODAY()-D12)</x:f>
      </x:c>
      <x:c r="G12" s="13" t="str"/>
      <x:c r="H12" s="13" t="str"/>
      <x:c r="I12" s="15"/>
      <x:c r="J12" s="13" t="str"/>
      <x:c r="K12" s="13" t="str"/>
      <x:c r="L12" s="13" t="str">
        <x:v>未开始</x:v>
      </x:c>
    </x:row>
    <x:row r="13">
      <x:c r="A13" s="13" t="str">
        <x:v>RP-008</x:v>
      </x:c>
      <x:c r="B13" s="13" t="str"/>
      <x:c r="C13" s="13" t="str"/>
      <x:c r="D13" s="18"/>
      <x:c r="E13" s="19" t="n">
        <x:v>0</x:v>
      </x:c>
      <x:c r="F13" s="13" t="str">
        <x:f>IF(D13="","",TODAY()-D13)</x:f>
      </x:c>
      <x:c r="G13" s="13" t="str"/>
      <x:c r="H13" s="13" t="str"/>
      <x:c r="I13" s="15"/>
      <x:c r="J13" s="13" t="str"/>
      <x:c r="K13" s="13" t="str"/>
      <x:c r="L13" s="13" t="str">
        <x:v>未开始</x:v>
      </x:c>
    </x:row>
    <x:row r="14">
      <x:c r="A14" s="13" t="str">
        <x:v>RP-009</x:v>
      </x:c>
      <x:c r="B14" s="13" t="str"/>
      <x:c r="C14" s="13" t="str"/>
      <x:c r="D14" s="18"/>
      <x:c r="E14" s="19" t="n">
        <x:v>0</x:v>
      </x:c>
      <x:c r="F14" s="13" t="str">
        <x:f>IF(D14="","",TODAY()-D14)</x:f>
      </x:c>
      <x:c r="G14" s="13" t="str"/>
      <x:c r="H14" s="13" t="str"/>
      <x:c r="I14" s="15"/>
      <x:c r="J14" s="13" t="str"/>
      <x:c r="K14" s="13" t="str"/>
      <x:c r="L14" s="13" t="str">
        <x:v>未开始</x:v>
      </x:c>
    </x:row>
    <x:row r="15">
      <x:c r="A15" s="13" t="str">
        <x:v>RP-010</x:v>
      </x:c>
      <x:c r="B15" s="13" t="str"/>
      <x:c r="C15" s="13" t="str"/>
      <x:c r="D15" s="18"/>
      <x:c r="E15" s="19" t="n">
        <x:v>0</x:v>
      </x:c>
      <x:c r="F15" s="13" t="str">
        <x:f>IF(D15="","",TODAY()-D15)</x:f>
      </x:c>
      <x:c r="G15" s="13" t="str"/>
      <x:c r="H15" s="13" t="str"/>
      <x:c r="I15" s="15"/>
      <x:c r="J15" s="13" t="str"/>
      <x:c r="K15" s="13" t="str"/>
      <x:c r="L15" s="13" t="str">
        <x:v>未开始</x:v>
      </x:c>
    </x:row>
    <x:row r="16">
      <x:c r="A16" s="13" t="str">
        <x:v>RP-011</x:v>
      </x:c>
      <x:c r="B16" s="13" t="str"/>
      <x:c r="C16" s="13" t="str"/>
      <x:c r="D16" s="18"/>
      <x:c r="E16" s="19" t="n">
        <x:v>0</x:v>
      </x:c>
      <x:c r="F16" s="13" t="str">
        <x:f>IF(D16="","",TODAY()-D16)</x:f>
      </x:c>
      <x:c r="G16" s="13" t="str"/>
      <x:c r="H16" s="13" t="str"/>
      <x:c r="I16" s="15"/>
      <x:c r="J16" s="13" t="str"/>
      <x:c r="K16" s="13" t="str"/>
      <x:c r="L16" s="13" t="str">
        <x:v>未开始</x:v>
      </x:c>
    </x:row>
    <x:row r="17">
      <x:c r="A17" s="13" t="str">
        <x:v>RP-012</x:v>
      </x:c>
      <x:c r="B17" s="13" t="str"/>
      <x:c r="C17" s="13" t="str"/>
      <x:c r="D17" s="18"/>
      <x:c r="E17" s="19" t="n">
        <x:v>0</x:v>
      </x:c>
      <x:c r="F17" s="13" t="str">
        <x:f>IF(D17="","",TODAY()-D17)</x:f>
      </x:c>
      <x:c r="G17" s="13" t="str"/>
      <x:c r="H17" s="13" t="str"/>
      <x:c r="I17" s="15"/>
      <x:c r="J17" s="13" t="str"/>
      <x:c r="K17" s="13" t="str"/>
      <x:c r="L17" s="13" t="str">
        <x:v>未开始</x:v>
      </x:c>
    </x:row>
    <x:row r="18">
      <x:c r="A18" s="13" t="str">
        <x:v>RP-013</x:v>
      </x:c>
      <x:c r="B18" s="13" t="str"/>
      <x:c r="C18" s="13" t="str"/>
      <x:c r="D18" s="18"/>
      <x:c r="E18" s="19" t="n">
        <x:v>0</x:v>
      </x:c>
      <x:c r="F18" s="13" t="str">
        <x:f>IF(D18="","",TODAY()-D18)</x:f>
      </x:c>
      <x:c r="G18" s="13" t="str"/>
      <x:c r="H18" s="13" t="str"/>
      <x:c r="I18" s="15"/>
      <x:c r="J18" s="13" t="str"/>
      <x:c r="K18" s="13" t="str"/>
      <x:c r="L18" s="13" t="str">
        <x:v>未开始</x:v>
      </x:c>
    </x:row>
    <x:row r="19">
      <x:c r="A19" s="13" t="str">
        <x:v>RP-014</x:v>
      </x:c>
      <x:c r="B19" s="13" t="str"/>
      <x:c r="C19" s="13" t="str"/>
      <x:c r="D19" s="18"/>
      <x:c r="E19" s="19" t="n">
        <x:v>0</x:v>
      </x:c>
      <x:c r="F19" s="13" t="str">
        <x:f>IF(D19="","",TODAY()-D19)</x:f>
      </x:c>
      <x:c r="G19" s="13" t="str"/>
      <x:c r="H19" s="13" t="str"/>
      <x:c r="I19" s="15"/>
      <x:c r="J19" s="13" t="str"/>
      <x:c r="K19" s="13" t="str"/>
      <x:c r="L19" s="13" t="str">
        <x:v>未开始</x:v>
      </x:c>
    </x:row>
    <x:row r="20">
      <x:c r="A20" s="13" t="str">
        <x:v>RP-015</x:v>
      </x:c>
      <x:c r="B20" s="13" t="str"/>
      <x:c r="C20" s="13" t="str"/>
      <x:c r="D20" s="18"/>
      <x:c r="E20" s="19" t="n">
        <x:v>0</x:v>
      </x:c>
      <x:c r="F20" s="13" t="str">
        <x:f>IF(D20="","",TODAY()-D20)</x:f>
      </x:c>
      <x:c r="G20" s="13" t="str"/>
      <x:c r="H20" s="13" t="str"/>
      <x:c r="I20" s="15"/>
      <x:c r="J20" s="13" t="str"/>
      <x:c r="K20" s="13" t="str"/>
      <x:c r="L20" s="13" t="str">
        <x:v>未开始</x:v>
      </x:c>
    </x:row>
    <x:row r="21">
      <x:c r="A21" s="13" t="str">
        <x:v>RP-016</x:v>
      </x:c>
      <x:c r="B21" s="13" t="str"/>
      <x:c r="C21" s="13" t="str"/>
      <x:c r="D21" s="18"/>
      <x:c r="E21" s="19" t="n">
        <x:v>0</x:v>
      </x:c>
      <x:c r="F21" s="13" t="str">
        <x:f>IF(D21="","",TODAY()-D21)</x:f>
      </x:c>
      <x:c r="G21" s="13" t="str"/>
      <x:c r="H21" s="13" t="str"/>
      <x:c r="I21" s="15"/>
      <x:c r="J21" s="13" t="str"/>
      <x:c r="K21" s="13" t="str"/>
      <x:c r="L21" s="13" t="str">
        <x:v>未开始</x:v>
      </x:c>
    </x:row>
    <x:row r="22">
      <x:c r="A22" s="13" t="str">
        <x:v>RP-017</x:v>
      </x:c>
      <x:c r="B22" s="13" t="str"/>
      <x:c r="C22" s="13" t="str"/>
      <x:c r="D22" s="18"/>
      <x:c r="E22" s="19" t="n">
        <x:v>0</x:v>
      </x:c>
      <x:c r="F22" s="13" t="str">
        <x:f>IF(D22="","",TODAY()-D22)</x:f>
      </x:c>
      <x:c r="G22" s="13" t="str"/>
      <x:c r="H22" s="13" t="str"/>
      <x:c r="I22" s="15"/>
      <x:c r="J22" s="13" t="str"/>
      <x:c r="K22" s="13" t="str"/>
      <x:c r="L22" s="13" t="str">
        <x:v>未开始</x:v>
      </x:c>
    </x:row>
    <x:row r="23">
      <x:c r="A23" s="13" t="str">
        <x:v>RP-018</x:v>
      </x:c>
      <x:c r="B23" s="13" t="str"/>
      <x:c r="C23" s="13" t="str"/>
      <x:c r="D23" s="18"/>
      <x:c r="E23" s="19" t="n">
        <x:v>0</x:v>
      </x:c>
      <x:c r="F23" s="13" t="str">
        <x:f>IF(D23="","",TODAY()-D23)</x:f>
      </x:c>
      <x:c r="G23" s="13" t="str"/>
      <x:c r="H23" s="13" t="str"/>
      <x:c r="I23" s="15"/>
      <x:c r="J23" s="13" t="str"/>
      <x:c r="K23" s="13" t="str"/>
      <x:c r="L23" s="13" t="str">
        <x:v>未开始</x:v>
      </x:c>
    </x:row>
    <x:row r="24">
      <x:c r="A24" s="13" t="str">
        <x:v>RP-019</x:v>
      </x:c>
      <x:c r="B24" s="13" t="str"/>
      <x:c r="C24" s="13" t="str"/>
      <x:c r="D24" s="18"/>
      <x:c r="E24" s="19" t="n">
        <x:v>0</x:v>
      </x:c>
      <x:c r="F24" s="13" t="str">
        <x:f>IF(D24="","",TODAY()-D24)</x:f>
      </x:c>
      <x:c r="G24" s="13" t="str"/>
      <x:c r="H24" s="13" t="str"/>
      <x:c r="I24" s="15"/>
      <x:c r="J24" s="13" t="str"/>
      <x:c r="K24" s="13" t="str"/>
      <x:c r="L24" s="13" t="str">
        <x:v>未开始</x:v>
      </x:c>
    </x:row>
    <x:row r="25">
      <x:c r="A25" s="13" t="str">
        <x:v>RP-020</x:v>
      </x:c>
      <x:c r="B25" s="13" t="str"/>
      <x:c r="C25" s="13" t="str"/>
      <x:c r="D25" s="18"/>
      <x:c r="E25" s="19" t="n">
        <x:v>0</x:v>
      </x:c>
      <x:c r="F25" s="13" t="str">
        <x:f>IF(D25="","",TODAY()-D25)</x:f>
      </x:c>
      <x:c r="G25" s="13" t="str"/>
      <x:c r="H25" s="13" t="str"/>
      <x:c r="I25" s="15"/>
      <x:c r="J25" s="13" t="str"/>
      <x:c r="K25" s="13" t="str"/>
      <x:c r="L25" s="13" t="str">
        <x:v>未开始</x:v>
      </x:c>
    </x:row>
    <x:row r="26">
      <x:c r="A26" s="13" t="str">
        <x:v>RP-021</x:v>
      </x:c>
      <x:c r="B26" s="13" t="str"/>
      <x:c r="C26" s="13" t="str"/>
      <x:c r="D26" s="18"/>
      <x:c r="E26" s="19" t="n">
        <x:v>0</x:v>
      </x:c>
      <x:c r="F26" s="13" t="str">
        <x:f>IF(D26="","",TODAY()-D26)</x:f>
      </x:c>
      <x:c r="G26" s="13" t="str"/>
      <x:c r="H26" s="13" t="str"/>
      <x:c r="I26" s="15"/>
      <x:c r="J26" s="13" t="str"/>
      <x:c r="K26" s="13" t="str"/>
      <x:c r="L26" s="13" t="str">
        <x:v>未开始</x:v>
      </x:c>
    </x:row>
    <x:row r="27">
      <x:c r="A27" s="13" t="str">
        <x:v>RP-022</x:v>
      </x:c>
      <x:c r="B27" s="13" t="str"/>
      <x:c r="C27" s="13" t="str"/>
      <x:c r="D27" s="18"/>
      <x:c r="E27" s="19" t="n">
        <x:v>0</x:v>
      </x:c>
      <x:c r="F27" s="13" t="str">
        <x:f>IF(D27="","",TODAY()-D27)</x:f>
      </x:c>
      <x:c r="G27" s="13" t="str"/>
      <x:c r="H27" s="13" t="str"/>
      <x:c r="I27" s="15"/>
      <x:c r="J27" s="13" t="str"/>
      <x:c r="K27" s="13" t="str"/>
      <x:c r="L27" s="13" t="str">
        <x:v>未开始</x:v>
      </x:c>
    </x:row>
    <x:row r="28">
      <x:c r="A28" s="13" t="str">
        <x:v>RP-023</x:v>
      </x:c>
      <x:c r="B28" s="13" t="str"/>
      <x:c r="C28" s="13" t="str"/>
      <x:c r="D28" s="18"/>
      <x:c r="E28" s="19" t="n">
        <x:v>0</x:v>
      </x:c>
      <x:c r="F28" s="13" t="str">
        <x:f>IF(D28="","",TODAY()-D28)</x:f>
      </x:c>
      <x:c r="G28" s="13" t="str"/>
      <x:c r="H28" s="13" t="str"/>
      <x:c r="I28" s="15"/>
      <x:c r="J28" s="13" t="str"/>
      <x:c r="K28" s="13" t="str"/>
      <x:c r="L28" s="13" t="str">
        <x:v>未开始</x:v>
      </x:c>
    </x:row>
    <x:row r="29">
      <x:c r="A29" s="13" t="str">
        <x:v>RP-024</x:v>
      </x:c>
      <x:c r="B29" s="13" t="str"/>
      <x:c r="C29" s="13" t="str"/>
      <x:c r="D29" s="18"/>
      <x:c r="E29" s="19" t="n">
        <x:v>0</x:v>
      </x:c>
      <x:c r="F29" s="13" t="str">
        <x:f>IF(D29="","",TODAY()-D29)</x:f>
      </x:c>
      <x:c r="G29" s="13" t="str"/>
      <x:c r="H29" s="13" t="str"/>
      <x:c r="I29" s="15"/>
      <x:c r="J29" s="13" t="str"/>
      <x:c r="K29" s="13" t="str"/>
      <x:c r="L29" s="13" t="str">
        <x:v>未开始</x:v>
      </x:c>
    </x:row>
    <x:row r="30">
      <x:c r="A30" s="13" t="str">
        <x:v>RP-025</x:v>
      </x:c>
      <x:c r="B30" s="13" t="str"/>
      <x:c r="C30" s="13" t="str"/>
      <x:c r="D30" s="18"/>
      <x:c r="E30" s="19" t="n">
        <x:v>0</x:v>
      </x:c>
      <x:c r="F30" s="13" t="str">
        <x:f>IF(D30="","",TODAY()-D30)</x:f>
      </x:c>
      <x:c r="G30" s="13" t="str"/>
      <x:c r="H30" s="13" t="str"/>
      <x:c r="I30" s="15"/>
      <x:c r="J30" s="13" t="str"/>
      <x:c r="K30" s="13" t="str"/>
      <x:c r="L30" s="13" t="str">
        <x:v>未开始</x:v>
      </x:c>
    </x:row>
    <x:row r="31">
      <x:c r="A31" s="13" t="str">
        <x:v>RP-026</x:v>
      </x:c>
      <x:c r="B31" s="13" t="str"/>
      <x:c r="C31" s="13" t="str"/>
      <x:c r="D31" s="18"/>
      <x:c r="E31" s="19" t="n">
        <x:v>0</x:v>
      </x:c>
      <x:c r="F31" s="13" t="str">
        <x:f>IF(D31="","",TODAY()-D31)</x:f>
      </x:c>
      <x:c r="G31" s="13" t="str"/>
      <x:c r="H31" s="13" t="str"/>
      <x:c r="I31" s="15"/>
      <x:c r="J31" s="13" t="str"/>
      <x:c r="K31" s="13" t="str"/>
      <x:c r="L31" s="13" t="str">
        <x:v>未开始</x:v>
      </x:c>
    </x:row>
    <x:row r="32">
      <x:c r="A32" s="13" t="str">
        <x:v>RP-027</x:v>
      </x:c>
      <x:c r="B32" s="13" t="str"/>
      <x:c r="C32" s="13" t="str"/>
      <x:c r="D32" s="18"/>
      <x:c r="E32" s="19" t="n">
        <x:v>0</x:v>
      </x:c>
      <x:c r="F32" s="13" t="str">
        <x:f>IF(D32="","",TODAY()-D32)</x:f>
      </x:c>
      <x:c r="G32" s="13" t="str"/>
      <x:c r="H32" s="13" t="str"/>
      <x:c r="I32" s="15"/>
      <x:c r="J32" s="13" t="str"/>
      <x:c r="K32" s="13" t="str"/>
      <x:c r="L32" s="13" t="str">
        <x:v>未开始</x:v>
      </x:c>
    </x:row>
    <x:row r="33">
      <x:c r="A33" s="13" t="str">
        <x:v>RP-028</x:v>
      </x:c>
      <x:c r="B33" s="13" t="str"/>
      <x:c r="C33" s="13" t="str"/>
      <x:c r="D33" s="18"/>
      <x:c r="E33" s="19" t="n">
        <x:v>0</x:v>
      </x:c>
      <x:c r="F33" s="13" t="str">
        <x:f>IF(D33="","",TODAY()-D33)</x:f>
      </x:c>
      <x:c r="G33" s="13" t="str"/>
      <x:c r="H33" s="13" t="str"/>
      <x:c r="I33" s="15"/>
      <x:c r="J33" s="13" t="str"/>
      <x:c r="K33" s="13" t="str"/>
      <x:c r="L33" s="13" t="str">
        <x:v>未开始</x:v>
      </x:c>
    </x:row>
    <x:row r="34">
      <x:c r="A34" s="13" t="str">
        <x:v>RP-029</x:v>
      </x:c>
      <x:c r="B34" s="13" t="str"/>
      <x:c r="C34" s="13" t="str"/>
      <x:c r="D34" s="18"/>
      <x:c r="E34" s="19" t="n">
        <x:v>0</x:v>
      </x:c>
      <x:c r="F34" s="13" t="str">
        <x:f>IF(D34="","",TODAY()-D34)</x:f>
      </x:c>
      <x:c r="G34" s="13" t="str"/>
      <x:c r="H34" s="13" t="str"/>
      <x:c r="I34" s="15"/>
      <x:c r="J34" s="13" t="str"/>
      <x:c r="K34" s="13" t="str"/>
      <x:c r="L34" s="13" t="str">
        <x:v>未开始</x:v>
      </x:c>
    </x:row>
    <x:row r="35">
      <x:c r="A35" s="13" t="str">
        <x:v>RP-030</x:v>
      </x:c>
      <x:c r="B35" s="13" t="str"/>
      <x:c r="C35" s="13" t="str"/>
      <x:c r="D35" s="18"/>
      <x:c r="E35" s="19" t="n">
        <x:v>0</x:v>
      </x:c>
      <x:c r="F35" s="13" t="str">
        <x:f>IF(D35="","",TODAY()-D35)</x:f>
      </x:c>
      <x:c r="G35" s="13" t="str"/>
      <x:c r="H35" s="13" t="str"/>
      <x:c r="I35" s="15"/>
      <x:c r="J35" s="13" t="str"/>
      <x:c r="K35" s="13" t="str"/>
      <x:c r="L35" s="13" t="str">
        <x:v>未开始</x:v>
      </x:c>
    </x:row>
    <x:row r="36">
      <x:c r="A36" s="13" t="str">
        <x:v>RP-031</x:v>
      </x:c>
      <x:c r="B36" s="13" t="str"/>
      <x:c r="C36" s="13" t="str"/>
      <x:c r="D36" s="18"/>
      <x:c r="E36" s="19" t="n">
        <x:v>0</x:v>
      </x:c>
      <x:c r="F36" s="13" t="str">
        <x:f>IF(D36="","",TODAY()-D36)</x:f>
      </x:c>
      <x:c r="G36" s="13" t="str"/>
      <x:c r="H36" s="13" t="str"/>
      <x:c r="I36" s="15"/>
      <x:c r="J36" s="13" t="str"/>
      <x:c r="K36" s="13" t="str"/>
      <x:c r="L36" s="13" t="str">
        <x:v>未开始</x:v>
      </x:c>
    </x:row>
    <x:row r="37">
      <x:c r="A37" s="13" t="str">
        <x:v>RP-032</x:v>
      </x:c>
      <x:c r="B37" s="13" t="str"/>
      <x:c r="C37" s="13" t="str"/>
      <x:c r="D37" s="18"/>
      <x:c r="E37" s="19" t="n">
        <x:v>0</x:v>
      </x:c>
      <x:c r="F37" s="13" t="str">
        <x:f>IF(D37="","",TODAY()-D37)</x:f>
      </x:c>
      <x:c r="G37" s="13" t="str"/>
      <x:c r="H37" s="13" t="str"/>
      <x:c r="I37" s="15"/>
      <x:c r="J37" s="13" t="str"/>
      <x:c r="K37" s="13" t="str"/>
      <x:c r="L37" s="13" t="str">
        <x:v>未开始</x:v>
      </x:c>
    </x:row>
    <x:row r="38">
      <x:c r="A38" s="13" t="str">
        <x:v>RP-033</x:v>
      </x:c>
      <x:c r="B38" s="13" t="str"/>
      <x:c r="C38" s="13" t="str"/>
      <x:c r="D38" s="18"/>
      <x:c r="E38" s="19" t="n">
        <x:v>0</x:v>
      </x:c>
      <x:c r="F38" s="13" t="str">
        <x:f>IF(D38="","",TODAY()-D38)</x:f>
      </x:c>
      <x:c r="G38" s="13" t="str"/>
      <x:c r="H38" s="13" t="str"/>
      <x:c r="I38" s="15"/>
      <x:c r="J38" s="13" t="str"/>
      <x:c r="K38" s="13" t="str"/>
      <x:c r="L38" s="13" t="str">
        <x:v>未开始</x:v>
      </x:c>
    </x:row>
    <x:row r="39">
      <x:c r="A39" s="13" t="str">
        <x:v>RP-034</x:v>
      </x:c>
      <x:c r="B39" s="13" t="str"/>
      <x:c r="C39" s="13" t="str"/>
      <x:c r="D39" s="18"/>
      <x:c r="E39" s="19" t="n">
        <x:v>0</x:v>
      </x:c>
      <x:c r="F39" s="13" t="str">
        <x:f>IF(D39="","",TODAY()-D39)</x:f>
      </x:c>
      <x:c r="G39" s="13" t="str"/>
      <x:c r="H39" s="13" t="str"/>
      <x:c r="I39" s="15"/>
      <x:c r="J39" s="13" t="str"/>
      <x:c r="K39" s="13" t="str"/>
      <x:c r="L39" s="13" t="str">
        <x:v>未开始</x:v>
      </x:c>
    </x:row>
    <x:row r="40">
      <x:c r="A40" s="13" t="str">
        <x:v>RP-035</x:v>
      </x:c>
      <x:c r="B40" s="13" t="str"/>
      <x:c r="C40" s="13" t="str"/>
      <x:c r="D40" s="18"/>
      <x:c r="E40" s="19" t="n">
        <x:v>0</x:v>
      </x:c>
      <x:c r="F40" s="13" t="str">
        <x:f>IF(D40="","",TODAY()-D40)</x:f>
      </x:c>
      <x:c r="G40" s="13" t="str"/>
      <x:c r="H40" s="13" t="str"/>
      <x:c r="I40" s="15"/>
      <x:c r="J40" s="13" t="str"/>
      <x:c r="K40" s="13" t="str"/>
      <x:c r="L40" s="13" t="str">
        <x:v>未开始</x:v>
      </x:c>
    </x:row>
    <x:row r="41">
      <x:c r="A41" s="13" t="str">
        <x:v>RP-036</x:v>
      </x:c>
      <x:c r="B41" s="13" t="str"/>
      <x:c r="C41" s="13" t="str"/>
      <x:c r="D41" s="18"/>
      <x:c r="E41" s="19" t="n">
        <x:v>0</x:v>
      </x:c>
      <x:c r="F41" s="13" t="str">
        <x:f>IF(D41="","",TODAY()-D41)</x:f>
      </x:c>
      <x:c r="G41" s="13" t="str"/>
      <x:c r="H41" s="13" t="str"/>
      <x:c r="I41" s="15"/>
      <x:c r="J41" s="13" t="str"/>
      <x:c r="K41" s="13" t="str"/>
      <x:c r="L41" s="13" t="str">
        <x:v>未开始</x:v>
      </x:c>
    </x:row>
    <x:row r="42">
      <x:c r="A42" s="13" t="str">
        <x:v>RP-037</x:v>
      </x:c>
      <x:c r="B42" s="13" t="str"/>
      <x:c r="C42" s="13" t="str"/>
      <x:c r="D42" s="18"/>
      <x:c r="E42" s="19" t="n">
        <x:v>0</x:v>
      </x:c>
      <x:c r="F42" s="13" t="str">
        <x:f>IF(D42="","",TODAY()-D42)</x:f>
      </x:c>
      <x:c r="G42" s="13" t="str"/>
      <x:c r="H42" s="13" t="str"/>
      <x:c r="I42" s="15"/>
      <x:c r="J42" s="13" t="str"/>
      <x:c r="K42" s="13" t="str"/>
      <x:c r="L42" s="13" t="str">
        <x:v>未开始</x:v>
      </x:c>
    </x:row>
    <x:row r="43">
      <x:c r="A43" s="13" t="str">
        <x:v>RP-038</x:v>
      </x:c>
      <x:c r="B43" s="13" t="str"/>
      <x:c r="C43" s="13" t="str"/>
      <x:c r="D43" s="18"/>
      <x:c r="E43" s="19" t="n">
        <x:v>0</x:v>
      </x:c>
      <x:c r="F43" s="13" t="str">
        <x:f>IF(D43="","",TODAY()-D43)</x:f>
      </x:c>
      <x:c r="G43" s="13" t="str"/>
      <x:c r="H43" s="13" t="str"/>
      <x:c r="I43" s="15"/>
      <x:c r="J43" s="13" t="str"/>
      <x:c r="K43" s="13" t="str"/>
      <x:c r="L43" s="13" t="str">
        <x:v>未开始</x:v>
      </x:c>
    </x:row>
    <x:row r="44">
      <x:c r="A44" s="13" t="str">
        <x:v>RP-039</x:v>
      </x:c>
      <x:c r="B44" s="13" t="str"/>
      <x:c r="C44" s="13" t="str"/>
      <x:c r="D44" s="18"/>
      <x:c r="E44" s="19" t="n">
        <x:v>0</x:v>
      </x:c>
      <x:c r="F44" s="13" t="str">
        <x:f>IF(D44="","",TODAY()-D44)</x:f>
      </x:c>
      <x:c r="G44" s="13" t="str"/>
      <x:c r="H44" s="13" t="str"/>
      <x:c r="I44" s="15"/>
      <x:c r="J44" s="13" t="str"/>
      <x:c r="K44" s="13" t="str"/>
      <x:c r="L44" s="13" t="str">
        <x:v>未开始</x:v>
      </x:c>
    </x:row>
    <x:row r="45">
      <x:c r="A45" s="13" t="str">
        <x:v>RP-040</x:v>
      </x:c>
      <x:c r="B45" s="13" t="str"/>
      <x:c r="C45" s="13" t="str"/>
      <x:c r="D45" s="18"/>
      <x:c r="E45" s="19" t="n">
        <x:v>0</x:v>
      </x:c>
      <x:c r="F45" s="13" t="str">
        <x:f>IF(D45="","",TODAY()-D45)</x:f>
      </x:c>
      <x:c r="G45" s="13" t="str"/>
      <x:c r="H45" s="13" t="str"/>
      <x:c r="I45" s="15"/>
      <x:c r="J45" s="13" t="str"/>
      <x:c r="K45" s="13" t="str"/>
      <x:c r="L45" s="13" t="str">
        <x:v>未开始</x:v>
      </x:c>
    </x:row>
  </x:sheetData>
  <x:mergeCells>
    <x:mergeCell ref="A1:L1"/>
    <x:mergeCell ref="A2:L2"/>
  </x:mergeCells>
  <x:conditionalFormatting sqref="L6:L45">
    <x:cfRule type="containsText" dxfId="30" priority="1" operator="containsText" text="已完成"/>
    <x:cfRule type="containsText" dxfId="31" priority="2" operator="containsText" text="未开始"/>
    <x:cfRule type="containsText" dxfId="32" priority="3" operator="containsText" text="异常"/>
  </x:conditionalFormatting>
  <x:dataValidations count="1">
    <x:dataValidation type="list" sqref="L6:L4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2ecca5cbd847f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26" hidden="0" customWidth="1"/>
    <x:col min="4" max="4" width="16" hidden="0" customWidth="1"/>
    <x:col min="5" max="5" width="16" hidden="0" customWidth="1"/>
    <x:col min="6" max="6" width="15" hidden="0" customWidth="1"/>
    <x:col min="7" max="7" width="32" hidden="0" customWidth="1"/>
    <x:col min="8" max="8" width="18" hidden="0" customWidth="1"/>
    <x:col min="9" max="9" width="13" hidden="0" customWidth="1"/>
    <x:col min="10" max="10" width="11" hidden="0" customWidth="1"/>
  </x:cols>
  <x:sheetData>
    <x:row r="1" ht="30" customHeight="1">
      <x:c r="A1" s="1" t="str">
        <x:v>存货与成本检查</x:v>
      </x:c>
    </x:row>
    <x:row r="2" ht="25" customHeight="1">
      <x:c r="A2" s="3" t="str">
        <x:v>记录来源、账面数、业务数和差异结论。</x:v>
      </x:c>
    </x:row>
    <x:row r="5" ht="35" customHeight="1">
      <x:c r="A5" s="9" t="str">
        <x:v>编号</x:v>
      </x:c>
      <x:c r="B5" s="9" t="str">
        <x:v>检查项目</x:v>
      </x:c>
      <x:c r="C5" s="9" t="str">
        <x:v>数据来源</x:v>
      </x:c>
      <x:c r="D5" s="9" t="str">
        <x:v>业务/模块金额</x:v>
      </x:c>
      <x:c r="E5" s="9" t="str">
        <x:v>总账金额</x:v>
      </x:c>
      <x:c r="F5" s="9" t="str">
        <x:v>差异</x:v>
      </x:c>
      <x:c r="G5" s="9" t="str">
        <x:v>差异解释</x:v>
      </x:c>
      <x:c r="H5" s="9" t="str">
        <x:v>调整凭证</x:v>
      </x:c>
      <x:c r="I5" s="9" t="str">
        <x:v>责任人</x:v>
      </x:c>
      <x:c r="J5" s="9" t="str">
        <x:v>状态</x:v>
      </x:c>
    </x:row>
    <x:row r="6">
      <x:c r="A6" s="13" t="str">
        <x:v>IC-01</x:v>
      </x:c>
      <x:c r="B6" s="13" t="str">
        <x:v>收发存与GL</x:v>
      </x:c>
      <x:c r="C6" s="13" t="str"/>
      <x:c r="D6" s="17" t="n">
        <x:v>0</x:v>
      </x:c>
      <x:c r="E6" s="17" t="n">
        <x:v>0</x:v>
      </x:c>
      <x:c r="F6" s="16" t="n">
        <x:f>D6-E6</x:f>
        <x:v>0</x:v>
      </x:c>
      <x:c r="G6" s="13" t="str"/>
      <x:c r="H6" s="13" t="str"/>
      <x:c r="I6" s="13" t="str"/>
      <x:c r="J6" s="13" t="str">
        <x:v>未开始</x:v>
      </x:c>
    </x:row>
    <x:row r="7">
      <x:c r="A7" s="13" t="str">
        <x:v>IC-02</x:v>
      </x:c>
      <x:c r="B7" s="13" t="str">
        <x:v>负库存</x:v>
      </x:c>
      <x:c r="C7" s="13" t="str"/>
      <x:c r="D7" s="17" t="n">
        <x:v>0</x:v>
      </x:c>
      <x:c r="E7" s="17" t="n">
        <x:v>0</x:v>
      </x:c>
      <x:c r="F7" s="16" t="n">
        <x:f>D7-E7</x:f>
        <x:v>0</x:v>
      </x:c>
      <x:c r="G7" s="13" t="str"/>
      <x:c r="H7" s="13" t="str"/>
      <x:c r="I7" s="13" t="str"/>
      <x:c r="J7" s="13" t="str">
        <x:v>未开始</x:v>
      </x:c>
    </x:row>
    <x:row r="8">
      <x:c r="A8" s="13" t="str">
        <x:v>IC-03</x:v>
      </x:c>
      <x:c r="B8" s="13" t="str">
        <x:v>零成本出库</x:v>
      </x:c>
      <x:c r="C8" s="13" t="str"/>
      <x:c r="D8" s="17" t="n">
        <x:v>0</x:v>
      </x:c>
      <x:c r="E8" s="17" t="n">
        <x:v>0</x:v>
      </x:c>
      <x:c r="F8" s="16" t="n">
        <x:f>D8-E8</x:f>
        <x:v>0</x:v>
      </x:c>
      <x:c r="G8" s="13" t="str"/>
      <x:c r="H8" s="13" t="str"/>
      <x:c r="I8" s="13" t="str"/>
      <x:c r="J8" s="13" t="str">
        <x:v>未开始</x:v>
      </x:c>
    </x:row>
    <x:row r="9">
      <x:c r="A9" s="13" t="str">
        <x:v>IC-04</x:v>
      </x:c>
      <x:c r="B9" s="13" t="str">
        <x:v>工单在制</x:v>
      </x:c>
      <x:c r="C9" s="13" t="str"/>
      <x:c r="D9" s="17" t="n">
        <x:v>0</x:v>
      </x:c>
      <x:c r="E9" s="17" t="n">
        <x:v>0</x:v>
      </x:c>
      <x:c r="F9" s="16" t="n">
        <x:f>D9-E9</x:f>
        <x:v>0</x:v>
      </x:c>
      <x:c r="G9" s="13" t="str"/>
      <x:c r="H9" s="13" t="str"/>
      <x:c r="I9" s="13" t="str"/>
      <x:c r="J9" s="13" t="str">
        <x:v>未开始</x:v>
      </x:c>
    </x:row>
    <x:row r="10">
      <x:c r="A10" s="13" t="str">
        <x:v>IC-05</x:v>
      </x:c>
      <x:c r="B10" s="13" t="str">
        <x:v>制造费用分配</x:v>
      </x:c>
      <x:c r="C10" s="13" t="str"/>
      <x:c r="D10" s="17" t="n">
        <x:v>0</x:v>
      </x:c>
      <x:c r="E10" s="17" t="n">
        <x:v>0</x:v>
      </x:c>
      <x:c r="F10" s="16" t="n">
        <x:f>D10-E10</x:f>
        <x:v>0</x:v>
      </x:c>
      <x:c r="G10" s="13" t="str"/>
      <x:c r="H10" s="13" t="str"/>
      <x:c r="I10" s="13" t="str"/>
      <x:c r="J10" s="13" t="str">
        <x:v>未开始</x:v>
      </x:c>
    </x:row>
    <x:row r="11">
      <x:c r="A11" s="13" t="str">
        <x:v>IC-06</x:v>
      </x:c>
      <x:c r="B11" s="13" t="str">
        <x:v>成本差异</x:v>
      </x:c>
      <x:c r="C11" s="13" t="str"/>
      <x:c r="D11" s="17" t="n">
        <x:v>0</x:v>
      </x:c>
      <x:c r="E11" s="17" t="n">
        <x:v>0</x:v>
      </x:c>
      <x:c r="F11" s="16" t="n">
        <x:f>D11-E11</x:f>
        <x:v>0</x:v>
      </x:c>
      <x:c r="G11" s="13" t="str"/>
      <x:c r="H11" s="13" t="str"/>
      <x:c r="I11" s="13" t="str"/>
      <x:c r="J11" s="13" t="str">
        <x:v>未开始</x:v>
      </x:c>
    </x:row>
    <x:row r="12">
      <x:c r="A12" s="13" t="str">
        <x:v>IC-07</x:v>
      </x:c>
      <x:c r="B12" s="13" t="str">
        <x:v>盘点差异</x:v>
      </x:c>
      <x:c r="C12" s="13" t="str"/>
      <x:c r="D12" s="17" t="n">
        <x:v>0</x:v>
      </x:c>
      <x:c r="E12" s="17" t="n">
        <x:v>0</x:v>
      </x:c>
      <x:c r="F12" s="16" t="n">
        <x:f>D12-E12</x:f>
        <x:v>0</x:v>
      </x:c>
      <x:c r="G12" s="13" t="str"/>
      <x:c r="H12" s="13" t="str"/>
      <x:c r="I12" s="13" t="str"/>
      <x:c r="J12" s="13" t="str">
        <x:v>未开始</x:v>
      </x:c>
    </x:row>
    <x:row r="13">
      <x:c r="A13" s="13" t="str">
        <x:v>IC-08</x:v>
      </x:c>
      <x:c r="B13" s="13" t="str">
        <x:v>跌价准备</x:v>
      </x:c>
      <x:c r="C13" s="13" t="str"/>
      <x:c r="D13" s="17" t="n">
        <x:v>0</x:v>
      </x:c>
      <x:c r="E13" s="17" t="n">
        <x:v>0</x:v>
      </x:c>
      <x:c r="F13" s="16" t="n">
        <x:f>D13-E13</x:f>
        <x:v>0</x:v>
      </x:c>
      <x:c r="G13" s="13" t="str"/>
      <x:c r="H13" s="13" t="str"/>
      <x:c r="I13" s="13" t="str"/>
      <x:c r="J13" s="13" t="str">
        <x:v>未开始</x:v>
      </x:c>
    </x:row>
  </x:sheetData>
  <x:mergeCells>
    <x:mergeCell ref="A1:J1"/>
    <x:mergeCell ref="A2:J2"/>
  </x:mergeCells>
  <x:conditionalFormatting sqref="J6:J13">
    <x:cfRule type="containsText" dxfId="33" priority="1" operator="containsText" text="已完成"/>
    <x:cfRule type="containsText" dxfId="34" priority="2" operator="containsText" text="未开始"/>
    <x:cfRule type="containsText" dxfId="35" priority="3" operator="containsText" text="异常"/>
  </x:conditionalFormatting>
  <x:dataValidations count="1">
    <x:dataValidation type="list" sqref="J6:J13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b70c1d80f145f7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26" hidden="0" customWidth="1"/>
    <x:col min="4" max="4" width="16" hidden="0" customWidth="1"/>
    <x:col min="5" max="5" width="16" hidden="0" customWidth="1"/>
    <x:col min="6" max="6" width="15" hidden="0" customWidth="1"/>
    <x:col min="7" max="7" width="32" hidden="0" customWidth="1"/>
    <x:col min="8" max="8" width="18" hidden="0" customWidth="1"/>
    <x:col min="9" max="9" width="13" hidden="0" customWidth="1"/>
    <x:col min="10" max="10" width="11" hidden="0" customWidth="1"/>
  </x:cols>
  <x:sheetData>
    <x:row r="1" ht="30" customHeight="1">
      <x:c r="A1" s="1" t="str">
        <x:v>固定资产与在建工程</x:v>
      </x:c>
    </x:row>
    <x:row r="2" ht="25" customHeight="1">
      <x:c r="A2" s="3" t="str">
        <x:v>记录来源、账面数、业务数和差异结论。</x:v>
      </x:c>
    </x:row>
    <x:row r="5" ht="35" customHeight="1">
      <x:c r="A5" s="9" t="str">
        <x:v>编号</x:v>
      </x:c>
      <x:c r="B5" s="9" t="str">
        <x:v>检查项目</x:v>
      </x:c>
      <x:c r="C5" s="9" t="str">
        <x:v>数据来源</x:v>
      </x:c>
      <x:c r="D5" s="9" t="str">
        <x:v>业务/模块金额</x:v>
      </x:c>
      <x:c r="E5" s="9" t="str">
        <x:v>总账金额</x:v>
      </x:c>
      <x:c r="F5" s="9" t="str">
        <x:v>差异</x:v>
      </x:c>
      <x:c r="G5" s="9" t="str">
        <x:v>差异解释</x:v>
      </x:c>
      <x:c r="H5" s="9" t="str">
        <x:v>调整凭证</x:v>
      </x:c>
      <x:c r="I5" s="9" t="str">
        <x:v>责任人</x:v>
      </x:c>
      <x:c r="J5" s="9" t="str">
        <x:v>状态</x:v>
      </x:c>
    </x:row>
    <x:row r="6">
      <x:c r="A6" s="13" t="str">
        <x:v>FA-01</x:v>
      </x:c>
      <x:c r="B6" s="13" t="str">
        <x:v>卡片与GL</x:v>
      </x:c>
      <x:c r="C6" s="13" t="str"/>
      <x:c r="D6" s="17" t="n">
        <x:v>0</x:v>
      </x:c>
      <x:c r="E6" s="17" t="n">
        <x:v>0</x:v>
      </x:c>
      <x:c r="F6" s="16" t="n">
        <x:f>D6-E6</x:f>
        <x:v>0</x:v>
      </x:c>
      <x:c r="G6" s="13" t="str"/>
      <x:c r="H6" s="13" t="str"/>
      <x:c r="I6" s="13" t="str"/>
      <x:c r="J6" s="13" t="str">
        <x:v>未开始</x:v>
      </x:c>
    </x:row>
    <x:row r="7">
      <x:c r="A7" s="13" t="str">
        <x:v>FA-02</x:v>
      </x:c>
      <x:c r="B7" s="13" t="str">
        <x:v>本月新增</x:v>
      </x:c>
      <x:c r="C7" s="13" t="str"/>
      <x:c r="D7" s="17" t="n">
        <x:v>0</x:v>
      </x:c>
      <x:c r="E7" s="17" t="n">
        <x:v>0</x:v>
      </x:c>
      <x:c r="F7" s="16" t="n">
        <x:f>D7-E7</x:f>
        <x:v>0</x:v>
      </x:c>
      <x:c r="G7" s="13" t="str"/>
      <x:c r="H7" s="13" t="str"/>
      <x:c r="I7" s="13" t="str"/>
      <x:c r="J7" s="13" t="str">
        <x:v>未开始</x:v>
      </x:c>
    </x:row>
    <x:row r="8">
      <x:c r="A8" s="13" t="str">
        <x:v>FA-03</x:v>
      </x:c>
      <x:c r="B8" s="13" t="str">
        <x:v>在建转固</x:v>
      </x:c>
      <x:c r="C8" s="13" t="str"/>
      <x:c r="D8" s="17" t="n">
        <x:v>0</x:v>
      </x:c>
      <x:c r="E8" s="17" t="n">
        <x:v>0</x:v>
      </x:c>
      <x:c r="F8" s="16" t="n">
        <x:f>D8-E8</x:f>
        <x:v>0</x:v>
      </x:c>
      <x:c r="G8" s="13" t="str"/>
      <x:c r="H8" s="13" t="str"/>
      <x:c r="I8" s="13" t="str"/>
      <x:c r="J8" s="13" t="str">
        <x:v>未开始</x:v>
      </x:c>
    </x:row>
    <x:row r="9">
      <x:c r="A9" s="13" t="str">
        <x:v>FA-04</x:v>
      </x:c>
      <x:c r="B9" s="13" t="str">
        <x:v>折旧运行</x:v>
      </x:c>
      <x:c r="C9" s="13" t="str"/>
      <x:c r="D9" s="17" t="n">
        <x:v>0</x:v>
      </x:c>
      <x:c r="E9" s="17" t="n">
        <x:v>0</x:v>
      </x:c>
      <x:c r="F9" s="16" t="n">
        <x:f>D9-E9</x:f>
        <x:v>0</x:v>
      </x:c>
      <x:c r="G9" s="13" t="str"/>
      <x:c r="H9" s="13" t="str"/>
      <x:c r="I9" s="13" t="str"/>
      <x:c r="J9" s="13" t="str">
        <x:v>未开始</x:v>
      </x:c>
    </x:row>
    <x:row r="10">
      <x:c r="A10" s="13" t="str">
        <x:v>FA-05</x:v>
      </x:c>
      <x:c r="B10" s="13" t="str">
        <x:v>资产处置</x:v>
      </x:c>
      <x:c r="C10" s="13" t="str"/>
      <x:c r="D10" s="17" t="n">
        <x:v>0</x:v>
      </x:c>
      <x:c r="E10" s="17" t="n">
        <x:v>0</x:v>
      </x:c>
      <x:c r="F10" s="16" t="n">
        <x:f>D10-E10</x:f>
        <x:v>0</x:v>
      </x:c>
      <x:c r="G10" s="13" t="str"/>
      <x:c r="H10" s="13" t="str"/>
      <x:c r="I10" s="13" t="str"/>
      <x:c r="J10" s="13" t="str">
        <x:v>未开始</x:v>
      </x:c>
    </x:row>
    <x:row r="11">
      <x:c r="A11" s="13" t="str">
        <x:v>FA-06</x:v>
      </x:c>
      <x:c r="B11" s="13" t="str">
        <x:v>闲置减值</x:v>
      </x:c>
      <x:c r="C11" s="13" t="str"/>
      <x:c r="D11" s="17" t="n">
        <x:v>0</x:v>
      </x:c>
      <x:c r="E11" s="17" t="n">
        <x:v>0</x:v>
      </x:c>
      <x:c r="F11" s="16" t="n">
        <x:f>D11-E11</x:f>
        <x:v>0</x:v>
      </x:c>
      <x:c r="G11" s="13" t="str"/>
      <x:c r="H11" s="13" t="str"/>
      <x:c r="I11" s="13" t="str"/>
      <x:c r="J11" s="13" t="str">
        <x:v>未开始</x:v>
      </x:c>
    </x:row>
    <x:row r="12">
      <x:c r="A12" s="13" t="str">
        <x:v>FA-07</x:v>
      </x:c>
      <x:c r="B12" s="13" t="str">
        <x:v>盘点差异</x:v>
      </x:c>
      <x:c r="C12" s="13" t="str"/>
      <x:c r="D12" s="17" t="n">
        <x:v>0</x:v>
      </x:c>
      <x:c r="E12" s="17" t="n">
        <x:v>0</x:v>
      </x:c>
      <x:c r="F12" s="16" t="n">
        <x:f>D12-E12</x:f>
        <x:v>0</x:v>
      </x:c>
      <x:c r="G12" s="13" t="str"/>
      <x:c r="H12" s="13" t="str"/>
      <x:c r="I12" s="13" t="str"/>
      <x:c r="J12" s="13" t="str">
        <x:v>未开始</x:v>
      </x:c>
    </x:row>
  </x:sheetData>
  <x:mergeCells>
    <x:mergeCell ref="A1:J1"/>
    <x:mergeCell ref="A2:J2"/>
  </x:mergeCells>
  <x:conditionalFormatting sqref="J6:J12">
    <x:cfRule type="containsText" dxfId="36" priority="1" operator="containsText" text="已完成"/>
    <x:cfRule type="containsText" dxfId="37" priority="2" operator="containsText" text="未开始"/>
    <x:cfRule type="containsText" dxfId="38" priority="3" operator="containsText" text="异常"/>
  </x:conditionalFormatting>
  <x:dataValidations count="1">
    <x:dataValidation type="list" sqref="J6:J12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c50d985cec4d9f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26" hidden="0" customWidth="1"/>
    <x:col min="4" max="4" width="16" hidden="0" customWidth="1"/>
    <x:col min="5" max="5" width="16" hidden="0" customWidth="1"/>
    <x:col min="6" max="6" width="15" hidden="0" customWidth="1"/>
    <x:col min="7" max="7" width="32" hidden="0" customWidth="1"/>
    <x:col min="8" max="8" width="18" hidden="0" customWidth="1"/>
    <x:col min="9" max="9" width="13" hidden="0" customWidth="1"/>
    <x:col min="10" max="10" width="11" hidden="0" customWidth="1"/>
  </x:cols>
  <x:sheetData>
    <x:row r="1" ht="30" customHeight="1">
      <x:c r="A1" s="1" t="str">
        <x:v>薪酬完整核对</x:v>
      </x:c>
    </x:row>
    <x:row r="2" ht="25" customHeight="1">
      <x:c r="A2" s="3" t="str">
        <x:v>记录来源、账面数、业务数和差异结论。</x:v>
      </x:c>
    </x:row>
    <x:row r="5" ht="35" customHeight="1">
      <x:c r="A5" s="9" t="str">
        <x:v>编号</x:v>
      </x:c>
      <x:c r="B5" s="9" t="str">
        <x:v>检查项目</x:v>
      </x:c>
      <x:c r="C5" s="9" t="str">
        <x:v>数据来源</x:v>
      </x:c>
      <x:c r="D5" s="9" t="str">
        <x:v>业务/模块金额</x:v>
      </x:c>
      <x:c r="E5" s="9" t="str">
        <x:v>总账金额</x:v>
      </x:c>
      <x:c r="F5" s="9" t="str">
        <x:v>差异</x:v>
      </x:c>
      <x:c r="G5" s="9" t="str">
        <x:v>差异解释</x:v>
      </x:c>
      <x:c r="H5" s="9" t="str">
        <x:v>调整凭证</x:v>
      </x:c>
      <x:c r="I5" s="9" t="str">
        <x:v>责任人</x:v>
      </x:c>
      <x:c r="J5" s="9" t="str">
        <x:v>状态</x:v>
      </x:c>
    </x:row>
    <x:row r="6">
      <x:c r="A6" s="13" t="str">
        <x:v>PY-01</x:v>
      </x:c>
      <x:c r="B6" s="13" t="str">
        <x:v>HR人数</x:v>
      </x:c>
      <x:c r="C6" s="13" t="str"/>
      <x:c r="D6" s="17" t="n">
        <x:v>0</x:v>
      </x:c>
      <x:c r="E6" s="17" t="n">
        <x:v>0</x:v>
      </x:c>
      <x:c r="F6" s="16" t="n">
        <x:f>D6-E6</x:f>
        <x:v>0</x:v>
      </x:c>
      <x:c r="G6" s="13" t="str"/>
      <x:c r="H6" s="13" t="str"/>
      <x:c r="I6" s="13" t="str"/>
      <x:c r="J6" s="13" t="str">
        <x:v>未开始</x:v>
      </x:c>
    </x:row>
    <x:row r="7">
      <x:c r="A7" s="13" t="str">
        <x:v>PY-02</x:v>
      </x:c>
      <x:c r="B7" s="13" t="str">
        <x:v>工资总额</x:v>
      </x:c>
      <x:c r="C7" s="13" t="str"/>
      <x:c r="D7" s="17" t="n">
        <x:v>0</x:v>
      </x:c>
      <x:c r="E7" s="17" t="n">
        <x:v>0</x:v>
      </x:c>
      <x:c r="F7" s="16" t="n">
        <x:f>D7-E7</x:f>
        <x:v>0</x:v>
      </x:c>
      <x:c r="G7" s="13" t="str"/>
      <x:c r="H7" s="13" t="str"/>
      <x:c r="I7" s="13" t="str"/>
      <x:c r="J7" s="13" t="str">
        <x:v>未开始</x:v>
      </x:c>
    </x:row>
    <x:row r="8">
      <x:c r="A8" s="13" t="str">
        <x:v>PY-03</x:v>
      </x:c>
      <x:c r="B8" s="13" t="str">
        <x:v>银行实发</x:v>
      </x:c>
      <x:c r="C8" s="13" t="str"/>
      <x:c r="D8" s="17" t="n">
        <x:v>0</x:v>
      </x:c>
      <x:c r="E8" s="17" t="n">
        <x:v>0</x:v>
      </x:c>
      <x:c r="F8" s="16" t="n">
        <x:f>D8-E8</x:f>
        <x:v>0</x:v>
      </x:c>
      <x:c r="G8" s="13" t="str"/>
      <x:c r="H8" s="13" t="str"/>
      <x:c r="I8" s="13" t="str"/>
      <x:c r="J8" s="13" t="str">
        <x:v>未开始</x:v>
      </x:c>
    </x:row>
    <x:row r="9">
      <x:c r="A9" s="13" t="str">
        <x:v>PY-04</x:v>
      </x:c>
      <x:c r="B9" s="13" t="str">
        <x:v>个税申报</x:v>
      </x:c>
      <x:c r="C9" s="13" t="str"/>
      <x:c r="D9" s="17" t="n">
        <x:v>0</x:v>
      </x:c>
      <x:c r="E9" s="17" t="n">
        <x:v>0</x:v>
      </x:c>
      <x:c r="F9" s="16" t="n">
        <x:f>D9-E9</x:f>
        <x:v>0</x:v>
      </x:c>
      <x:c r="G9" s="13" t="str"/>
      <x:c r="H9" s="13" t="str"/>
      <x:c r="I9" s="13" t="str"/>
      <x:c r="J9" s="13" t="str">
        <x:v>未开始</x:v>
      </x:c>
    </x:row>
    <x:row r="10">
      <x:c r="A10" s="13" t="str">
        <x:v>PY-05</x:v>
      </x:c>
      <x:c r="B10" s="13" t="str">
        <x:v>社保公积金</x:v>
      </x:c>
      <x:c r="C10" s="13" t="str"/>
      <x:c r="D10" s="17" t="n">
        <x:v>0</x:v>
      </x:c>
      <x:c r="E10" s="17" t="n">
        <x:v>0</x:v>
      </x:c>
      <x:c r="F10" s="16" t="n">
        <x:f>D10-E10</x:f>
        <x:v>0</x:v>
      </x:c>
      <x:c r="G10" s="13" t="str"/>
      <x:c r="H10" s="13" t="str"/>
      <x:c r="I10" s="13" t="str"/>
      <x:c r="J10" s="13" t="str">
        <x:v>未开始</x:v>
      </x:c>
    </x:row>
    <x:row r="11">
      <x:c r="A11" s="13" t="str">
        <x:v>PY-06</x:v>
      </x:c>
      <x:c r="B11" s="13" t="str">
        <x:v>费用归属</x:v>
      </x:c>
      <x:c r="C11" s="13" t="str"/>
      <x:c r="D11" s="17" t="n">
        <x:v>0</x:v>
      </x:c>
      <x:c r="E11" s="17" t="n">
        <x:v>0</x:v>
      </x:c>
      <x:c r="F11" s="16" t="n">
        <x:f>D11-E11</x:f>
        <x:v>0</x:v>
      </x:c>
      <x:c r="G11" s="13" t="str"/>
      <x:c r="H11" s="13" t="str"/>
      <x:c r="I11" s="13" t="str"/>
      <x:c r="J11" s="13" t="str">
        <x:v>未开始</x:v>
      </x:c>
    </x:row>
    <x:row r="12">
      <x:c r="A12" s="13" t="str">
        <x:v>PY-07</x:v>
      </x:c>
      <x:c r="B12" s="13" t="str">
        <x:v>离职人员</x:v>
      </x:c>
      <x:c r="C12" s="13" t="str"/>
      <x:c r="D12" s="17" t="n">
        <x:v>0</x:v>
      </x:c>
      <x:c r="E12" s="17" t="n">
        <x:v>0</x:v>
      </x:c>
      <x:c r="F12" s="16" t="n">
        <x:f>D12-E12</x:f>
        <x:v>0</x:v>
      </x:c>
      <x:c r="G12" s="13" t="str"/>
      <x:c r="H12" s="13" t="str"/>
      <x:c r="I12" s="13" t="str"/>
      <x:c r="J12" s="13" t="str">
        <x:v>未开始</x:v>
      </x:c>
    </x:row>
  </x:sheetData>
  <x:mergeCells>
    <x:mergeCell ref="A1:J1"/>
    <x:mergeCell ref="A2:J2"/>
  </x:mergeCells>
  <x:conditionalFormatting sqref="J6:J12">
    <x:cfRule type="containsText" dxfId="39" priority="1" operator="containsText" text="已完成"/>
    <x:cfRule type="containsText" dxfId="40" priority="2" operator="containsText" text="未开始"/>
    <x:cfRule type="containsText" dxfId="41" priority="3" operator="containsText" text="异常"/>
  </x:conditionalFormatting>
  <x:dataValidations count="1">
    <x:dataValidation type="list" sqref="J6:J12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aa23a12bc245c1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26" hidden="0" customWidth="1"/>
    <x:col min="4" max="4" width="16" hidden="0" customWidth="1"/>
    <x:col min="5" max="5" width="16" hidden="0" customWidth="1"/>
    <x:col min="6" max="6" width="15" hidden="0" customWidth="1"/>
    <x:col min="7" max="7" width="32" hidden="0" customWidth="1"/>
    <x:col min="8" max="8" width="18" hidden="0" customWidth="1"/>
    <x:col min="9" max="9" width="13" hidden="0" customWidth="1"/>
    <x:col min="10" max="10" width="11" hidden="0" customWidth="1"/>
  </x:cols>
  <x:sheetData>
    <x:row r="1" ht="30" customHeight="1">
      <x:c r="A1" s="1" t="str">
        <x:v>税务资料包</x:v>
      </x:c>
    </x:row>
    <x:row r="2" ht="25" customHeight="1">
      <x:c r="A2" s="3" t="str">
        <x:v>记录来源、账面数、业务数和差异结论。</x:v>
      </x:c>
    </x:row>
    <x:row r="5" ht="35" customHeight="1">
      <x:c r="A5" s="9" t="str">
        <x:v>编号</x:v>
      </x:c>
      <x:c r="B5" s="9" t="str">
        <x:v>检查项目</x:v>
      </x:c>
      <x:c r="C5" s="9" t="str">
        <x:v>数据来源</x:v>
      </x:c>
      <x:c r="D5" s="9" t="str">
        <x:v>业务/模块金额</x:v>
      </x:c>
      <x:c r="E5" s="9" t="str">
        <x:v>总账金额</x:v>
      </x:c>
      <x:c r="F5" s="9" t="str">
        <x:v>差异</x:v>
      </x:c>
      <x:c r="G5" s="9" t="str">
        <x:v>差异解释</x:v>
      </x:c>
      <x:c r="H5" s="9" t="str">
        <x:v>调整凭证</x:v>
      </x:c>
      <x:c r="I5" s="9" t="str">
        <x:v>责任人</x:v>
      </x:c>
      <x:c r="J5" s="9" t="str">
        <x:v>状态</x:v>
      </x:c>
    </x:row>
    <x:row r="6">
      <x:c r="A6" s="13" t="str">
        <x:v>TX-01</x:v>
      </x:c>
      <x:c r="B6" s="13" t="str">
        <x:v>销项与收入</x:v>
      </x:c>
      <x:c r="C6" s="13" t="str"/>
      <x:c r="D6" s="17" t="n">
        <x:v>0</x:v>
      </x:c>
      <x:c r="E6" s="17" t="n">
        <x:v>0</x:v>
      </x:c>
      <x:c r="F6" s="16" t="n">
        <x:f>D6-E6</x:f>
        <x:v>0</x:v>
      </x:c>
      <x:c r="G6" s="13" t="str"/>
      <x:c r="H6" s="13" t="str"/>
      <x:c r="I6" s="13" t="str"/>
      <x:c r="J6" s="13" t="str">
        <x:v>未开始</x:v>
      </x:c>
    </x:row>
    <x:row r="7">
      <x:c r="A7" s="13" t="str">
        <x:v>TX-02</x:v>
      </x:c>
      <x:c r="B7" s="13" t="str">
        <x:v>进项与勾选</x:v>
      </x:c>
      <x:c r="C7" s="13" t="str"/>
      <x:c r="D7" s="17" t="n">
        <x:v>0</x:v>
      </x:c>
      <x:c r="E7" s="17" t="n">
        <x:v>0</x:v>
      </x:c>
      <x:c r="F7" s="16" t="n">
        <x:f>D7-E7</x:f>
        <x:v>0</x:v>
      </x:c>
      <x:c r="G7" s="13" t="str"/>
      <x:c r="H7" s="13" t="str"/>
      <x:c r="I7" s="13" t="str"/>
      <x:c r="J7" s="13" t="str">
        <x:v>未开始</x:v>
      </x:c>
    </x:row>
    <x:row r="8">
      <x:c r="A8" s="13" t="str">
        <x:v>TX-03</x:v>
      </x:c>
      <x:c r="B8" s="13" t="str">
        <x:v>增值税申报</x:v>
      </x:c>
      <x:c r="C8" s="13" t="str"/>
      <x:c r="D8" s="17" t="n">
        <x:v>0</x:v>
      </x:c>
      <x:c r="E8" s="17" t="n">
        <x:v>0</x:v>
      </x:c>
      <x:c r="F8" s="16" t="n">
        <x:f>D8-E8</x:f>
        <x:v>0</x:v>
      </x:c>
      <x:c r="G8" s="13" t="str"/>
      <x:c r="H8" s="13" t="str"/>
      <x:c r="I8" s="13" t="str"/>
      <x:c r="J8" s="13" t="str">
        <x:v>未开始</x:v>
      </x:c>
    </x:row>
    <x:row r="9">
      <x:c r="A9" s="13" t="str">
        <x:v>TX-04</x:v>
      </x:c>
      <x:c r="B9" s="13" t="str">
        <x:v>附加税</x:v>
      </x:c>
      <x:c r="C9" s="13" t="str"/>
      <x:c r="D9" s="17" t="n">
        <x:v>0</x:v>
      </x:c>
      <x:c r="E9" s="17" t="n">
        <x:v>0</x:v>
      </x:c>
      <x:c r="F9" s="16" t="n">
        <x:f>D9-E9</x:f>
        <x:v>0</x:v>
      </x:c>
      <x:c r="G9" s="13" t="str"/>
      <x:c r="H9" s="13" t="str"/>
      <x:c r="I9" s="13" t="str"/>
      <x:c r="J9" s="13" t="str">
        <x:v>未开始</x:v>
      </x:c>
    </x:row>
    <x:row r="10">
      <x:c r="A10" s="13" t="str">
        <x:v>TX-05</x:v>
      </x:c>
      <x:c r="B10" s="13" t="str">
        <x:v>企业所得税</x:v>
      </x:c>
      <x:c r="C10" s="13" t="str"/>
      <x:c r="D10" s="17" t="n">
        <x:v>0</x:v>
      </x:c>
      <x:c r="E10" s="17" t="n">
        <x:v>0</x:v>
      </x:c>
      <x:c r="F10" s="16" t="n">
        <x:f>D10-E10</x:f>
        <x:v>0</x:v>
      </x:c>
      <x:c r="G10" s="13" t="str"/>
      <x:c r="H10" s="13" t="str"/>
      <x:c r="I10" s="13" t="str"/>
      <x:c r="J10" s="13" t="str">
        <x:v>未开始</x:v>
      </x:c>
    </x:row>
    <x:row r="11">
      <x:c r="A11" s="13" t="str">
        <x:v>TX-06</x:v>
      </x:c>
      <x:c r="B11" s="13" t="str">
        <x:v>个税</x:v>
      </x:c>
      <x:c r="C11" s="13" t="str"/>
      <x:c r="D11" s="17" t="n">
        <x:v>0</x:v>
      </x:c>
      <x:c r="E11" s="17" t="n">
        <x:v>0</x:v>
      </x:c>
      <x:c r="F11" s="16" t="n">
        <x:f>D11-E11</x:f>
        <x:v>0</x:v>
      </x:c>
      <x:c r="G11" s="13" t="str"/>
      <x:c r="H11" s="13" t="str"/>
      <x:c r="I11" s="13" t="str"/>
      <x:c r="J11" s="13" t="str">
        <x:v>未开始</x:v>
      </x:c>
    </x:row>
    <x:row r="12">
      <x:c r="A12" s="13" t="str">
        <x:v>TX-07</x:v>
      </x:c>
      <x:c r="B12" s="13" t="str">
        <x:v>印花税</x:v>
      </x:c>
      <x:c r="C12" s="13" t="str"/>
      <x:c r="D12" s="17" t="n">
        <x:v>0</x:v>
      </x:c>
      <x:c r="E12" s="17" t="n">
        <x:v>0</x:v>
      </x:c>
      <x:c r="F12" s="16" t="n">
        <x:f>D12-E12</x:f>
        <x:v>0</x:v>
      </x:c>
      <x:c r="G12" s="13" t="str"/>
      <x:c r="H12" s="13" t="str"/>
      <x:c r="I12" s="13" t="str"/>
      <x:c r="J12" s="13" t="str">
        <x:v>未开始</x:v>
      </x:c>
    </x:row>
    <x:row r="13">
      <x:c r="A13" s="13" t="str">
        <x:v>TX-08</x:v>
      </x:c>
      <x:c r="B13" s="13" t="str">
        <x:v>缴税回单</x:v>
      </x:c>
      <x:c r="C13" s="13" t="str"/>
      <x:c r="D13" s="17" t="n">
        <x:v>0</x:v>
      </x:c>
      <x:c r="E13" s="17" t="n">
        <x:v>0</x:v>
      </x:c>
      <x:c r="F13" s="16" t="n">
        <x:f>D13-E13</x:f>
        <x:v>0</x:v>
      </x:c>
      <x:c r="G13" s="13" t="str"/>
      <x:c r="H13" s="13" t="str"/>
      <x:c r="I13" s="13" t="str"/>
      <x:c r="J13" s="13" t="str">
        <x:v>未开始</x:v>
      </x:c>
    </x:row>
  </x:sheetData>
  <x:mergeCells>
    <x:mergeCell ref="A1:J1"/>
    <x:mergeCell ref="A2:J2"/>
  </x:mergeCells>
  <x:conditionalFormatting sqref="J6:J13">
    <x:cfRule type="containsText" dxfId="42" priority="1" operator="containsText" text="已完成"/>
    <x:cfRule type="containsText" dxfId="43" priority="2" operator="containsText" text="未开始"/>
    <x:cfRule type="containsText" dxfId="44" priority="3" operator="containsText" text="异常"/>
  </x:conditionalFormatting>
  <x:dataValidations count="1">
    <x:dataValidation type="list" sqref="J6:J13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94b807e2744ad4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22" hidden="0" customWidth="1"/>
    <x:col min="4" max="4" width="15" hidden="0" customWidth="1"/>
    <x:col min="5" max="5" width="22" hidden="0" customWidth="1"/>
    <x:col min="6" max="6" width="15" hidden="0" customWidth="1"/>
    <x:col min="7" max="7" width="16" hidden="0" customWidth="1"/>
    <x:col min="8" max="8" width="12" hidden="0" customWidth="1"/>
    <x:col min="9" max="9" width="24" hidden="0" customWidth="1"/>
    <x:col min="10" max="10" width="13" hidden="0" customWidth="1"/>
    <x:col min="11" max="11" width="13" hidden="0" customWidth="1"/>
    <x:col min="12" max="12" width="11" hidden="0" customWidth="1"/>
  </x:cols>
  <x:sheetData>
    <x:row r="1" ht="30" customHeight="1">
      <x:c r="A1" s="1" t="str">
        <x:v>调整分录清单</x:v>
      </x:c>
    </x:row>
    <x:row r="2" ht="25" customHeight="1">
      <x:c r="A2" s="3" t="str">
        <x:v>账错应做凭证；账没错仅列报不当的事项进入报表重分类表。</x:v>
      </x:c>
    </x:row>
    <x:row r="5" ht="35" customHeight="1">
      <x:c r="A5" s="9" t="str">
        <x:v>编号</x:v>
      </x:c>
      <x:c r="B5" s="9" t="str">
        <x:v>原因</x:v>
      </x:c>
      <x:c r="C5" s="9" t="str">
        <x:v>借方科目</x:v>
      </x:c>
      <x:c r="D5" s="9" t="str">
        <x:v>借方金额</x:v>
      </x:c>
      <x:c r="E5" s="9" t="str">
        <x:v>贷方科目</x:v>
      </x:c>
      <x:c r="F5" s="9" t="str">
        <x:v>贷方金额</x:v>
      </x:c>
      <x:c r="G5" s="9" t="str">
        <x:v>凭证号</x:v>
      </x:c>
      <x:c r="H5" s="9" t="str">
        <x:v>是否过账</x:v>
      </x:c>
      <x:c r="I5" s="9" t="str">
        <x:v>税务影响</x:v>
      </x:c>
      <x:c r="J5" s="9" t="str">
        <x:v>编制人</x:v>
      </x:c>
      <x:c r="K5" s="9" t="str">
        <x:v>复核人</x:v>
      </x:c>
      <x:c r="L5" s="9" t="str">
        <x:v>状态</x:v>
      </x:c>
    </x:row>
    <x:row r="6">
      <x:c r="A6" s="13" t="str">
        <x:v>JE-001</x:v>
      </x:c>
      <x:c r="B6" s="19" t="str"/>
      <x:c r="C6" s="19" t="str"/>
      <x:c r="D6" s="17" t="n">
        <x:v>0</x:v>
      </x:c>
      <x:c r="E6" s="17" t="str"/>
      <x:c r="F6" s="17" t="n">
        <x:v>0</x:v>
      </x:c>
      <x:c r="G6" s="19" t="str"/>
      <x:c r="H6" s="19" t="str">
        <x:v>否</x:v>
      </x:c>
      <x:c r="I6" s="19" t="str"/>
      <x:c r="J6" s="13" t="str"/>
      <x:c r="K6" s="13" t="str"/>
      <x:c r="L6" s="13" t="str">
        <x:v>未开始</x:v>
      </x:c>
    </x:row>
    <x:row r="7">
      <x:c r="A7" s="13" t="str">
        <x:v>JE-002</x:v>
      </x:c>
      <x:c r="B7" s="19" t="str"/>
      <x:c r="C7" s="19" t="str"/>
      <x:c r="D7" s="17" t="n">
        <x:v>0</x:v>
      </x:c>
      <x:c r="E7" s="17" t="str"/>
      <x:c r="F7" s="17" t="n">
        <x:v>0</x:v>
      </x:c>
      <x:c r="G7" s="19" t="str"/>
      <x:c r="H7" s="19" t="str">
        <x:v>否</x:v>
      </x:c>
      <x:c r="I7" s="19" t="str"/>
      <x:c r="J7" s="13" t="str"/>
      <x:c r="K7" s="13" t="str"/>
      <x:c r="L7" s="13" t="str">
        <x:v>未开始</x:v>
      </x:c>
    </x:row>
    <x:row r="8">
      <x:c r="A8" s="13" t="str">
        <x:v>JE-003</x:v>
      </x:c>
      <x:c r="B8" s="19" t="str"/>
      <x:c r="C8" s="19" t="str"/>
      <x:c r="D8" s="17" t="n">
        <x:v>0</x:v>
      </x:c>
      <x:c r="E8" s="17" t="str"/>
      <x:c r="F8" s="17" t="n">
        <x:v>0</x:v>
      </x:c>
      <x:c r="G8" s="19" t="str"/>
      <x:c r="H8" s="19" t="str">
        <x:v>否</x:v>
      </x:c>
      <x:c r="I8" s="19" t="str"/>
      <x:c r="J8" s="13" t="str"/>
      <x:c r="K8" s="13" t="str"/>
      <x:c r="L8" s="13" t="str">
        <x:v>未开始</x:v>
      </x:c>
    </x:row>
    <x:row r="9">
      <x:c r="A9" s="13" t="str">
        <x:v>JE-004</x:v>
      </x:c>
      <x:c r="B9" s="19" t="str"/>
      <x:c r="C9" s="19" t="str"/>
      <x:c r="D9" s="17" t="n">
        <x:v>0</x:v>
      </x:c>
      <x:c r="E9" s="17" t="str"/>
      <x:c r="F9" s="17" t="n">
        <x:v>0</x:v>
      </x:c>
      <x:c r="G9" s="19" t="str"/>
      <x:c r="H9" s="19" t="str">
        <x:v>否</x:v>
      </x:c>
      <x:c r="I9" s="19" t="str"/>
      <x:c r="J9" s="13" t="str"/>
      <x:c r="K9" s="13" t="str"/>
      <x:c r="L9" s="13" t="str">
        <x:v>未开始</x:v>
      </x:c>
    </x:row>
    <x:row r="10">
      <x:c r="A10" s="13" t="str">
        <x:v>JE-005</x:v>
      </x:c>
      <x:c r="B10" s="19" t="str"/>
      <x:c r="C10" s="19" t="str"/>
      <x:c r="D10" s="17" t="n">
        <x:v>0</x:v>
      </x:c>
      <x:c r="E10" s="17" t="str"/>
      <x:c r="F10" s="17" t="n">
        <x:v>0</x:v>
      </x:c>
      <x:c r="G10" s="19" t="str"/>
      <x:c r="H10" s="19" t="str">
        <x:v>否</x:v>
      </x:c>
      <x:c r="I10" s="19" t="str"/>
      <x:c r="J10" s="13" t="str"/>
      <x:c r="K10" s="13" t="str"/>
      <x:c r="L10" s="13" t="str">
        <x:v>未开始</x:v>
      </x:c>
    </x:row>
    <x:row r="11">
      <x:c r="A11" s="13" t="str">
        <x:v>JE-006</x:v>
      </x:c>
      <x:c r="B11" s="19" t="str"/>
      <x:c r="C11" s="19" t="str"/>
      <x:c r="D11" s="17" t="n">
        <x:v>0</x:v>
      </x:c>
      <x:c r="E11" s="17" t="str"/>
      <x:c r="F11" s="17" t="n">
        <x:v>0</x:v>
      </x:c>
      <x:c r="G11" s="19" t="str"/>
      <x:c r="H11" s="19" t="str">
        <x:v>否</x:v>
      </x:c>
      <x:c r="I11" s="19" t="str"/>
      <x:c r="J11" s="13" t="str"/>
      <x:c r="K11" s="13" t="str"/>
      <x:c r="L11" s="13" t="str">
        <x:v>未开始</x:v>
      </x:c>
    </x:row>
    <x:row r="12">
      <x:c r="A12" s="13" t="str">
        <x:v>JE-007</x:v>
      </x:c>
      <x:c r="B12" s="19" t="str"/>
      <x:c r="C12" s="19" t="str"/>
      <x:c r="D12" s="17" t="n">
        <x:v>0</x:v>
      </x:c>
      <x:c r="E12" s="17" t="str"/>
      <x:c r="F12" s="17" t="n">
        <x:v>0</x:v>
      </x:c>
      <x:c r="G12" s="19" t="str"/>
      <x:c r="H12" s="19" t="str">
        <x:v>否</x:v>
      </x:c>
      <x:c r="I12" s="19" t="str"/>
      <x:c r="J12" s="13" t="str"/>
      <x:c r="K12" s="13" t="str"/>
      <x:c r="L12" s="13" t="str">
        <x:v>未开始</x:v>
      </x:c>
    </x:row>
    <x:row r="13">
      <x:c r="A13" s="13" t="str">
        <x:v>JE-008</x:v>
      </x:c>
      <x:c r="B13" s="19" t="str"/>
      <x:c r="C13" s="19" t="str"/>
      <x:c r="D13" s="17" t="n">
        <x:v>0</x:v>
      </x:c>
      <x:c r="E13" s="17" t="str"/>
      <x:c r="F13" s="17" t="n">
        <x:v>0</x:v>
      </x:c>
      <x:c r="G13" s="19" t="str"/>
      <x:c r="H13" s="19" t="str">
        <x:v>否</x:v>
      </x:c>
      <x:c r="I13" s="19" t="str"/>
      <x:c r="J13" s="13" t="str"/>
      <x:c r="K13" s="13" t="str"/>
      <x:c r="L13" s="13" t="str">
        <x:v>未开始</x:v>
      </x:c>
    </x:row>
    <x:row r="14">
      <x:c r="A14" s="13" t="str">
        <x:v>JE-009</x:v>
      </x:c>
      <x:c r="B14" s="19" t="str"/>
      <x:c r="C14" s="19" t="str"/>
      <x:c r="D14" s="17" t="n">
        <x:v>0</x:v>
      </x:c>
      <x:c r="E14" s="17" t="str"/>
      <x:c r="F14" s="17" t="n">
        <x:v>0</x:v>
      </x:c>
      <x:c r="G14" s="19" t="str"/>
      <x:c r="H14" s="19" t="str">
        <x:v>否</x:v>
      </x:c>
      <x:c r="I14" s="19" t="str"/>
      <x:c r="J14" s="13" t="str"/>
      <x:c r="K14" s="13" t="str"/>
      <x:c r="L14" s="13" t="str">
        <x:v>未开始</x:v>
      </x:c>
    </x:row>
    <x:row r="15">
      <x:c r="A15" s="13" t="str">
        <x:v>JE-010</x:v>
      </x:c>
      <x:c r="B15" s="19" t="str"/>
      <x:c r="C15" s="19" t="str"/>
      <x:c r="D15" s="17" t="n">
        <x:v>0</x:v>
      </x:c>
      <x:c r="E15" s="17" t="str"/>
      <x:c r="F15" s="17" t="n">
        <x:v>0</x:v>
      </x:c>
      <x:c r="G15" s="19" t="str"/>
      <x:c r="H15" s="19" t="str">
        <x:v>否</x:v>
      </x:c>
      <x:c r="I15" s="19" t="str"/>
      <x:c r="J15" s="13" t="str"/>
      <x:c r="K15" s="13" t="str"/>
      <x:c r="L15" s="13" t="str">
        <x:v>未开始</x:v>
      </x:c>
    </x:row>
    <x:row r="16">
      <x:c r="A16" s="13" t="str">
        <x:v>JE-011</x:v>
      </x:c>
      <x:c r="B16" s="19" t="str"/>
      <x:c r="C16" s="19" t="str"/>
      <x:c r="D16" s="17" t="n">
        <x:v>0</x:v>
      </x:c>
      <x:c r="E16" s="17" t="str"/>
      <x:c r="F16" s="17" t="n">
        <x:v>0</x:v>
      </x:c>
      <x:c r="G16" s="19" t="str"/>
      <x:c r="H16" s="19" t="str">
        <x:v>否</x:v>
      </x:c>
      <x:c r="I16" s="19" t="str"/>
      <x:c r="J16" s="13" t="str"/>
      <x:c r="K16" s="13" t="str"/>
      <x:c r="L16" s="13" t="str">
        <x:v>未开始</x:v>
      </x:c>
    </x:row>
    <x:row r="17">
      <x:c r="A17" s="13" t="str">
        <x:v>JE-012</x:v>
      </x:c>
      <x:c r="B17" s="19" t="str"/>
      <x:c r="C17" s="19" t="str"/>
      <x:c r="D17" s="17" t="n">
        <x:v>0</x:v>
      </x:c>
      <x:c r="E17" s="17" t="str"/>
      <x:c r="F17" s="17" t="n">
        <x:v>0</x:v>
      </x:c>
      <x:c r="G17" s="19" t="str"/>
      <x:c r="H17" s="19" t="str">
        <x:v>否</x:v>
      </x:c>
      <x:c r="I17" s="19" t="str"/>
      <x:c r="J17" s="13" t="str"/>
      <x:c r="K17" s="13" t="str"/>
      <x:c r="L17" s="13" t="str">
        <x:v>未开始</x:v>
      </x:c>
    </x:row>
    <x:row r="18">
      <x:c r="A18" s="13" t="str">
        <x:v>JE-013</x:v>
      </x:c>
      <x:c r="B18" s="19" t="str"/>
      <x:c r="C18" s="19" t="str"/>
      <x:c r="D18" s="17" t="n">
        <x:v>0</x:v>
      </x:c>
      <x:c r="E18" s="17" t="str"/>
      <x:c r="F18" s="17" t="n">
        <x:v>0</x:v>
      </x:c>
      <x:c r="G18" s="19" t="str"/>
      <x:c r="H18" s="19" t="str">
        <x:v>否</x:v>
      </x:c>
      <x:c r="I18" s="19" t="str"/>
      <x:c r="J18" s="13" t="str"/>
      <x:c r="K18" s="13" t="str"/>
      <x:c r="L18" s="13" t="str">
        <x:v>未开始</x:v>
      </x:c>
    </x:row>
    <x:row r="19">
      <x:c r="A19" s="13" t="str">
        <x:v>JE-014</x:v>
      </x:c>
      <x:c r="B19" s="19" t="str"/>
      <x:c r="C19" s="19" t="str"/>
      <x:c r="D19" s="17" t="n">
        <x:v>0</x:v>
      </x:c>
      <x:c r="E19" s="17" t="str"/>
      <x:c r="F19" s="17" t="n">
        <x:v>0</x:v>
      </x:c>
      <x:c r="G19" s="19" t="str"/>
      <x:c r="H19" s="19" t="str">
        <x:v>否</x:v>
      </x:c>
      <x:c r="I19" s="19" t="str"/>
      <x:c r="J19" s="13" t="str"/>
      <x:c r="K19" s="13" t="str"/>
      <x:c r="L19" s="13" t="str">
        <x:v>未开始</x:v>
      </x:c>
    </x:row>
    <x:row r="20">
      <x:c r="A20" s="13" t="str">
        <x:v>JE-015</x:v>
      </x:c>
      <x:c r="B20" s="19" t="str"/>
      <x:c r="C20" s="19" t="str"/>
      <x:c r="D20" s="17" t="n">
        <x:v>0</x:v>
      </x:c>
      <x:c r="E20" s="17" t="str"/>
      <x:c r="F20" s="17" t="n">
        <x:v>0</x:v>
      </x:c>
      <x:c r="G20" s="19" t="str"/>
      <x:c r="H20" s="19" t="str">
        <x:v>否</x:v>
      </x:c>
      <x:c r="I20" s="19" t="str"/>
      <x:c r="J20" s="13" t="str"/>
      <x:c r="K20" s="13" t="str"/>
      <x:c r="L20" s="13" t="str">
        <x:v>未开始</x:v>
      </x:c>
    </x:row>
    <x:row r="21">
      <x:c r="A21" s="13" t="str">
        <x:v>JE-016</x:v>
      </x:c>
      <x:c r="B21" s="19" t="str"/>
      <x:c r="C21" s="19" t="str"/>
      <x:c r="D21" s="17" t="n">
        <x:v>0</x:v>
      </x:c>
      <x:c r="E21" s="17" t="str"/>
      <x:c r="F21" s="17" t="n">
        <x:v>0</x:v>
      </x:c>
      <x:c r="G21" s="19" t="str"/>
      <x:c r="H21" s="19" t="str">
        <x:v>否</x:v>
      </x:c>
      <x:c r="I21" s="19" t="str"/>
      <x:c r="J21" s="13" t="str"/>
      <x:c r="K21" s="13" t="str"/>
      <x:c r="L21" s="13" t="str">
        <x:v>未开始</x:v>
      </x:c>
    </x:row>
    <x:row r="22">
      <x:c r="A22" s="13" t="str">
        <x:v>JE-017</x:v>
      </x:c>
      <x:c r="B22" s="19" t="str"/>
      <x:c r="C22" s="19" t="str"/>
      <x:c r="D22" s="17" t="n">
        <x:v>0</x:v>
      </x:c>
      <x:c r="E22" s="17" t="str"/>
      <x:c r="F22" s="17" t="n">
        <x:v>0</x:v>
      </x:c>
      <x:c r="G22" s="19" t="str"/>
      <x:c r="H22" s="19" t="str">
        <x:v>否</x:v>
      </x:c>
      <x:c r="I22" s="19" t="str"/>
      <x:c r="J22" s="13" t="str"/>
      <x:c r="K22" s="13" t="str"/>
      <x:c r="L22" s="13" t="str">
        <x:v>未开始</x:v>
      </x:c>
    </x:row>
    <x:row r="23">
      <x:c r="A23" s="13" t="str">
        <x:v>JE-018</x:v>
      </x:c>
      <x:c r="B23" s="19" t="str"/>
      <x:c r="C23" s="19" t="str"/>
      <x:c r="D23" s="17" t="n">
        <x:v>0</x:v>
      </x:c>
      <x:c r="E23" s="17" t="str"/>
      <x:c r="F23" s="17" t="n">
        <x:v>0</x:v>
      </x:c>
      <x:c r="G23" s="19" t="str"/>
      <x:c r="H23" s="19" t="str">
        <x:v>否</x:v>
      </x:c>
      <x:c r="I23" s="19" t="str"/>
      <x:c r="J23" s="13" t="str"/>
      <x:c r="K23" s="13" t="str"/>
      <x:c r="L23" s="13" t="str">
        <x:v>未开始</x:v>
      </x:c>
    </x:row>
    <x:row r="24">
      <x:c r="A24" s="13" t="str">
        <x:v>JE-019</x:v>
      </x:c>
      <x:c r="B24" s="19" t="str"/>
      <x:c r="C24" s="19" t="str"/>
      <x:c r="D24" s="17" t="n">
        <x:v>0</x:v>
      </x:c>
      <x:c r="E24" s="17" t="str"/>
      <x:c r="F24" s="17" t="n">
        <x:v>0</x:v>
      </x:c>
      <x:c r="G24" s="19" t="str"/>
      <x:c r="H24" s="19" t="str">
        <x:v>否</x:v>
      </x:c>
      <x:c r="I24" s="19" t="str"/>
      <x:c r="J24" s="13" t="str"/>
      <x:c r="K24" s="13" t="str"/>
      <x:c r="L24" s="13" t="str">
        <x:v>未开始</x:v>
      </x:c>
    </x:row>
    <x:row r="25">
      <x:c r="A25" s="13" t="str">
        <x:v>JE-020</x:v>
      </x:c>
      <x:c r="B25" s="19" t="str"/>
      <x:c r="C25" s="19" t="str"/>
      <x:c r="D25" s="17" t="n">
        <x:v>0</x:v>
      </x:c>
      <x:c r="E25" s="17" t="str"/>
      <x:c r="F25" s="17" t="n">
        <x:v>0</x:v>
      </x:c>
      <x:c r="G25" s="19" t="str"/>
      <x:c r="H25" s="19" t="str">
        <x:v>否</x:v>
      </x:c>
      <x:c r="I25" s="19" t="str"/>
      <x:c r="J25" s="13" t="str"/>
      <x:c r="K25" s="13" t="str"/>
      <x:c r="L25" s="13" t="str">
        <x:v>未开始</x:v>
      </x:c>
    </x:row>
    <x:row r="26">
      <x:c r="A26" s="13" t="str">
        <x:v>JE-021</x:v>
      </x:c>
      <x:c r="B26" s="19" t="str"/>
      <x:c r="C26" s="19" t="str"/>
      <x:c r="D26" s="17" t="n">
        <x:v>0</x:v>
      </x:c>
      <x:c r="E26" s="17" t="str"/>
      <x:c r="F26" s="17" t="n">
        <x:v>0</x:v>
      </x:c>
      <x:c r="G26" s="19" t="str"/>
      <x:c r="H26" s="19" t="str">
        <x:v>否</x:v>
      </x:c>
      <x:c r="I26" s="19" t="str"/>
      <x:c r="J26" s="13" t="str"/>
      <x:c r="K26" s="13" t="str"/>
      <x:c r="L26" s="13" t="str">
        <x:v>未开始</x:v>
      </x:c>
    </x:row>
    <x:row r="27">
      <x:c r="A27" s="13" t="str">
        <x:v>JE-022</x:v>
      </x:c>
      <x:c r="B27" s="19" t="str"/>
      <x:c r="C27" s="19" t="str"/>
      <x:c r="D27" s="17" t="n">
        <x:v>0</x:v>
      </x:c>
      <x:c r="E27" s="17" t="str"/>
      <x:c r="F27" s="17" t="n">
        <x:v>0</x:v>
      </x:c>
      <x:c r="G27" s="19" t="str"/>
      <x:c r="H27" s="19" t="str">
        <x:v>否</x:v>
      </x:c>
      <x:c r="I27" s="19" t="str"/>
      <x:c r="J27" s="13" t="str"/>
      <x:c r="K27" s="13" t="str"/>
      <x:c r="L27" s="13" t="str">
        <x:v>未开始</x:v>
      </x:c>
    </x:row>
    <x:row r="28">
      <x:c r="A28" s="13" t="str">
        <x:v>JE-023</x:v>
      </x:c>
      <x:c r="B28" s="19" t="str"/>
      <x:c r="C28" s="19" t="str"/>
      <x:c r="D28" s="17" t="n">
        <x:v>0</x:v>
      </x:c>
      <x:c r="E28" s="17" t="str"/>
      <x:c r="F28" s="17" t="n">
        <x:v>0</x:v>
      </x:c>
      <x:c r="G28" s="19" t="str"/>
      <x:c r="H28" s="19" t="str">
        <x:v>否</x:v>
      </x:c>
      <x:c r="I28" s="19" t="str"/>
      <x:c r="J28" s="13" t="str"/>
      <x:c r="K28" s="13" t="str"/>
      <x:c r="L28" s="13" t="str">
        <x:v>未开始</x:v>
      </x:c>
    </x:row>
    <x:row r="29">
      <x:c r="A29" s="13" t="str">
        <x:v>JE-024</x:v>
      </x:c>
      <x:c r="B29" s="19" t="str"/>
      <x:c r="C29" s="19" t="str"/>
      <x:c r="D29" s="17" t="n">
        <x:v>0</x:v>
      </x:c>
      <x:c r="E29" s="17" t="str"/>
      <x:c r="F29" s="17" t="n">
        <x:v>0</x:v>
      </x:c>
      <x:c r="G29" s="19" t="str"/>
      <x:c r="H29" s="19" t="str">
        <x:v>否</x:v>
      </x:c>
      <x:c r="I29" s="19" t="str"/>
      <x:c r="J29" s="13" t="str"/>
      <x:c r="K29" s="13" t="str"/>
      <x:c r="L29" s="13" t="str">
        <x:v>未开始</x:v>
      </x:c>
    </x:row>
    <x:row r="30">
      <x:c r="A30" s="13" t="str">
        <x:v>JE-025</x:v>
      </x:c>
      <x:c r="B30" s="19" t="str"/>
      <x:c r="C30" s="19" t="str"/>
      <x:c r="D30" s="17" t="n">
        <x:v>0</x:v>
      </x:c>
      <x:c r="E30" s="17" t="str"/>
      <x:c r="F30" s="17" t="n">
        <x:v>0</x:v>
      </x:c>
      <x:c r="G30" s="19" t="str"/>
      <x:c r="H30" s="19" t="str">
        <x:v>否</x:v>
      </x:c>
      <x:c r="I30" s="19" t="str"/>
      <x:c r="J30" s="13" t="str"/>
      <x:c r="K30" s="13" t="str"/>
      <x:c r="L30" s="13" t="str">
        <x:v>未开始</x:v>
      </x:c>
    </x:row>
    <x:row r="31">
      <x:c r="A31" s="13" t="str">
        <x:v>JE-026</x:v>
      </x:c>
      <x:c r="B31" s="19" t="str"/>
      <x:c r="C31" s="19" t="str"/>
      <x:c r="D31" s="17" t="n">
        <x:v>0</x:v>
      </x:c>
      <x:c r="E31" s="17" t="str"/>
      <x:c r="F31" s="17" t="n">
        <x:v>0</x:v>
      </x:c>
      <x:c r="G31" s="19" t="str"/>
      <x:c r="H31" s="19" t="str">
        <x:v>否</x:v>
      </x:c>
      <x:c r="I31" s="19" t="str"/>
      <x:c r="J31" s="13" t="str"/>
      <x:c r="K31" s="13" t="str"/>
      <x:c r="L31" s="13" t="str">
        <x:v>未开始</x:v>
      </x:c>
    </x:row>
    <x:row r="32">
      <x:c r="A32" s="13" t="str">
        <x:v>JE-027</x:v>
      </x:c>
      <x:c r="B32" s="19" t="str"/>
      <x:c r="C32" s="19" t="str"/>
      <x:c r="D32" s="17" t="n">
        <x:v>0</x:v>
      </x:c>
      <x:c r="E32" s="17" t="str"/>
      <x:c r="F32" s="17" t="n">
        <x:v>0</x:v>
      </x:c>
      <x:c r="G32" s="19" t="str"/>
      <x:c r="H32" s="19" t="str">
        <x:v>否</x:v>
      </x:c>
      <x:c r="I32" s="19" t="str"/>
      <x:c r="J32" s="13" t="str"/>
      <x:c r="K32" s="13" t="str"/>
      <x:c r="L32" s="13" t="str">
        <x:v>未开始</x:v>
      </x:c>
    </x:row>
    <x:row r="33">
      <x:c r="A33" s="13" t="str">
        <x:v>JE-028</x:v>
      </x:c>
      <x:c r="B33" s="19" t="str"/>
      <x:c r="C33" s="19" t="str"/>
      <x:c r="D33" s="17" t="n">
        <x:v>0</x:v>
      </x:c>
      <x:c r="E33" s="17" t="str"/>
      <x:c r="F33" s="17" t="n">
        <x:v>0</x:v>
      </x:c>
      <x:c r="G33" s="19" t="str"/>
      <x:c r="H33" s="19" t="str">
        <x:v>否</x:v>
      </x:c>
      <x:c r="I33" s="19" t="str"/>
      <x:c r="J33" s="13" t="str"/>
      <x:c r="K33" s="13" t="str"/>
      <x:c r="L33" s="13" t="str">
        <x:v>未开始</x:v>
      </x:c>
    </x:row>
    <x:row r="34">
      <x:c r="A34" s="13" t="str">
        <x:v>JE-029</x:v>
      </x:c>
      <x:c r="B34" s="19" t="str"/>
      <x:c r="C34" s="19" t="str"/>
      <x:c r="D34" s="17" t="n">
        <x:v>0</x:v>
      </x:c>
      <x:c r="E34" s="17" t="str"/>
      <x:c r="F34" s="17" t="n">
        <x:v>0</x:v>
      </x:c>
      <x:c r="G34" s="19" t="str"/>
      <x:c r="H34" s="19" t="str">
        <x:v>否</x:v>
      </x:c>
      <x:c r="I34" s="19" t="str"/>
      <x:c r="J34" s="13" t="str"/>
      <x:c r="K34" s="13" t="str"/>
      <x:c r="L34" s="13" t="str">
        <x:v>未开始</x:v>
      </x:c>
    </x:row>
    <x:row r="35">
      <x:c r="A35" s="13" t="str">
        <x:v>JE-030</x:v>
      </x:c>
      <x:c r="B35" s="19" t="str"/>
      <x:c r="C35" s="19" t="str"/>
      <x:c r="D35" s="17" t="n">
        <x:v>0</x:v>
      </x:c>
      <x:c r="E35" s="17" t="str"/>
      <x:c r="F35" s="17" t="n">
        <x:v>0</x:v>
      </x:c>
      <x:c r="G35" s="19" t="str"/>
      <x:c r="H35" s="19" t="str">
        <x:v>否</x:v>
      </x:c>
      <x:c r="I35" s="19" t="str"/>
      <x:c r="J35" s="13" t="str"/>
      <x:c r="K35" s="13" t="str"/>
      <x:c r="L35" s="13" t="str">
        <x:v>未开始</x:v>
      </x:c>
    </x:row>
    <x:row r="36">
      <x:c r="A36" s="13" t="str">
        <x:v>JE-031</x:v>
      </x:c>
      <x:c r="B36" s="19" t="str"/>
      <x:c r="C36" s="19" t="str"/>
      <x:c r="D36" s="17" t="n">
        <x:v>0</x:v>
      </x:c>
      <x:c r="E36" s="17" t="str"/>
      <x:c r="F36" s="17" t="n">
        <x:v>0</x:v>
      </x:c>
      <x:c r="G36" s="19" t="str"/>
      <x:c r="H36" s="19" t="str">
        <x:v>否</x:v>
      </x:c>
      <x:c r="I36" s="19" t="str"/>
      <x:c r="J36" s="13" t="str"/>
      <x:c r="K36" s="13" t="str"/>
      <x:c r="L36" s="13" t="str">
        <x:v>未开始</x:v>
      </x:c>
    </x:row>
    <x:row r="37">
      <x:c r="A37" s="13" t="str">
        <x:v>JE-032</x:v>
      </x:c>
      <x:c r="B37" s="19" t="str"/>
      <x:c r="C37" s="19" t="str"/>
      <x:c r="D37" s="17" t="n">
        <x:v>0</x:v>
      </x:c>
      <x:c r="E37" s="17" t="str"/>
      <x:c r="F37" s="17" t="n">
        <x:v>0</x:v>
      </x:c>
      <x:c r="G37" s="19" t="str"/>
      <x:c r="H37" s="19" t="str">
        <x:v>否</x:v>
      </x:c>
      <x:c r="I37" s="19" t="str"/>
      <x:c r="J37" s="13" t="str"/>
      <x:c r="K37" s="13" t="str"/>
      <x:c r="L37" s="13" t="str">
        <x:v>未开始</x:v>
      </x:c>
    </x:row>
    <x:row r="38">
      <x:c r="A38" s="13" t="str">
        <x:v>JE-033</x:v>
      </x:c>
      <x:c r="B38" s="19" t="str"/>
      <x:c r="C38" s="19" t="str"/>
      <x:c r="D38" s="17" t="n">
        <x:v>0</x:v>
      </x:c>
      <x:c r="E38" s="17" t="str"/>
      <x:c r="F38" s="17" t="n">
        <x:v>0</x:v>
      </x:c>
      <x:c r="G38" s="19" t="str"/>
      <x:c r="H38" s="19" t="str">
        <x:v>否</x:v>
      </x:c>
      <x:c r="I38" s="19" t="str"/>
      <x:c r="J38" s="13" t="str"/>
      <x:c r="K38" s="13" t="str"/>
      <x:c r="L38" s="13" t="str">
        <x:v>未开始</x:v>
      </x:c>
    </x:row>
    <x:row r="39">
      <x:c r="A39" s="13" t="str">
        <x:v>JE-034</x:v>
      </x:c>
      <x:c r="B39" s="19" t="str"/>
      <x:c r="C39" s="19" t="str"/>
      <x:c r="D39" s="17" t="n">
        <x:v>0</x:v>
      </x:c>
      <x:c r="E39" s="17" t="str"/>
      <x:c r="F39" s="17" t="n">
        <x:v>0</x:v>
      </x:c>
      <x:c r="G39" s="19" t="str"/>
      <x:c r="H39" s="19" t="str">
        <x:v>否</x:v>
      </x:c>
      <x:c r="I39" s="19" t="str"/>
      <x:c r="J39" s="13" t="str"/>
      <x:c r="K39" s="13" t="str"/>
      <x:c r="L39" s="13" t="str">
        <x:v>未开始</x:v>
      </x:c>
    </x:row>
    <x:row r="40">
      <x:c r="A40" s="13" t="str">
        <x:v>JE-035</x:v>
      </x:c>
      <x:c r="B40" s="19" t="str"/>
      <x:c r="C40" s="19" t="str"/>
      <x:c r="D40" s="17" t="n">
        <x:v>0</x:v>
      </x:c>
      <x:c r="E40" s="17" t="str"/>
      <x:c r="F40" s="17" t="n">
        <x:v>0</x:v>
      </x:c>
      <x:c r="G40" s="19" t="str"/>
      <x:c r="H40" s="19" t="str">
        <x:v>否</x:v>
      </x:c>
      <x:c r="I40" s="19" t="str"/>
      <x:c r="J40" s="13" t="str"/>
      <x:c r="K40" s="13" t="str"/>
      <x:c r="L40" s="13" t="str">
        <x:v>未开始</x:v>
      </x:c>
    </x:row>
    <x:row r="41">
      <x:c r="A41" s="13" t="str">
        <x:v>JE-036</x:v>
      </x:c>
      <x:c r="B41" s="19" t="str"/>
      <x:c r="C41" s="19" t="str"/>
      <x:c r="D41" s="17" t="n">
        <x:v>0</x:v>
      </x:c>
      <x:c r="E41" s="17" t="str"/>
      <x:c r="F41" s="17" t="n">
        <x:v>0</x:v>
      </x:c>
      <x:c r="G41" s="19" t="str"/>
      <x:c r="H41" s="19" t="str">
        <x:v>否</x:v>
      </x:c>
      <x:c r="I41" s="19" t="str"/>
      <x:c r="J41" s="13" t="str"/>
      <x:c r="K41" s="13" t="str"/>
      <x:c r="L41" s="13" t="str">
        <x:v>未开始</x:v>
      </x:c>
    </x:row>
    <x:row r="42">
      <x:c r="A42" s="13" t="str">
        <x:v>JE-037</x:v>
      </x:c>
      <x:c r="B42" s="19" t="str"/>
      <x:c r="C42" s="19" t="str"/>
      <x:c r="D42" s="17" t="n">
        <x:v>0</x:v>
      </x:c>
      <x:c r="E42" s="17" t="str"/>
      <x:c r="F42" s="17" t="n">
        <x:v>0</x:v>
      </x:c>
      <x:c r="G42" s="19" t="str"/>
      <x:c r="H42" s="19" t="str">
        <x:v>否</x:v>
      </x:c>
      <x:c r="I42" s="19" t="str"/>
      <x:c r="J42" s="13" t="str"/>
      <x:c r="K42" s="13" t="str"/>
      <x:c r="L42" s="13" t="str">
        <x:v>未开始</x:v>
      </x:c>
    </x:row>
    <x:row r="43">
      <x:c r="A43" s="13" t="str">
        <x:v>JE-038</x:v>
      </x:c>
      <x:c r="B43" s="19" t="str"/>
      <x:c r="C43" s="19" t="str"/>
      <x:c r="D43" s="17" t="n">
        <x:v>0</x:v>
      </x:c>
      <x:c r="E43" s="17" t="str"/>
      <x:c r="F43" s="17" t="n">
        <x:v>0</x:v>
      </x:c>
      <x:c r="G43" s="19" t="str"/>
      <x:c r="H43" s="19" t="str">
        <x:v>否</x:v>
      </x:c>
      <x:c r="I43" s="19" t="str"/>
      <x:c r="J43" s="13" t="str"/>
      <x:c r="K43" s="13" t="str"/>
      <x:c r="L43" s="13" t="str">
        <x:v>未开始</x:v>
      </x:c>
    </x:row>
    <x:row r="44">
      <x:c r="A44" s="13" t="str">
        <x:v>JE-039</x:v>
      </x:c>
      <x:c r="B44" s="19" t="str"/>
      <x:c r="C44" s="19" t="str"/>
      <x:c r="D44" s="17" t="n">
        <x:v>0</x:v>
      </x:c>
      <x:c r="E44" s="17" t="str"/>
      <x:c r="F44" s="17" t="n">
        <x:v>0</x:v>
      </x:c>
      <x:c r="G44" s="19" t="str"/>
      <x:c r="H44" s="19" t="str">
        <x:v>否</x:v>
      </x:c>
      <x:c r="I44" s="19" t="str"/>
      <x:c r="J44" s="13" t="str"/>
      <x:c r="K44" s="13" t="str"/>
      <x:c r="L44" s="13" t="str">
        <x:v>未开始</x:v>
      </x:c>
    </x:row>
    <x:row r="45">
      <x:c r="A45" s="13" t="str">
        <x:v>JE-040</x:v>
      </x:c>
      <x:c r="B45" s="19" t="str"/>
      <x:c r="C45" s="19" t="str"/>
      <x:c r="D45" s="17" t="n">
        <x:v>0</x:v>
      </x:c>
      <x:c r="E45" s="17" t="str"/>
      <x:c r="F45" s="17" t="n">
        <x:v>0</x:v>
      </x:c>
      <x:c r="G45" s="19" t="str"/>
      <x:c r="H45" s="19" t="str">
        <x:v>否</x:v>
      </x:c>
      <x:c r="I45" s="19" t="str"/>
      <x:c r="J45" s="13" t="str"/>
      <x:c r="K45" s="13" t="str"/>
      <x:c r="L45" s="13" t="str">
        <x:v>未开始</x:v>
      </x:c>
    </x:row>
  </x:sheetData>
  <x:mergeCells>
    <x:mergeCell ref="A1:L1"/>
    <x:mergeCell ref="A2:L2"/>
  </x:mergeCells>
  <x:conditionalFormatting sqref="L6:L45">
    <x:cfRule type="containsText" dxfId="45" priority="1" operator="containsText" text="已完成"/>
    <x:cfRule type="containsText" dxfId="46" priority="2" operator="containsText" text="未开始"/>
    <x:cfRule type="containsText" dxfId="47" priority="3" operator="containsText" text="异常"/>
  </x:conditionalFormatting>
  <x:dataValidations count="1">
    <x:dataValidation type="list" sqref="L6:L4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adc78d852e44c3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6" hidden="0" customWidth="1"/>
    <x:col min="5" max="5" width="24" hidden="0" customWidth="1"/>
    <x:col min="6" max="6" width="14" hidden="0" customWidth="1"/>
    <x:col min="7" max="7" width="32" hidden="0" customWidth="1"/>
    <x:col min="8" max="8" width="13" hidden="0" customWidth="1"/>
    <x:col min="9" max="9" width="13" hidden="0" customWidth="1"/>
    <x:col min="10" max="10" width="13" hidden="0" customWidth="1"/>
    <x:col min="11" max="11" width="11" hidden="0" customWidth="1"/>
  </x:cols>
  <x:sheetData>
    <x:row r="1" ht="30" customHeight="1">
      <x:c r="A1" s="1" t="str">
        <x:v>报表重分类清单</x:v>
      </x:c>
    </x:row>
    <x:row r="2" ht="25" customHeight="1">
      <x:c r="A2" s="3" t="str">
        <x:v>仅列报层调整，不改变总账；必须记录报表项目、金额和抵销关系。</x:v>
      </x:c>
    </x:row>
    <x:row r="5" ht="35" customHeight="1">
      <x:c r="A5" s="9" t="str">
        <x:v>编号</x:v>
      </x:c>
      <x:c r="B5" s="9" t="str">
        <x:v>事项</x:v>
      </x:c>
      <x:c r="C5" s="9" t="str">
        <x:v>原列报项目</x:v>
      </x:c>
      <x:c r="D5" s="9" t="str">
        <x:v>调整金额</x:v>
      </x:c>
      <x:c r="E5" s="9" t="str">
        <x:v>调整后项目</x:v>
      </x:c>
      <x:c r="F5" s="9" t="str">
        <x:v>报表</x:v>
      </x:c>
      <x:c r="G5" s="9" t="str">
        <x:v>原因</x:v>
      </x:c>
      <x:c r="H5" s="9" t="str">
        <x:v>是否影响账</x:v>
      </x:c>
      <x:c r="I5" s="9" t="str">
        <x:v>编制人</x:v>
      </x:c>
      <x:c r="J5" s="9" t="str">
        <x:v>复核人</x:v>
      </x:c>
      <x:c r="K5" s="9" t="str">
        <x:v>状态</x:v>
      </x:c>
    </x:row>
    <x:row r="6">
      <x:c r="A6" s="13" t="str">
        <x:v>RC-001</x:v>
      </x:c>
      <x:c r="B6" s="19" t="str"/>
      <x:c r="C6" s="19" t="str"/>
      <x:c r="D6" s="17" t="n">
        <x:v>0</x:v>
      </x:c>
      <x:c r="E6" s="19" t="str"/>
      <x:c r="F6" s="19" t="str"/>
      <x:c r="G6" s="19" t="str"/>
      <x:c r="H6" s="19" t="str">
        <x:v>否</x:v>
      </x:c>
      <x:c r="I6" s="13" t="str"/>
      <x:c r="J6" s="13" t="str"/>
      <x:c r="K6" s="13" t="str">
        <x:v>未开始</x:v>
      </x:c>
    </x:row>
    <x:row r="7">
      <x:c r="A7" s="13" t="str">
        <x:v>RC-002</x:v>
      </x:c>
      <x:c r="B7" s="19" t="str"/>
      <x:c r="C7" s="19" t="str"/>
      <x:c r="D7" s="17" t="n">
        <x:v>0</x:v>
      </x:c>
      <x:c r="E7" s="19" t="str"/>
      <x:c r="F7" s="19" t="str"/>
      <x:c r="G7" s="19" t="str"/>
      <x:c r="H7" s="19" t="str">
        <x:v>否</x:v>
      </x:c>
      <x:c r="I7" s="13" t="str"/>
      <x:c r="J7" s="13" t="str"/>
      <x:c r="K7" s="13" t="str">
        <x:v>未开始</x:v>
      </x:c>
    </x:row>
    <x:row r="8">
      <x:c r="A8" s="13" t="str">
        <x:v>RC-003</x:v>
      </x:c>
      <x:c r="B8" s="19" t="str"/>
      <x:c r="C8" s="19" t="str"/>
      <x:c r="D8" s="17" t="n">
        <x:v>0</x:v>
      </x:c>
      <x:c r="E8" s="19" t="str"/>
      <x:c r="F8" s="19" t="str"/>
      <x:c r="G8" s="19" t="str"/>
      <x:c r="H8" s="19" t="str">
        <x:v>否</x:v>
      </x:c>
      <x:c r="I8" s="13" t="str"/>
      <x:c r="J8" s="13" t="str"/>
      <x:c r="K8" s="13" t="str">
        <x:v>未开始</x:v>
      </x:c>
    </x:row>
    <x:row r="9">
      <x:c r="A9" s="13" t="str">
        <x:v>RC-004</x:v>
      </x:c>
      <x:c r="B9" s="19" t="str"/>
      <x:c r="C9" s="19" t="str"/>
      <x:c r="D9" s="17" t="n">
        <x:v>0</x:v>
      </x:c>
      <x:c r="E9" s="19" t="str"/>
      <x:c r="F9" s="19" t="str"/>
      <x:c r="G9" s="19" t="str"/>
      <x:c r="H9" s="19" t="str">
        <x:v>否</x:v>
      </x:c>
      <x:c r="I9" s="13" t="str"/>
      <x:c r="J9" s="13" t="str"/>
      <x:c r="K9" s="13" t="str">
        <x:v>未开始</x:v>
      </x:c>
    </x:row>
    <x:row r="10">
      <x:c r="A10" s="13" t="str">
        <x:v>RC-005</x:v>
      </x:c>
      <x:c r="B10" s="19" t="str"/>
      <x:c r="C10" s="19" t="str"/>
      <x:c r="D10" s="17" t="n">
        <x:v>0</x:v>
      </x:c>
      <x:c r="E10" s="19" t="str"/>
      <x:c r="F10" s="19" t="str"/>
      <x:c r="G10" s="19" t="str"/>
      <x:c r="H10" s="19" t="str">
        <x:v>否</x:v>
      </x:c>
      <x:c r="I10" s="13" t="str"/>
      <x:c r="J10" s="13" t="str"/>
      <x:c r="K10" s="13" t="str">
        <x:v>未开始</x:v>
      </x:c>
    </x:row>
    <x:row r="11">
      <x:c r="A11" s="13" t="str">
        <x:v>RC-006</x:v>
      </x:c>
      <x:c r="B11" s="19" t="str"/>
      <x:c r="C11" s="19" t="str"/>
      <x:c r="D11" s="17" t="n">
        <x:v>0</x:v>
      </x:c>
      <x:c r="E11" s="19" t="str"/>
      <x:c r="F11" s="19" t="str"/>
      <x:c r="G11" s="19" t="str"/>
      <x:c r="H11" s="19" t="str">
        <x:v>否</x:v>
      </x:c>
      <x:c r="I11" s="13" t="str"/>
      <x:c r="J11" s="13" t="str"/>
      <x:c r="K11" s="13" t="str">
        <x:v>未开始</x:v>
      </x:c>
    </x:row>
    <x:row r="12">
      <x:c r="A12" s="13" t="str">
        <x:v>RC-007</x:v>
      </x:c>
      <x:c r="B12" s="19" t="str"/>
      <x:c r="C12" s="19" t="str"/>
      <x:c r="D12" s="17" t="n">
        <x:v>0</x:v>
      </x:c>
      <x:c r="E12" s="19" t="str"/>
      <x:c r="F12" s="19" t="str"/>
      <x:c r="G12" s="19" t="str"/>
      <x:c r="H12" s="19" t="str">
        <x:v>否</x:v>
      </x:c>
      <x:c r="I12" s="13" t="str"/>
      <x:c r="J12" s="13" t="str"/>
      <x:c r="K12" s="13" t="str">
        <x:v>未开始</x:v>
      </x:c>
    </x:row>
    <x:row r="13">
      <x:c r="A13" s="13" t="str">
        <x:v>RC-008</x:v>
      </x:c>
      <x:c r="B13" s="19" t="str"/>
      <x:c r="C13" s="19" t="str"/>
      <x:c r="D13" s="17" t="n">
        <x:v>0</x:v>
      </x:c>
      <x:c r="E13" s="19" t="str"/>
      <x:c r="F13" s="19" t="str"/>
      <x:c r="G13" s="19" t="str"/>
      <x:c r="H13" s="19" t="str">
        <x:v>否</x:v>
      </x:c>
      <x:c r="I13" s="13" t="str"/>
      <x:c r="J13" s="13" t="str"/>
      <x:c r="K13" s="13" t="str">
        <x:v>未开始</x:v>
      </x:c>
    </x:row>
    <x:row r="14">
      <x:c r="A14" s="13" t="str">
        <x:v>RC-009</x:v>
      </x:c>
      <x:c r="B14" s="19" t="str"/>
      <x:c r="C14" s="19" t="str"/>
      <x:c r="D14" s="17" t="n">
        <x:v>0</x:v>
      </x:c>
      <x:c r="E14" s="19" t="str"/>
      <x:c r="F14" s="19" t="str"/>
      <x:c r="G14" s="19" t="str"/>
      <x:c r="H14" s="19" t="str">
        <x:v>否</x:v>
      </x:c>
      <x:c r="I14" s="13" t="str"/>
      <x:c r="J14" s="13" t="str"/>
      <x:c r="K14" s="13" t="str">
        <x:v>未开始</x:v>
      </x:c>
    </x:row>
    <x:row r="15">
      <x:c r="A15" s="13" t="str">
        <x:v>RC-010</x:v>
      </x:c>
      <x:c r="B15" s="19" t="str"/>
      <x:c r="C15" s="19" t="str"/>
      <x:c r="D15" s="17" t="n">
        <x:v>0</x:v>
      </x:c>
      <x:c r="E15" s="19" t="str"/>
      <x:c r="F15" s="19" t="str"/>
      <x:c r="G15" s="19" t="str"/>
      <x:c r="H15" s="19" t="str">
        <x:v>否</x:v>
      </x:c>
      <x:c r="I15" s="13" t="str"/>
      <x:c r="J15" s="13" t="str"/>
      <x:c r="K15" s="13" t="str">
        <x:v>未开始</x:v>
      </x:c>
    </x:row>
    <x:row r="16">
      <x:c r="A16" s="13" t="str">
        <x:v>RC-011</x:v>
      </x:c>
      <x:c r="B16" s="19" t="str"/>
      <x:c r="C16" s="19" t="str"/>
      <x:c r="D16" s="17" t="n">
        <x:v>0</x:v>
      </x:c>
      <x:c r="E16" s="19" t="str"/>
      <x:c r="F16" s="19" t="str"/>
      <x:c r="G16" s="19" t="str"/>
      <x:c r="H16" s="19" t="str">
        <x:v>否</x:v>
      </x:c>
      <x:c r="I16" s="13" t="str"/>
      <x:c r="J16" s="13" t="str"/>
      <x:c r="K16" s="13" t="str">
        <x:v>未开始</x:v>
      </x:c>
    </x:row>
    <x:row r="17">
      <x:c r="A17" s="13" t="str">
        <x:v>RC-012</x:v>
      </x:c>
      <x:c r="B17" s="19" t="str"/>
      <x:c r="C17" s="19" t="str"/>
      <x:c r="D17" s="17" t="n">
        <x:v>0</x:v>
      </x:c>
      <x:c r="E17" s="19" t="str"/>
      <x:c r="F17" s="19" t="str"/>
      <x:c r="G17" s="19" t="str"/>
      <x:c r="H17" s="19" t="str">
        <x:v>否</x:v>
      </x:c>
      <x:c r="I17" s="13" t="str"/>
      <x:c r="J17" s="13" t="str"/>
      <x:c r="K17" s="13" t="str">
        <x:v>未开始</x:v>
      </x:c>
    </x:row>
    <x:row r="18">
      <x:c r="A18" s="13" t="str">
        <x:v>RC-013</x:v>
      </x:c>
      <x:c r="B18" s="19" t="str"/>
      <x:c r="C18" s="19" t="str"/>
      <x:c r="D18" s="17" t="n">
        <x:v>0</x:v>
      </x:c>
      <x:c r="E18" s="19" t="str"/>
      <x:c r="F18" s="19" t="str"/>
      <x:c r="G18" s="19" t="str"/>
      <x:c r="H18" s="19" t="str">
        <x:v>否</x:v>
      </x:c>
      <x:c r="I18" s="13" t="str"/>
      <x:c r="J18" s="13" t="str"/>
      <x:c r="K18" s="13" t="str">
        <x:v>未开始</x:v>
      </x:c>
    </x:row>
    <x:row r="19">
      <x:c r="A19" s="13" t="str">
        <x:v>RC-014</x:v>
      </x:c>
      <x:c r="B19" s="19" t="str"/>
      <x:c r="C19" s="19" t="str"/>
      <x:c r="D19" s="17" t="n">
        <x:v>0</x:v>
      </x:c>
      <x:c r="E19" s="19" t="str"/>
      <x:c r="F19" s="19" t="str"/>
      <x:c r="G19" s="19" t="str"/>
      <x:c r="H19" s="19" t="str">
        <x:v>否</x:v>
      </x:c>
      <x:c r="I19" s="13" t="str"/>
      <x:c r="J19" s="13" t="str"/>
      <x:c r="K19" s="13" t="str">
        <x:v>未开始</x:v>
      </x:c>
    </x:row>
    <x:row r="20">
      <x:c r="A20" s="13" t="str">
        <x:v>RC-015</x:v>
      </x:c>
      <x:c r="B20" s="19" t="str"/>
      <x:c r="C20" s="19" t="str"/>
      <x:c r="D20" s="17" t="n">
        <x:v>0</x:v>
      </x:c>
      <x:c r="E20" s="19" t="str"/>
      <x:c r="F20" s="19" t="str"/>
      <x:c r="G20" s="19" t="str"/>
      <x:c r="H20" s="19" t="str">
        <x:v>否</x:v>
      </x:c>
      <x:c r="I20" s="13" t="str"/>
      <x:c r="J20" s="13" t="str"/>
      <x:c r="K20" s="13" t="str">
        <x:v>未开始</x:v>
      </x:c>
    </x:row>
    <x:row r="21">
      <x:c r="A21" s="13" t="str">
        <x:v>RC-016</x:v>
      </x:c>
      <x:c r="B21" s="19" t="str"/>
      <x:c r="C21" s="19" t="str"/>
      <x:c r="D21" s="17" t="n">
        <x:v>0</x:v>
      </x:c>
      <x:c r="E21" s="19" t="str"/>
      <x:c r="F21" s="19" t="str"/>
      <x:c r="G21" s="19" t="str"/>
      <x:c r="H21" s="19" t="str">
        <x:v>否</x:v>
      </x:c>
      <x:c r="I21" s="13" t="str"/>
      <x:c r="J21" s="13" t="str"/>
      <x:c r="K21" s="13" t="str">
        <x:v>未开始</x:v>
      </x:c>
    </x:row>
    <x:row r="22">
      <x:c r="A22" s="13" t="str">
        <x:v>RC-017</x:v>
      </x:c>
      <x:c r="B22" s="19" t="str"/>
      <x:c r="C22" s="19" t="str"/>
      <x:c r="D22" s="17" t="n">
        <x:v>0</x:v>
      </x:c>
      <x:c r="E22" s="19" t="str"/>
      <x:c r="F22" s="19" t="str"/>
      <x:c r="G22" s="19" t="str"/>
      <x:c r="H22" s="19" t="str">
        <x:v>否</x:v>
      </x:c>
      <x:c r="I22" s="13" t="str"/>
      <x:c r="J22" s="13" t="str"/>
      <x:c r="K22" s="13" t="str">
        <x:v>未开始</x:v>
      </x:c>
    </x:row>
    <x:row r="23">
      <x:c r="A23" s="13" t="str">
        <x:v>RC-018</x:v>
      </x:c>
      <x:c r="B23" s="19" t="str"/>
      <x:c r="C23" s="19" t="str"/>
      <x:c r="D23" s="17" t="n">
        <x:v>0</x:v>
      </x:c>
      <x:c r="E23" s="19" t="str"/>
      <x:c r="F23" s="19" t="str"/>
      <x:c r="G23" s="19" t="str"/>
      <x:c r="H23" s="19" t="str">
        <x:v>否</x:v>
      </x:c>
      <x:c r="I23" s="13" t="str"/>
      <x:c r="J23" s="13" t="str"/>
      <x:c r="K23" s="13" t="str">
        <x:v>未开始</x:v>
      </x:c>
    </x:row>
    <x:row r="24">
      <x:c r="A24" s="13" t="str">
        <x:v>RC-019</x:v>
      </x:c>
      <x:c r="B24" s="19" t="str"/>
      <x:c r="C24" s="19" t="str"/>
      <x:c r="D24" s="17" t="n">
        <x:v>0</x:v>
      </x:c>
      <x:c r="E24" s="19" t="str"/>
      <x:c r="F24" s="19" t="str"/>
      <x:c r="G24" s="19" t="str"/>
      <x:c r="H24" s="19" t="str">
        <x:v>否</x:v>
      </x:c>
      <x:c r="I24" s="13" t="str"/>
      <x:c r="J24" s="13" t="str"/>
      <x:c r="K24" s="13" t="str">
        <x:v>未开始</x:v>
      </x:c>
    </x:row>
    <x:row r="25">
      <x:c r="A25" s="13" t="str">
        <x:v>RC-020</x:v>
      </x:c>
      <x:c r="B25" s="19" t="str"/>
      <x:c r="C25" s="19" t="str"/>
      <x:c r="D25" s="17" t="n">
        <x:v>0</x:v>
      </x:c>
      <x:c r="E25" s="19" t="str"/>
      <x:c r="F25" s="19" t="str"/>
      <x:c r="G25" s="19" t="str"/>
      <x:c r="H25" s="19" t="str">
        <x:v>否</x:v>
      </x:c>
      <x:c r="I25" s="13" t="str"/>
      <x:c r="J25" s="13" t="str"/>
      <x:c r="K25" s="13" t="str">
        <x:v>未开始</x:v>
      </x:c>
    </x:row>
    <x:row r="26">
      <x:c r="A26" s="13" t="str">
        <x:v>RC-021</x:v>
      </x:c>
      <x:c r="B26" s="19" t="str"/>
      <x:c r="C26" s="19" t="str"/>
      <x:c r="D26" s="17" t="n">
        <x:v>0</x:v>
      </x:c>
      <x:c r="E26" s="19" t="str"/>
      <x:c r="F26" s="19" t="str"/>
      <x:c r="G26" s="19" t="str"/>
      <x:c r="H26" s="19" t="str">
        <x:v>否</x:v>
      </x:c>
      <x:c r="I26" s="13" t="str"/>
      <x:c r="J26" s="13" t="str"/>
      <x:c r="K26" s="13" t="str">
        <x:v>未开始</x:v>
      </x:c>
    </x:row>
    <x:row r="27">
      <x:c r="A27" s="13" t="str">
        <x:v>RC-022</x:v>
      </x:c>
      <x:c r="B27" s="19" t="str"/>
      <x:c r="C27" s="19" t="str"/>
      <x:c r="D27" s="17" t="n">
        <x:v>0</x:v>
      </x:c>
      <x:c r="E27" s="19" t="str"/>
      <x:c r="F27" s="19" t="str"/>
      <x:c r="G27" s="19" t="str"/>
      <x:c r="H27" s="19" t="str">
        <x:v>否</x:v>
      </x:c>
      <x:c r="I27" s="13" t="str"/>
      <x:c r="J27" s="13" t="str"/>
      <x:c r="K27" s="13" t="str">
        <x:v>未开始</x:v>
      </x:c>
    </x:row>
    <x:row r="28">
      <x:c r="A28" s="13" t="str">
        <x:v>RC-023</x:v>
      </x:c>
      <x:c r="B28" s="19" t="str"/>
      <x:c r="C28" s="19" t="str"/>
      <x:c r="D28" s="17" t="n">
        <x:v>0</x:v>
      </x:c>
      <x:c r="E28" s="19" t="str"/>
      <x:c r="F28" s="19" t="str"/>
      <x:c r="G28" s="19" t="str"/>
      <x:c r="H28" s="19" t="str">
        <x:v>否</x:v>
      </x:c>
      <x:c r="I28" s="13" t="str"/>
      <x:c r="J28" s="13" t="str"/>
      <x:c r="K28" s="13" t="str">
        <x:v>未开始</x:v>
      </x:c>
    </x:row>
    <x:row r="29">
      <x:c r="A29" s="13" t="str">
        <x:v>RC-024</x:v>
      </x:c>
      <x:c r="B29" s="19" t="str"/>
      <x:c r="C29" s="19" t="str"/>
      <x:c r="D29" s="17" t="n">
        <x:v>0</x:v>
      </x:c>
      <x:c r="E29" s="19" t="str"/>
      <x:c r="F29" s="19" t="str"/>
      <x:c r="G29" s="19" t="str"/>
      <x:c r="H29" s="19" t="str">
        <x:v>否</x:v>
      </x:c>
      <x:c r="I29" s="13" t="str"/>
      <x:c r="J29" s="13" t="str"/>
      <x:c r="K29" s="13" t="str">
        <x:v>未开始</x:v>
      </x:c>
    </x:row>
    <x:row r="30">
      <x:c r="A30" s="13" t="str">
        <x:v>RC-025</x:v>
      </x:c>
      <x:c r="B30" s="19" t="str"/>
      <x:c r="C30" s="19" t="str"/>
      <x:c r="D30" s="17" t="n">
        <x:v>0</x:v>
      </x:c>
      <x:c r="E30" s="19" t="str"/>
      <x:c r="F30" s="19" t="str"/>
      <x:c r="G30" s="19" t="str"/>
      <x:c r="H30" s="19" t="str">
        <x:v>否</x:v>
      </x:c>
      <x:c r="I30" s="13" t="str"/>
      <x:c r="J30" s="13" t="str"/>
      <x:c r="K30" s="13" t="str">
        <x:v>未开始</x:v>
      </x:c>
    </x:row>
    <x:row r="31">
      <x:c r="A31" s="13" t="str">
        <x:v>RC-026</x:v>
      </x:c>
      <x:c r="B31" s="19" t="str"/>
      <x:c r="C31" s="19" t="str"/>
      <x:c r="D31" s="17" t="n">
        <x:v>0</x:v>
      </x:c>
      <x:c r="E31" s="19" t="str"/>
      <x:c r="F31" s="19" t="str"/>
      <x:c r="G31" s="19" t="str"/>
      <x:c r="H31" s="19" t="str">
        <x:v>否</x:v>
      </x:c>
      <x:c r="I31" s="13" t="str"/>
      <x:c r="J31" s="13" t="str"/>
      <x:c r="K31" s="13" t="str">
        <x:v>未开始</x:v>
      </x:c>
    </x:row>
    <x:row r="32">
      <x:c r="A32" s="13" t="str">
        <x:v>RC-027</x:v>
      </x:c>
      <x:c r="B32" s="19" t="str"/>
      <x:c r="C32" s="19" t="str"/>
      <x:c r="D32" s="17" t="n">
        <x:v>0</x:v>
      </x:c>
      <x:c r="E32" s="19" t="str"/>
      <x:c r="F32" s="19" t="str"/>
      <x:c r="G32" s="19" t="str"/>
      <x:c r="H32" s="19" t="str">
        <x:v>否</x:v>
      </x:c>
      <x:c r="I32" s="13" t="str"/>
      <x:c r="J32" s="13" t="str"/>
      <x:c r="K32" s="13" t="str">
        <x:v>未开始</x:v>
      </x:c>
    </x:row>
    <x:row r="33">
      <x:c r="A33" s="13" t="str">
        <x:v>RC-028</x:v>
      </x:c>
      <x:c r="B33" s="19" t="str"/>
      <x:c r="C33" s="19" t="str"/>
      <x:c r="D33" s="17" t="n">
        <x:v>0</x:v>
      </x:c>
      <x:c r="E33" s="19" t="str"/>
      <x:c r="F33" s="19" t="str"/>
      <x:c r="G33" s="19" t="str"/>
      <x:c r="H33" s="19" t="str">
        <x:v>否</x:v>
      </x:c>
      <x:c r="I33" s="13" t="str"/>
      <x:c r="J33" s="13" t="str"/>
      <x:c r="K33" s="13" t="str">
        <x:v>未开始</x:v>
      </x:c>
    </x:row>
    <x:row r="34">
      <x:c r="A34" s="13" t="str">
        <x:v>RC-029</x:v>
      </x:c>
      <x:c r="B34" s="19" t="str"/>
      <x:c r="C34" s="19" t="str"/>
      <x:c r="D34" s="17" t="n">
        <x:v>0</x:v>
      </x:c>
      <x:c r="E34" s="19" t="str"/>
      <x:c r="F34" s="19" t="str"/>
      <x:c r="G34" s="19" t="str"/>
      <x:c r="H34" s="19" t="str">
        <x:v>否</x:v>
      </x:c>
      <x:c r="I34" s="13" t="str"/>
      <x:c r="J34" s="13" t="str"/>
      <x:c r="K34" s="13" t="str">
        <x:v>未开始</x:v>
      </x:c>
    </x:row>
    <x:row r="35">
      <x:c r="A35" s="13" t="str">
        <x:v>RC-030</x:v>
      </x:c>
      <x:c r="B35" s="19" t="str"/>
      <x:c r="C35" s="19" t="str"/>
      <x:c r="D35" s="17" t="n">
        <x:v>0</x:v>
      </x:c>
      <x:c r="E35" s="19" t="str"/>
      <x:c r="F35" s="19" t="str"/>
      <x:c r="G35" s="19" t="str"/>
      <x:c r="H35" s="19" t="str">
        <x:v>否</x:v>
      </x:c>
      <x:c r="I35" s="13" t="str"/>
      <x:c r="J35" s="13" t="str"/>
      <x:c r="K35" s="13" t="str">
        <x:v>未开始</x:v>
      </x:c>
    </x:row>
  </x:sheetData>
  <x:mergeCells>
    <x:mergeCell ref="A1:K1"/>
    <x:mergeCell ref="A2:K2"/>
  </x:mergeCells>
  <x:conditionalFormatting sqref="K6:K35">
    <x:cfRule type="containsText" dxfId="48" priority="1" operator="containsText" text="已完成"/>
    <x:cfRule type="containsText" dxfId="49" priority="2" operator="containsText" text="未开始"/>
    <x:cfRule type="containsText" dxfId="50" priority="3" operator="containsText" text="异常"/>
  </x:conditionalFormatting>
  <x:dataValidations count="1">
    <x:dataValidation type="list" sqref="K6:K3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1c428577ea4b5f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24" hidden="0" customWidth="1"/>
    <x:col min="5" max="5" width="24" hidden="0" customWidth="1"/>
    <x:col min="6" max="6" width="15" hidden="0" customWidth="1"/>
    <x:col min="7" max="7" width="32" hidden="0" customWidth="1"/>
    <x:col min="8" max="8" width="13" hidden="0" customWidth="1"/>
    <x:col min="9" max="9" width="14" hidden="0" customWidth="1"/>
    <x:col min="10" max="10" width="32" hidden="0" customWidth="1"/>
    <x:col min="11" max="11" width="11" hidden="0" customWidth="1"/>
    <x:col min="12" max="12" width="14" hidden="0" customWidth="1"/>
  </x:cols>
  <x:sheetData>
    <x:row r="1" ht="30" customHeight="1">
      <x:c r="A1" s="1" t="str">
        <x:v>未决事项与主管复核</x:v>
      </x:c>
    </x:row>
    <x:row r="2" ht="25" customHeight="1">
      <x:c r="A2" s="3" t="str">
        <x:v>月结关闭不等于问题消失；重大事项应明确是否阻断、谁批准带入下月。</x:v>
      </x:c>
    </x:row>
    <x:row r="5" ht="35" customHeight="1">
      <x:c r="A5" s="9" t="str">
        <x:v>编号</x:v>
      </x:c>
      <x:c r="B5" s="9" t="str">
        <x:v>事项</x:v>
      </x:c>
      <x:c r="C5" s="9" t="str">
        <x:v>金额</x:v>
      </x:c>
      <x:c r="D5" s="9" t="str">
        <x:v>报表影响</x:v>
      </x:c>
      <x:c r="E5" s="9" t="str">
        <x:v>税务影响</x:v>
      </x:c>
      <x:c r="F5" s="9" t="str">
        <x:v>是否阻断月结</x:v>
      </x:c>
      <x:c r="G5" s="9" t="str">
        <x:v>处理方案</x:v>
      </x:c>
      <x:c r="H5" s="9" t="str">
        <x:v>责任人</x:v>
      </x:c>
      <x:c r="I5" s="9" t="str">
        <x:v>截止日期</x:v>
      </x:c>
      <x:c r="J5" s="9" t="str">
        <x:v>主管结论</x:v>
      </x:c>
      <x:c r="K5" s="9" t="str">
        <x:v>状态</x:v>
      </x:c>
      <x:c r="L5" s="9" t="str">
        <x:v>关闭日期</x:v>
      </x:c>
    </x:row>
    <x:row r="6">
      <x:c r="A6" s="13" t="str">
        <x:v>OI-001</x:v>
      </x:c>
      <x:c r="B6" s="19" t="str"/>
      <x:c r="C6" s="17" t="n">
        <x:v>0</x:v>
      </x:c>
      <x:c r="D6" s="19" t="str"/>
      <x:c r="E6" s="19" t="str"/>
      <x:c r="F6" s="19" t="str">
        <x:v>待判断</x:v>
      </x:c>
      <x:c r="G6" s="19" t="str"/>
      <x:c r="H6" s="19" t="str"/>
      <x:c r="I6" s="18"/>
      <x:c r="J6" s="19" t="str"/>
      <x:c r="K6" s="13" t="str">
        <x:v>未开始</x:v>
      </x:c>
      <x:c r="L6" s="15"/>
    </x:row>
    <x:row r="7">
      <x:c r="A7" s="13" t="str">
        <x:v>OI-002</x:v>
      </x:c>
      <x:c r="B7" s="19" t="str"/>
      <x:c r="C7" s="17" t="n">
        <x:v>0</x:v>
      </x:c>
      <x:c r="D7" s="19" t="str"/>
      <x:c r="E7" s="19" t="str"/>
      <x:c r="F7" s="19" t="str">
        <x:v>待判断</x:v>
      </x:c>
      <x:c r="G7" s="19" t="str"/>
      <x:c r="H7" s="19" t="str"/>
      <x:c r="I7" s="18"/>
      <x:c r="J7" s="19" t="str"/>
      <x:c r="K7" s="13" t="str">
        <x:v>未开始</x:v>
      </x:c>
      <x:c r="L7" s="15"/>
    </x:row>
    <x:row r="8">
      <x:c r="A8" s="13" t="str">
        <x:v>OI-003</x:v>
      </x:c>
      <x:c r="B8" s="19" t="str"/>
      <x:c r="C8" s="17" t="n">
        <x:v>0</x:v>
      </x:c>
      <x:c r="D8" s="19" t="str"/>
      <x:c r="E8" s="19" t="str"/>
      <x:c r="F8" s="19" t="str">
        <x:v>待判断</x:v>
      </x:c>
      <x:c r="G8" s="19" t="str"/>
      <x:c r="H8" s="19" t="str"/>
      <x:c r="I8" s="18"/>
      <x:c r="J8" s="19" t="str"/>
      <x:c r="K8" s="13" t="str">
        <x:v>未开始</x:v>
      </x:c>
      <x:c r="L8" s="15"/>
    </x:row>
    <x:row r="9">
      <x:c r="A9" s="13" t="str">
        <x:v>OI-004</x:v>
      </x:c>
      <x:c r="B9" s="19" t="str"/>
      <x:c r="C9" s="17" t="n">
        <x:v>0</x:v>
      </x:c>
      <x:c r="D9" s="19" t="str"/>
      <x:c r="E9" s="19" t="str"/>
      <x:c r="F9" s="19" t="str">
        <x:v>待判断</x:v>
      </x:c>
      <x:c r="G9" s="19" t="str"/>
      <x:c r="H9" s="19" t="str"/>
      <x:c r="I9" s="18"/>
      <x:c r="J9" s="19" t="str"/>
      <x:c r="K9" s="13" t="str">
        <x:v>未开始</x:v>
      </x:c>
      <x:c r="L9" s="15"/>
    </x:row>
    <x:row r="10">
      <x:c r="A10" s="13" t="str">
        <x:v>OI-005</x:v>
      </x:c>
      <x:c r="B10" s="19" t="str"/>
      <x:c r="C10" s="17" t="n">
        <x:v>0</x:v>
      </x:c>
      <x:c r="D10" s="19" t="str"/>
      <x:c r="E10" s="19" t="str"/>
      <x:c r="F10" s="19" t="str">
        <x:v>待判断</x:v>
      </x:c>
      <x:c r="G10" s="19" t="str"/>
      <x:c r="H10" s="19" t="str"/>
      <x:c r="I10" s="18"/>
      <x:c r="J10" s="19" t="str"/>
      <x:c r="K10" s="13" t="str">
        <x:v>未开始</x:v>
      </x:c>
      <x:c r="L10" s="15"/>
    </x:row>
    <x:row r="11">
      <x:c r="A11" s="13" t="str">
        <x:v>OI-006</x:v>
      </x:c>
      <x:c r="B11" s="19" t="str"/>
      <x:c r="C11" s="17" t="n">
        <x:v>0</x:v>
      </x:c>
      <x:c r="D11" s="19" t="str"/>
      <x:c r="E11" s="19" t="str"/>
      <x:c r="F11" s="19" t="str">
        <x:v>待判断</x:v>
      </x:c>
      <x:c r="G11" s="19" t="str"/>
      <x:c r="H11" s="19" t="str"/>
      <x:c r="I11" s="18"/>
      <x:c r="J11" s="19" t="str"/>
      <x:c r="K11" s="13" t="str">
        <x:v>未开始</x:v>
      </x:c>
      <x:c r="L11" s="15"/>
    </x:row>
    <x:row r="12">
      <x:c r="A12" s="13" t="str">
        <x:v>OI-007</x:v>
      </x:c>
      <x:c r="B12" s="19" t="str"/>
      <x:c r="C12" s="17" t="n">
        <x:v>0</x:v>
      </x:c>
      <x:c r="D12" s="19" t="str"/>
      <x:c r="E12" s="19" t="str"/>
      <x:c r="F12" s="19" t="str">
        <x:v>待判断</x:v>
      </x:c>
      <x:c r="G12" s="19" t="str"/>
      <x:c r="H12" s="19" t="str"/>
      <x:c r="I12" s="18"/>
      <x:c r="J12" s="19" t="str"/>
      <x:c r="K12" s="13" t="str">
        <x:v>未开始</x:v>
      </x:c>
      <x:c r="L12" s="15"/>
    </x:row>
    <x:row r="13">
      <x:c r="A13" s="13" t="str">
        <x:v>OI-008</x:v>
      </x:c>
      <x:c r="B13" s="19" t="str"/>
      <x:c r="C13" s="17" t="n">
        <x:v>0</x:v>
      </x:c>
      <x:c r="D13" s="19" t="str"/>
      <x:c r="E13" s="19" t="str"/>
      <x:c r="F13" s="19" t="str">
        <x:v>待判断</x:v>
      </x:c>
      <x:c r="G13" s="19" t="str"/>
      <x:c r="H13" s="19" t="str"/>
      <x:c r="I13" s="18"/>
      <x:c r="J13" s="19" t="str"/>
      <x:c r="K13" s="13" t="str">
        <x:v>未开始</x:v>
      </x:c>
      <x:c r="L13" s="15"/>
    </x:row>
    <x:row r="14">
      <x:c r="A14" s="13" t="str">
        <x:v>OI-009</x:v>
      </x:c>
      <x:c r="B14" s="19" t="str"/>
      <x:c r="C14" s="17" t="n">
        <x:v>0</x:v>
      </x:c>
      <x:c r="D14" s="19" t="str"/>
      <x:c r="E14" s="19" t="str"/>
      <x:c r="F14" s="19" t="str">
        <x:v>待判断</x:v>
      </x:c>
      <x:c r="G14" s="19" t="str"/>
      <x:c r="H14" s="19" t="str"/>
      <x:c r="I14" s="18"/>
      <x:c r="J14" s="19" t="str"/>
      <x:c r="K14" s="13" t="str">
        <x:v>未开始</x:v>
      </x:c>
      <x:c r="L14" s="15"/>
    </x:row>
    <x:row r="15">
      <x:c r="A15" s="13" t="str">
        <x:v>OI-010</x:v>
      </x:c>
      <x:c r="B15" s="19" t="str"/>
      <x:c r="C15" s="17" t="n">
        <x:v>0</x:v>
      </x:c>
      <x:c r="D15" s="19" t="str"/>
      <x:c r="E15" s="19" t="str"/>
      <x:c r="F15" s="19" t="str">
        <x:v>待判断</x:v>
      </x:c>
      <x:c r="G15" s="19" t="str"/>
      <x:c r="H15" s="19" t="str"/>
      <x:c r="I15" s="18"/>
      <x:c r="J15" s="19" t="str"/>
      <x:c r="K15" s="13" t="str">
        <x:v>未开始</x:v>
      </x:c>
      <x:c r="L15" s="15"/>
    </x:row>
    <x:row r="16">
      <x:c r="A16" s="13" t="str">
        <x:v>OI-011</x:v>
      </x:c>
      <x:c r="B16" s="19" t="str"/>
      <x:c r="C16" s="17" t="n">
        <x:v>0</x:v>
      </x:c>
      <x:c r="D16" s="19" t="str"/>
      <x:c r="E16" s="19" t="str"/>
      <x:c r="F16" s="19" t="str">
        <x:v>待判断</x:v>
      </x:c>
      <x:c r="G16" s="19" t="str"/>
      <x:c r="H16" s="19" t="str"/>
      <x:c r="I16" s="18"/>
      <x:c r="J16" s="19" t="str"/>
      <x:c r="K16" s="13" t="str">
        <x:v>未开始</x:v>
      </x:c>
      <x:c r="L16" s="15"/>
    </x:row>
    <x:row r="17">
      <x:c r="A17" s="13" t="str">
        <x:v>OI-012</x:v>
      </x:c>
      <x:c r="B17" s="19" t="str"/>
      <x:c r="C17" s="17" t="n">
        <x:v>0</x:v>
      </x:c>
      <x:c r="D17" s="19" t="str"/>
      <x:c r="E17" s="19" t="str"/>
      <x:c r="F17" s="19" t="str">
        <x:v>待判断</x:v>
      </x:c>
      <x:c r="G17" s="19" t="str"/>
      <x:c r="H17" s="19" t="str"/>
      <x:c r="I17" s="18"/>
      <x:c r="J17" s="19" t="str"/>
      <x:c r="K17" s="13" t="str">
        <x:v>未开始</x:v>
      </x:c>
      <x:c r="L17" s="15"/>
    </x:row>
    <x:row r="18">
      <x:c r="A18" s="13" t="str">
        <x:v>OI-013</x:v>
      </x:c>
      <x:c r="B18" s="19" t="str"/>
      <x:c r="C18" s="17" t="n">
        <x:v>0</x:v>
      </x:c>
      <x:c r="D18" s="19" t="str"/>
      <x:c r="E18" s="19" t="str"/>
      <x:c r="F18" s="19" t="str">
        <x:v>待判断</x:v>
      </x:c>
      <x:c r="G18" s="19" t="str"/>
      <x:c r="H18" s="19" t="str"/>
      <x:c r="I18" s="18"/>
      <x:c r="J18" s="19" t="str"/>
      <x:c r="K18" s="13" t="str">
        <x:v>未开始</x:v>
      </x:c>
      <x:c r="L18" s="15"/>
    </x:row>
    <x:row r="19">
      <x:c r="A19" s="13" t="str">
        <x:v>OI-014</x:v>
      </x:c>
      <x:c r="B19" s="19" t="str"/>
      <x:c r="C19" s="17" t="n">
        <x:v>0</x:v>
      </x:c>
      <x:c r="D19" s="19" t="str"/>
      <x:c r="E19" s="19" t="str"/>
      <x:c r="F19" s="19" t="str">
        <x:v>待判断</x:v>
      </x:c>
      <x:c r="G19" s="19" t="str"/>
      <x:c r="H19" s="19" t="str"/>
      <x:c r="I19" s="18"/>
      <x:c r="J19" s="19" t="str"/>
      <x:c r="K19" s="13" t="str">
        <x:v>未开始</x:v>
      </x:c>
      <x:c r="L19" s="15"/>
    </x:row>
    <x:row r="20">
      <x:c r="A20" s="13" t="str">
        <x:v>OI-015</x:v>
      </x:c>
      <x:c r="B20" s="19" t="str"/>
      <x:c r="C20" s="17" t="n">
        <x:v>0</x:v>
      </x:c>
      <x:c r="D20" s="19" t="str"/>
      <x:c r="E20" s="19" t="str"/>
      <x:c r="F20" s="19" t="str">
        <x:v>待判断</x:v>
      </x:c>
      <x:c r="G20" s="19" t="str"/>
      <x:c r="H20" s="19" t="str"/>
      <x:c r="I20" s="18"/>
      <x:c r="J20" s="19" t="str"/>
      <x:c r="K20" s="13" t="str">
        <x:v>未开始</x:v>
      </x:c>
      <x:c r="L20" s="15"/>
    </x:row>
    <x:row r="21">
      <x:c r="A21" s="13" t="str">
        <x:v>OI-016</x:v>
      </x:c>
      <x:c r="B21" s="19" t="str"/>
      <x:c r="C21" s="17" t="n">
        <x:v>0</x:v>
      </x:c>
      <x:c r="D21" s="19" t="str"/>
      <x:c r="E21" s="19" t="str"/>
      <x:c r="F21" s="19" t="str">
        <x:v>待判断</x:v>
      </x:c>
      <x:c r="G21" s="19" t="str"/>
      <x:c r="H21" s="19" t="str"/>
      <x:c r="I21" s="18"/>
      <x:c r="J21" s="19" t="str"/>
      <x:c r="K21" s="13" t="str">
        <x:v>未开始</x:v>
      </x:c>
      <x:c r="L21" s="15"/>
    </x:row>
    <x:row r="22">
      <x:c r="A22" s="13" t="str">
        <x:v>OI-017</x:v>
      </x:c>
      <x:c r="B22" s="19" t="str"/>
      <x:c r="C22" s="17" t="n">
        <x:v>0</x:v>
      </x:c>
      <x:c r="D22" s="19" t="str"/>
      <x:c r="E22" s="19" t="str"/>
      <x:c r="F22" s="19" t="str">
        <x:v>待判断</x:v>
      </x:c>
      <x:c r="G22" s="19" t="str"/>
      <x:c r="H22" s="19" t="str"/>
      <x:c r="I22" s="18"/>
      <x:c r="J22" s="19" t="str"/>
      <x:c r="K22" s="13" t="str">
        <x:v>未开始</x:v>
      </x:c>
      <x:c r="L22" s="15"/>
    </x:row>
    <x:row r="23">
      <x:c r="A23" s="13" t="str">
        <x:v>OI-018</x:v>
      </x:c>
      <x:c r="B23" s="19" t="str"/>
      <x:c r="C23" s="17" t="n">
        <x:v>0</x:v>
      </x:c>
      <x:c r="D23" s="19" t="str"/>
      <x:c r="E23" s="19" t="str"/>
      <x:c r="F23" s="19" t="str">
        <x:v>待判断</x:v>
      </x:c>
      <x:c r="G23" s="19" t="str"/>
      <x:c r="H23" s="19" t="str"/>
      <x:c r="I23" s="18"/>
      <x:c r="J23" s="19" t="str"/>
      <x:c r="K23" s="13" t="str">
        <x:v>未开始</x:v>
      </x:c>
      <x:c r="L23" s="15"/>
    </x:row>
    <x:row r="24">
      <x:c r="A24" s="13" t="str">
        <x:v>OI-019</x:v>
      </x:c>
      <x:c r="B24" s="19" t="str"/>
      <x:c r="C24" s="17" t="n">
        <x:v>0</x:v>
      </x:c>
      <x:c r="D24" s="19" t="str"/>
      <x:c r="E24" s="19" t="str"/>
      <x:c r="F24" s="19" t="str">
        <x:v>待判断</x:v>
      </x:c>
      <x:c r="G24" s="19" t="str"/>
      <x:c r="H24" s="19" t="str"/>
      <x:c r="I24" s="18"/>
      <x:c r="J24" s="19" t="str"/>
      <x:c r="K24" s="13" t="str">
        <x:v>未开始</x:v>
      </x:c>
      <x:c r="L24" s="15"/>
    </x:row>
    <x:row r="25">
      <x:c r="A25" s="13" t="str">
        <x:v>OI-020</x:v>
      </x:c>
      <x:c r="B25" s="19" t="str"/>
      <x:c r="C25" s="17" t="n">
        <x:v>0</x:v>
      </x:c>
      <x:c r="D25" s="19" t="str"/>
      <x:c r="E25" s="19" t="str"/>
      <x:c r="F25" s="19" t="str">
        <x:v>待判断</x:v>
      </x:c>
      <x:c r="G25" s="19" t="str"/>
      <x:c r="H25" s="19" t="str"/>
      <x:c r="I25" s="18"/>
      <x:c r="J25" s="19" t="str"/>
      <x:c r="K25" s="13" t="str">
        <x:v>未开始</x:v>
      </x:c>
      <x:c r="L25" s="15"/>
    </x:row>
    <x:row r="26">
      <x:c r="A26" s="13" t="str">
        <x:v>OI-021</x:v>
      </x:c>
      <x:c r="B26" s="19" t="str"/>
      <x:c r="C26" s="17" t="n">
        <x:v>0</x:v>
      </x:c>
      <x:c r="D26" s="19" t="str"/>
      <x:c r="E26" s="19" t="str"/>
      <x:c r="F26" s="19" t="str">
        <x:v>待判断</x:v>
      </x:c>
      <x:c r="G26" s="19" t="str"/>
      <x:c r="H26" s="19" t="str"/>
      <x:c r="I26" s="18"/>
      <x:c r="J26" s="19" t="str"/>
      <x:c r="K26" s="13" t="str">
        <x:v>未开始</x:v>
      </x:c>
      <x:c r="L26" s="15"/>
    </x:row>
    <x:row r="27">
      <x:c r="A27" s="13" t="str">
        <x:v>OI-022</x:v>
      </x:c>
      <x:c r="B27" s="19" t="str"/>
      <x:c r="C27" s="17" t="n">
        <x:v>0</x:v>
      </x:c>
      <x:c r="D27" s="19" t="str"/>
      <x:c r="E27" s="19" t="str"/>
      <x:c r="F27" s="19" t="str">
        <x:v>待判断</x:v>
      </x:c>
      <x:c r="G27" s="19" t="str"/>
      <x:c r="H27" s="19" t="str"/>
      <x:c r="I27" s="18"/>
      <x:c r="J27" s="19" t="str"/>
      <x:c r="K27" s="13" t="str">
        <x:v>未开始</x:v>
      </x:c>
      <x:c r="L27" s="15"/>
    </x:row>
    <x:row r="28">
      <x:c r="A28" s="13" t="str">
        <x:v>OI-023</x:v>
      </x:c>
      <x:c r="B28" s="19" t="str"/>
      <x:c r="C28" s="17" t="n">
        <x:v>0</x:v>
      </x:c>
      <x:c r="D28" s="19" t="str"/>
      <x:c r="E28" s="19" t="str"/>
      <x:c r="F28" s="19" t="str">
        <x:v>待判断</x:v>
      </x:c>
      <x:c r="G28" s="19" t="str"/>
      <x:c r="H28" s="19" t="str"/>
      <x:c r="I28" s="18"/>
      <x:c r="J28" s="19" t="str"/>
      <x:c r="K28" s="13" t="str">
        <x:v>未开始</x:v>
      </x:c>
      <x:c r="L28" s="15"/>
    </x:row>
    <x:row r="29">
      <x:c r="A29" s="13" t="str">
        <x:v>OI-024</x:v>
      </x:c>
      <x:c r="B29" s="19" t="str"/>
      <x:c r="C29" s="17" t="n">
        <x:v>0</x:v>
      </x:c>
      <x:c r="D29" s="19" t="str"/>
      <x:c r="E29" s="19" t="str"/>
      <x:c r="F29" s="19" t="str">
        <x:v>待判断</x:v>
      </x:c>
      <x:c r="G29" s="19" t="str"/>
      <x:c r="H29" s="19" t="str"/>
      <x:c r="I29" s="18"/>
      <x:c r="J29" s="19" t="str"/>
      <x:c r="K29" s="13" t="str">
        <x:v>未开始</x:v>
      </x:c>
      <x:c r="L29" s="15"/>
    </x:row>
    <x:row r="30">
      <x:c r="A30" s="13" t="str">
        <x:v>OI-025</x:v>
      </x:c>
      <x:c r="B30" s="19" t="str"/>
      <x:c r="C30" s="17" t="n">
        <x:v>0</x:v>
      </x:c>
      <x:c r="D30" s="19" t="str"/>
      <x:c r="E30" s="19" t="str"/>
      <x:c r="F30" s="19" t="str">
        <x:v>待判断</x:v>
      </x:c>
      <x:c r="G30" s="19" t="str"/>
      <x:c r="H30" s="19" t="str"/>
      <x:c r="I30" s="18"/>
      <x:c r="J30" s="19" t="str"/>
      <x:c r="K30" s="13" t="str">
        <x:v>未开始</x:v>
      </x:c>
      <x:c r="L30" s="15"/>
    </x:row>
    <x:row r="31">
      <x:c r="A31" s="13" t="str">
        <x:v>OI-026</x:v>
      </x:c>
      <x:c r="B31" s="19" t="str"/>
      <x:c r="C31" s="17" t="n">
        <x:v>0</x:v>
      </x:c>
      <x:c r="D31" s="19" t="str"/>
      <x:c r="E31" s="19" t="str"/>
      <x:c r="F31" s="19" t="str">
        <x:v>待判断</x:v>
      </x:c>
      <x:c r="G31" s="19" t="str"/>
      <x:c r="H31" s="19" t="str"/>
      <x:c r="I31" s="18"/>
      <x:c r="J31" s="19" t="str"/>
      <x:c r="K31" s="13" t="str">
        <x:v>未开始</x:v>
      </x:c>
      <x:c r="L31" s="15"/>
    </x:row>
    <x:row r="32">
      <x:c r="A32" s="13" t="str">
        <x:v>OI-027</x:v>
      </x:c>
      <x:c r="B32" s="19" t="str"/>
      <x:c r="C32" s="17" t="n">
        <x:v>0</x:v>
      </x:c>
      <x:c r="D32" s="19" t="str"/>
      <x:c r="E32" s="19" t="str"/>
      <x:c r="F32" s="19" t="str">
        <x:v>待判断</x:v>
      </x:c>
      <x:c r="G32" s="19" t="str"/>
      <x:c r="H32" s="19" t="str"/>
      <x:c r="I32" s="18"/>
      <x:c r="J32" s="19" t="str"/>
      <x:c r="K32" s="13" t="str">
        <x:v>未开始</x:v>
      </x:c>
      <x:c r="L32" s="15"/>
    </x:row>
    <x:row r="33">
      <x:c r="A33" s="13" t="str">
        <x:v>OI-028</x:v>
      </x:c>
      <x:c r="B33" s="19" t="str"/>
      <x:c r="C33" s="17" t="n">
        <x:v>0</x:v>
      </x:c>
      <x:c r="D33" s="19" t="str"/>
      <x:c r="E33" s="19" t="str"/>
      <x:c r="F33" s="19" t="str">
        <x:v>待判断</x:v>
      </x:c>
      <x:c r="G33" s="19" t="str"/>
      <x:c r="H33" s="19" t="str"/>
      <x:c r="I33" s="18"/>
      <x:c r="J33" s="19" t="str"/>
      <x:c r="K33" s="13" t="str">
        <x:v>未开始</x:v>
      </x:c>
      <x:c r="L33" s="15"/>
    </x:row>
    <x:row r="34">
      <x:c r="A34" s="13" t="str">
        <x:v>OI-029</x:v>
      </x:c>
      <x:c r="B34" s="19" t="str"/>
      <x:c r="C34" s="17" t="n">
        <x:v>0</x:v>
      </x:c>
      <x:c r="D34" s="19" t="str"/>
      <x:c r="E34" s="19" t="str"/>
      <x:c r="F34" s="19" t="str">
        <x:v>待判断</x:v>
      </x:c>
      <x:c r="G34" s="19" t="str"/>
      <x:c r="H34" s="19" t="str"/>
      <x:c r="I34" s="18"/>
      <x:c r="J34" s="19" t="str"/>
      <x:c r="K34" s="13" t="str">
        <x:v>未开始</x:v>
      </x:c>
      <x:c r="L34" s="15"/>
    </x:row>
    <x:row r="35">
      <x:c r="A35" s="13" t="str">
        <x:v>OI-030</x:v>
      </x:c>
      <x:c r="B35" s="19" t="str"/>
      <x:c r="C35" s="17" t="n">
        <x:v>0</x:v>
      </x:c>
      <x:c r="D35" s="19" t="str"/>
      <x:c r="E35" s="19" t="str"/>
      <x:c r="F35" s="19" t="str">
        <x:v>待判断</x:v>
      </x:c>
      <x:c r="G35" s="19" t="str"/>
      <x:c r="H35" s="19" t="str"/>
      <x:c r="I35" s="18"/>
      <x:c r="J35" s="19" t="str"/>
      <x:c r="K35" s="13" t="str">
        <x:v>未开始</x:v>
      </x:c>
      <x:c r="L35" s="15"/>
    </x:row>
    <x:row r="36">
      <x:c r="A36" s="13" t="str">
        <x:v>OI-031</x:v>
      </x:c>
      <x:c r="B36" s="19" t="str"/>
      <x:c r="C36" s="17" t="n">
        <x:v>0</x:v>
      </x:c>
      <x:c r="D36" s="19" t="str"/>
      <x:c r="E36" s="19" t="str"/>
      <x:c r="F36" s="19" t="str">
        <x:v>待判断</x:v>
      </x:c>
      <x:c r="G36" s="19" t="str"/>
      <x:c r="H36" s="19" t="str"/>
      <x:c r="I36" s="18"/>
      <x:c r="J36" s="19" t="str"/>
      <x:c r="K36" s="13" t="str">
        <x:v>未开始</x:v>
      </x:c>
      <x:c r="L36" s="15"/>
    </x:row>
    <x:row r="37">
      <x:c r="A37" s="13" t="str">
        <x:v>OI-032</x:v>
      </x:c>
      <x:c r="B37" s="19" t="str"/>
      <x:c r="C37" s="17" t="n">
        <x:v>0</x:v>
      </x:c>
      <x:c r="D37" s="19" t="str"/>
      <x:c r="E37" s="19" t="str"/>
      <x:c r="F37" s="19" t="str">
        <x:v>待判断</x:v>
      </x:c>
      <x:c r="G37" s="19" t="str"/>
      <x:c r="H37" s="19" t="str"/>
      <x:c r="I37" s="18"/>
      <x:c r="J37" s="19" t="str"/>
      <x:c r="K37" s="13" t="str">
        <x:v>未开始</x:v>
      </x:c>
      <x:c r="L37" s="15"/>
    </x:row>
    <x:row r="38">
      <x:c r="A38" s="13" t="str">
        <x:v>OI-033</x:v>
      </x:c>
      <x:c r="B38" s="19" t="str"/>
      <x:c r="C38" s="17" t="n">
        <x:v>0</x:v>
      </x:c>
      <x:c r="D38" s="19" t="str"/>
      <x:c r="E38" s="19" t="str"/>
      <x:c r="F38" s="19" t="str">
        <x:v>待判断</x:v>
      </x:c>
      <x:c r="G38" s="19" t="str"/>
      <x:c r="H38" s="19" t="str"/>
      <x:c r="I38" s="18"/>
      <x:c r="J38" s="19" t="str"/>
      <x:c r="K38" s="13" t="str">
        <x:v>未开始</x:v>
      </x:c>
      <x:c r="L38" s="15"/>
    </x:row>
    <x:row r="39">
      <x:c r="A39" s="13" t="str">
        <x:v>OI-034</x:v>
      </x:c>
      <x:c r="B39" s="19" t="str"/>
      <x:c r="C39" s="17" t="n">
        <x:v>0</x:v>
      </x:c>
      <x:c r="D39" s="19" t="str"/>
      <x:c r="E39" s="19" t="str"/>
      <x:c r="F39" s="19" t="str">
        <x:v>待判断</x:v>
      </x:c>
      <x:c r="G39" s="19" t="str"/>
      <x:c r="H39" s="19" t="str"/>
      <x:c r="I39" s="18"/>
      <x:c r="J39" s="19" t="str"/>
      <x:c r="K39" s="13" t="str">
        <x:v>未开始</x:v>
      </x:c>
      <x:c r="L39" s="15"/>
    </x:row>
    <x:row r="40">
      <x:c r="A40" s="13" t="str">
        <x:v>OI-035</x:v>
      </x:c>
      <x:c r="B40" s="19" t="str"/>
      <x:c r="C40" s="17" t="n">
        <x:v>0</x:v>
      </x:c>
      <x:c r="D40" s="19" t="str"/>
      <x:c r="E40" s="19" t="str"/>
      <x:c r="F40" s="19" t="str">
        <x:v>待判断</x:v>
      </x:c>
      <x:c r="G40" s="19" t="str"/>
      <x:c r="H40" s="19" t="str"/>
      <x:c r="I40" s="18"/>
      <x:c r="J40" s="19" t="str"/>
      <x:c r="K40" s="13" t="str">
        <x:v>未开始</x:v>
      </x:c>
      <x:c r="L40" s="15"/>
    </x:row>
    <x:row r="41">
      <x:c r="A41" s="13" t="str">
        <x:v>OI-036</x:v>
      </x:c>
      <x:c r="B41" s="19" t="str"/>
      <x:c r="C41" s="17" t="n">
        <x:v>0</x:v>
      </x:c>
      <x:c r="D41" s="19" t="str"/>
      <x:c r="E41" s="19" t="str"/>
      <x:c r="F41" s="19" t="str">
        <x:v>待判断</x:v>
      </x:c>
      <x:c r="G41" s="19" t="str"/>
      <x:c r="H41" s="19" t="str"/>
      <x:c r="I41" s="18"/>
      <x:c r="J41" s="19" t="str"/>
      <x:c r="K41" s="13" t="str">
        <x:v>未开始</x:v>
      </x:c>
      <x:c r="L41" s="15"/>
    </x:row>
    <x:row r="42">
      <x:c r="A42" s="13" t="str">
        <x:v>OI-037</x:v>
      </x:c>
      <x:c r="B42" s="19" t="str"/>
      <x:c r="C42" s="17" t="n">
        <x:v>0</x:v>
      </x:c>
      <x:c r="D42" s="19" t="str"/>
      <x:c r="E42" s="19" t="str"/>
      <x:c r="F42" s="19" t="str">
        <x:v>待判断</x:v>
      </x:c>
      <x:c r="G42" s="19" t="str"/>
      <x:c r="H42" s="19" t="str"/>
      <x:c r="I42" s="18"/>
      <x:c r="J42" s="19" t="str"/>
      <x:c r="K42" s="13" t="str">
        <x:v>未开始</x:v>
      </x:c>
      <x:c r="L42" s="15"/>
    </x:row>
    <x:row r="43">
      <x:c r="A43" s="13" t="str">
        <x:v>OI-038</x:v>
      </x:c>
      <x:c r="B43" s="19" t="str"/>
      <x:c r="C43" s="17" t="n">
        <x:v>0</x:v>
      </x:c>
      <x:c r="D43" s="19" t="str"/>
      <x:c r="E43" s="19" t="str"/>
      <x:c r="F43" s="19" t="str">
        <x:v>待判断</x:v>
      </x:c>
      <x:c r="G43" s="19" t="str"/>
      <x:c r="H43" s="19" t="str"/>
      <x:c r="I43" s="18"/>
      <x:c r="J43" s="19" t="str"/>
      <x:c r="K43" s="13" t="str">
        <x:v>未开始</x:v>
      </x:c>
      <x:c r="L43" s="15"/>
    </x:row>
    <x:row r="44">
      <x:c r="A44" s="13" t="str">
        <x:v>OI-039</x:v>
      </x:c>
      <x:c r="B44" s="19" t="str"/>
      <x:c r="C44" s="17" t="n">
        <x:v>0</x:v>
      </x:c>
      <x:c r="D44" s="19" t="str"/>
      <x:c r="E44" s="19" t="str"/>
      <x:c r="F44" s="19" t="str">
        <x:v>待判断</x:v>
      </x:c>
      <x:c r="G44" s="19" t="str"/>
      <x:c r="H44" s="19" t="str"/>
      <x:c r="I44" s="18"/>
      <x:c r="J44" s="19" t="str"/>
      <x:c r="K44" s="13" t="str">
        <x:v>未开始</x:v>
      </x:c>
      <x:c r="L44" s="15"/>
    </x:row>
    <x:row r="45">
      <x:c r="A45" s="13" t="str">
        <x:v>OI-040</x:v>
      </x:c>
      <x:c r="B45" s="19" t="str"/>
      <x:c r="C45" s="17" t="n">
        <x:v>0</x:v>
      </x:c>
      <x:c r="D45" s="19" t="str"/>
      <x:c r="E45" s="19" t="str"/>
      <x:c r="F45" s="19" t="str">
        <x:v>待判断</x:v>
      </x:c>
      <x:c r="G45" s="19" t="str"/>
      <x:c r="H45" s="19" t="str"/>
      <x:c r="I45" s="18"/>
      <x:c r="J45" s="19" t="str"/>
      <x:c r="K45" s="13" t="str">
        <x:v>未开始</x:v>
      </x:c>
      <x:c r="L45" s="15"/>
    </x:row>
  </x:sheetData>
  <x:mergeCells>
    <x:mergeCell ref="A1:L1"/>
    <x:mergeCell ref="A2:L2"/>
  </x:mergeCells>
  <x:conditionalFormatting sqref="K6:K45">
    <x:cfRule type="containsText" dxfId="51" priority="1" operator="containsText" text="已完成"/>
    <x:cfRule type="containsText" dxfId="52" priority="2" operator="containsText" text="未开始"/>
    <x:cfRule type="containsText" dxfId="53" priority="3" operator="containsText" text="异常"/>
  </x:conditionalFormatting>
  <x:dataValidations count="1">
    <x:dataValidation type="list" sqref="K6:K45">
      <x:formula1>"未开始,进行中,待复核,已关闭"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3aa7d3df604380"/>
  </x:tableParts>
</x:worksheet>
</file>