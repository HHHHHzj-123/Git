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6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15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14.xml" ContentType="application/vnd.openxmlformats-officedocument.spreadsheetml.table+xml"/>
  <Override PartName="/xl/tables/table5.xml" ContentType="application/vnd.openxmlformats-officedocument.spreadsheetml.table+xml"/>
  <Override PartName="/xl/tables/table17.xml" ContentType="application/vnd.openxmlformats-officedocument.spreadsheetml.table+xml"/>
  <Override PartName="/xl/tables/table6.xml" ContentType="application/vnd.openxmlformats-officedocument.spreadsheetml.table+xml"/>
  <Override PartName="/xl/tables/table18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9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-管理看板" sheetId="1" state="visible" r:id="rId3"/>
    <sheet name="01-RACI" sheetId="2" state="visible" r:id="rId4"/>
    <sheet name="02-固定资产台账" sheetId="3" state="visible" r:id="rId5"/>
    <sheet name="03-资产卡片" sheetId="4" state="visible" r:id="rId6"/>
    <sheet name="04-新增资本化" sheetId="5" state="visible" r:id="rId7"/>
    <sheet name="05-在建工程转固" sheetId="6" state="visible" r:id="rId8"/>
    <sheet name="06-折旧检查" sheetId="7" state="visible" r:id="rId9"/>
    <sheet name="07-盘点表" sheetId="8" state="visible" r:id="rId10"/>
    <sheet name="08-盘点差异" sheetId="9" state="visible" r:id="rId11"/>
    <sheet name="09-闲置资产" sheetId="10" state="visible" r:id="rId12"/>
    <sheet name="10-减值测试" sheetId="11" state="visible" r:id="rId13"/>
    <sheet name="11-资产调拨" sheetId="12" state="visible" r:id="rId14"/>
    <sheet name="12-维修技改" sheetId="13" state="visible" r:id="rId15"/>
    <sheet name="13-报废处置" sheetId="14" state="visible" r:id="rId16"/>
    <sheet name="14-月末Checklist" sheetId="15" state="visible" r:id="rId17"/>
    <sheet name="15-接手检查" sheetId="16" state="visible" r:id="rId18"/>
    <sheet name="16-核心指标" sheetId="17" state="visible" r:id="rId19"/>
    <sheet name="17-风险红旗" sheetId="18" state="visible" r:id="rId20"/>
    <sheet name="18-案例库" sheetId="19" state="visible" r:id="rId21"/>
    <sheet name="19-资料来源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<sst xmlns="http://schemas.openxmlformats.org/spreadsheetml/2006/main" count="1888" uniqueCount="1144">
  <si>
    <t xml:space="preserve">企业固定资产管理工具包</t>
  </si>
  <si>
    <t xml:space="preserve">案例企业：华辰智造科技有限公司。黄色区域为人工维护，金额单位为元。</t>
  </si>
  <si>
    <t xml:space="preserve">指标</t>
  </si>
  <si>
    <t xml:space="preserve">本期结果</t>
  </si>
  <si>
    <t xml:space="preserve">管理阈值</t>
  </si>
  <si>
    <t xml:space="preserve">主管动作</t>
  </si>
  <si>
    <t xml:space="preserve">固定资产/受控资产原值</t>
  </si>
  <si>
    <t xml:space="preserve">结合CAPEX</t>
  </si>
  <si>
    <t xml:space="preserve">与总账和预算核对</t>
  </si>
  <si>
    <t xml:space="preserve">累计折旧</t>
  </si>
  <si>
    <t xml:space="preserve">变动桥</t>
  </si>
  <si>
    <t xml:space="preserve">解释新增处置和估计变化</t>
  </si>
  <si>
    <t xml:space="preserve">账面净值</t>
  </si>
  <si>
    <t xml:space="preserve">结合产出</t>
  </si>
  <si>
    <t xml:space="preserve">结合收入产能和利用率</t>
  </si>
  <si>
    <t xml:space="preserve">闲置资产净值</t>
  </si>
  <si>
    <t xml:space="preserve">逐项方案</t>
  </si>
  <si>
    <t xml:space="preserve">调拨/出租/出售/减值</t>
  </si>
  <si>
    <t xml:space="preserve">闲置净值占比</t>
  </si>
  <si>
    <t xml:space="preserve">超过阈值专项分析</t>
  </si>
  <si>
    <t xml:space="preserve">盘亏待查净值</t>
  </si>
  <si>
    <t xml:space="preserve">逐项追查责任和证据</t>
  </si>
  <si>
    <t xml:space="preserve">在建工程未转固</t>
  </si>
  <si>
    <t xml:space="preserve">用投产和电耗反向检查</t>
  </si>
  <si>
    <t xml:space="preserve">已提足仍在用数量</t>
  </si>
  <si>
    <t xml:space="preserve">观察更新</t>
  </si>
  <si>
    <t xml:space="preserve">保留卡片并看安全风险</t>
  </si>
  <si>
    <t xml:space="preserve">超过一年未盘点数量</t>
  </si>
  <si>
    <t xml:space="preserve">安排盘点或替代验证</t>
  </si>
  <si>
    <t xml:space="preserve">Open盘点差异</t>
  </si>
  <si>
    <t xml:space="preserve">Owner、日期、控制和Closure</t>
  </si>
  <si>
    <t xml:space="preserve">本月折旧检查异常</t>
  </si>
  <si>
    <t xml:space="preserve">修复寿命、残值、期间或成本中心</t>
  </si>
  <si>
    <t xml:space="preserve">固定资产岗位责任矩阵</t>
  </si>
  <si>
    <t xml:space="preserve">实物保管、专业验收、财务核算和监督应明确分工。</t>
  </si>
  <si>
    <t xml:space="preserve">事项</t>
  </si>
  <si>
    <t xml:space="preserve">执行</t>
  </si>
  <si>
    <t xml:space="preserve">财务主管</t>
  </si>
  <si>
    <t xml:space="preserve">协同</t>
  </si>
  <si>
    <t xml:space="preserve">批准</t>
  </si>
  <si>
    <t xml:space="preserve">资本预算和采购申请</t>
  </si>
  <si>
    <t xml:space="preserve">需求部门</t>
  </si>
  <si>
    <t xml:space="preserve">校验预算、分类和经济性</t>
  </si>
  <si>
    <t xml:space="preserve">采购/设备/IT</t>
  </si>
  <si>
    <t xml:space="preserve">授权管理层</t>
  </si>
  <si>
    <t xml:space="preserve">采购和合同</t>
  </si>
  <si>
    <t xml:space="preserve">采购</t>
  </si>
  <si>
    <t xml:space="preserve">审阅税价、付款和资产范围</t>
  </si>
  <si>
    <t xml:space="preserve">法务/需求部门</t>
  </si>
  <si>
    <t xml:space="preserve">采购授权人</t>
  </si>
  <si>
    <t xml:space="preserve">到货保管</t>
  </si>
  <si>
    <t xml:space="preserve">仓库</t>
  </si>
  <si>
    <t xml:space="preserve">关注未验收和截止</t>
  </si>
  <si>
    <t xml:space="preserve">采购/使用部门</t>
  </si>
  <si>
    <t xml:space="preserve">仓库负责人</t>
  </si>
  <si>
    <t xml:space="preserve">技术验收和可使用状态</t>
  </si>
  <si>
    <t xml:space="preserve">设备/IT/使用部门</t>
  </si>
  <si>
    <t xml:space="preserve">挑战证据和转固时点</t>
  </si>
  <si>
    <t xml:space="preserve">工程/质量/采购</t>
  </si>
  <si>
    <t xml:space="preserve">业务负责人</t>
  </si>
  <si>
    <t xml:space="preserve">资产确认和卡片</t>
  </si>
  <si>
    <t xml:space="preserve">资产会计</t>
  </si>
  <si>
    <t xml:space="preserve">复核资本化、类别、年限和成本中心</t>
  </si>
  <si>
    <t xml:space="preserve">总账/税务</t>
  </si>
  <si>
    <t xml:space="preserve">编码贴标</t>
  </si>
  <si>
    <t xml:space="preserve">资产管理部门</t>
  </si>
  <si>
    <t xml:space="preserve">监督编号完整性</t>
  </si>
  <si>
    <t xml:space="preserve">使用部门/IT/行政</t>
  </si>
  <si>
    <t xml:space="preserve">资产管理负责人</t>
  </si>
  <si>
    <t xml:space="preserve">日常保管和状态上报</t>
  </si>
  <si>
    <t xml:space="preserve">使用部门/责任人</t>
  </si>
  <si>
    <t xml:space="preserve">分析闲置、维修和异常</t>
  </si>
  <si>
    <t xml:space="preserve">行政/IT/设备</t>
  </si>
  <si>
    <t xml:space="preserve">使用部门负责人</t>
  </si>
  <si>
    <t xml:space="preserve">调拨</t>
  </si>
  <si>
    <t xml:space="preserve">使用/资产管理部门</t>
  </si>
  <si>
    <t xml:space="preserve">复核法人、成本中心和系统更新</t>
  </si>
  <si>
    <t xml:space="preserve">IT/设备/税务</t>
  </si>
  <si>
    <t xml:space="preserve">授权审批人</t>
  </si>
  <si>
    <t xml:space="preserve">维修技改</t>
  </si>
  <si>
    <t xml:space="preserve">设备/使用部门</t>
  </si>
  <si>
    <t xml:space="preserve">判断资本化及旧部件终止确认</t>
  </si>
  <si>
    <t xml:space="preserve">采购/工程</t>
  </si>
  <si>
    <t xml:space="preserve">财务主管/经理</t>
  </si>
  <si>
    <t xml:space="preserve">盘点</t>
  </si>
  <si>
    <t xml:space="preserve">资产管理部门组织</t>
  </si>
  <si>
    <t xml:space="preserve">制定方案、监盘、复核差异</t>
  </si>
  <si>
    <t xml:space="preserve">使用部门/内审/IT</t>
  </si>
  <si>
    <t xml:space="preserve">管理层</t>
  </si>
  <si>
    <t xml:space="preserve">减值测试</t>
  </si>
  <si>
    <t xml:space="preserve">财务牵头、业务提供预测</t>
  </si>
  <si>
    <t xml:space="preserve">复核迹象、资产组和关键参数</t>
  </si>
  <si>
    <t xml:space="preserve">生产/销售/技术</t>
  </si>
  <si>
    <t xml:space="preserve">财务经理</t>
  </si>
  <si>
    <t xml:space="preserve">报废处置</t>
  </si>
  <si>
    <t xml:space="preserve">使用部门申请、资产部门执行</t>
  </si>
  <si>
    <t xml:space="preserve">复核账务税务和销卡</t>
  </si>
  <si>
    <t xml:space="preserve">技术/采购/法务</t>
  </si>
  <si>
    <t xml:space="preserve">固定资产管理台账</t>
  </si>
  <si>
    <t xml:space="preserve">连接总账、FA模块、卡片、标签和实物。状态与地点变化必须通过工作流。</t>
  </si>
  <si>
    <t xml:space="preserve">资产编号</t>
  </si>
  <si>
    <t xml:space="preserve">资产名称</t>
  </si>
  <si>
    <t xml:space="preserve">类别</t>
  </si>
  <si>
    <t xml:space="preserve">型号</t>
  </si>
  <si>
    <t xml:space="preserve">序列号</t>
  </si>
  <si>
    <t xml:space="preserve">供应商</t>
  </si>
  <si>
    <t xml:space="preserve">合同</t>
  </si>
  <si>
    <t xml:space="preserve">PO</t>
  </si>
  <si>
    <t xml:space="preserve">原值</t>
  </si>
  <si>
    <t xml:space="preserve">税额</t>
  </si>
  <si>
    <t xml:space="preserve">入账日</t>
  </si>
  <si>
    <t xml:space="preserve">可使用日</t>
  </si>
  <si>
    <t xml:space="preserve">折旧开始日</t>
  </si>
  <si>
    <t xml:space="preserve">折旧方法</t>
  </si>
  <si>
    <t xml:space="preserve">年限</t>
  </si>
  <si>
    <t xml:space="preserve">残值率</t>
  </si>
  <si>
    <t xml:space="preserve">使用部门</t>
  </si>
  <si>
    <t xml:space="preserve">责任人</t>
  </si>
  <si>
    <t xml:space="preserve">地点</t>
  </si>
  <si>
    <t xml:space="preserve">成本中心</t>
  </si>
  <si>
    <t xml:space="preserve">状态</t>
  </si>
  <si>
    <t xml:space="preserve">标签号</t>
  </si>
  <si>
    <t xml:space="preserve">最近盘点日</t>
  </si>
  <si>
    <t xml:space="preserve">FA-0001</t>
  </si>
  <si>
    <t xml:space="preserve">SMT贴片生产线</t>
  </si>
  <si>
    <t xml:space="preserve">机器设备</t>
  </si>
  <si>
    <t xml:space="preserve">SMT-X9</t>
  </si>
  <si>
    <t xml:space="preserve">SN23001</t>
  </si>
  <si>
    <t xml:space="preserve">力源设备</t>
  </si>
  <si>
    <t xml:space="preserve">CT23008</t>
  </si>
  <si>
    <t xml:space="preserve">PO230501</t>
  </si>
  <si>
    <t xml:space="preserve">直线法</t>
  </si>
  <si>
    <t xml:space="preserve">生产一部</t>
  </si>
  <si>
    <t xml:space="preserve">张强</t>
  </si>
  <si>
    <t xml:space="preserve">深圳A厂1线</t>
  </si>
  <si>
    <t xml:space="preserve">CC-P01</t>
  </si>
  <si>
    <t xml:space="preserve">在用</t>
  </si>
  <si>
    <t xml:space="preserve">TAG0001</t>
  </si>
  <si>
    <t xml:space="preserve">FA-0002</t>
  </si>
  <si>
    <t xml:space="preserve">数控加工中心</t>
  </si>
  <si>
    <t xml:space="preserve">CNC-800</t>
  </si>
  <si>
    <t xml:space="preserve">SN21066</t>
  </si>
  <si>
    <t xml:space="preserve">精密机械</t>
  </si>
  <si>
    <t xml:space="preserve">CT21018</t>
  </si>
  <si>
    <t xml:space="preserve">PO210322</t>
  </si>
  <si>
    <t xml:space="preserve">机加部</t>
  </si>
  <si>
    <t xml:space="preserve">李峰</t>
  </si>
  <si>
    <t xml:space="preserve">东莞工厂</t>
  </si>
  <si>
    <t xml:space="preserve">CC-P02</t>
  </si>
  <si>
    <t xml:space="preserve">闲置</t>
  </si>
  <si>
    <t xml:space="preserve">TAG0002</t>
  </si>
  <si>
    <t xml:space="preserve">FA-0003</t>
  </si>
  <si>
    <t xml:space="preserve">自动测试线</t>
  </si>
  <si>
    <t xml:space="preserve">ATE-5</t>
  </si>
  <si>
    <t xml:space="preserve">SN24088</t>
  </si>
  <si>
    <t xml:space="preserve">测试科技</t>
  </si>
  <si>
    <t xml:space="preserve">CT24011</t>
  </si>
  <si>
    <t xml:space="preserve">PO240201</t>
  </si>
  <si>
    <t xml:space="preserve">质量部</t>
  </si>
  <si>
    <t xml:space="preserve">王丽</t>
  </si>
  <si>
    <t xml:space="preserve">深圳A厂测试区</t>
  </si>
  <si>
    <t xml:space="preserve">CC-QA</t>
  </si>
  <si>
    <t xml:space="preserve">TAG0003</t>
  </si>
  <si>
    <t xml:space="preserve">FA-0004</t>
  </si>
  <si>
    <t xml:space="preserve">研发服务器集群</t>
  </si>
  <si>
    <t xml:space="preserve">电子设备</t>
  </si>
  <si>
    <t xml:space="preserve">R740</t>
  </si>
  <si>
    <t xml:space="preserve">SRV2401-06</t>
  </si>
  <si>
    <t xml:space="preserve">云算设备</t>
  </si>
  <si>
    <t xml:space="preserve">CT24030</t>
  </si>
  <si>
    <t xml:space="preserve">PO240510</t>
  </si>
  <si>
    <t xml:space="preserve">研发中心</t>
  </si>
  <si>
    <t xml:space="preserve">赵海</t>
  </si>
  <si>
    <t xml:space="preserve">深圳机房</t>
  </si>
  <si>
    <t xml:space="preserve">CC-RD</t>
  </si>
  <si>
    <t xml:space="preserve">TAG0004</t>
  </si>
  <si>
    <t xml:space="preserve">FA-0005</t>
  </si>
  <si>
    <t xml:space="preserve">商务轿车</t>
  </si>
  <si>
    <t xml:space="preserve">运输工具</t>
  </si>
  <si>
    <t xml:space="preserve">E300</t>
  </si>
  <si>
    <t xml:space="preserve">VIN2022001</t>
  </si>
  <si>
    <t xml:space="preserve">汽车销售</t>
  </si>
  <si>
    <t xml:space="preserve">CT22019</t>
  </si>
  <si>
    <t xml:space="preserve">PO220330</t>
  </si>
  <si>
    <t xml:space="preserve">行政部</t>
  </si>
  <si>
    <t xml:space="preserve">陈敏</t>
  </si>
  <si>
    <t xml:space="preserve">深圳总部车库</t>
  </si>
  <si>
    <t xml:space="preserve">CC-ADM</t>
  </si>
  <si>
    <t xml:space="preserve">TAG0005</t>
  </si>
  <si>
    <t xml:space="preserve">FA-0006</t>
  </si>
  <si>
    <t xml:space="preserve">模具A组</t>
  </si>
  <si>
    <t xml:space="preserve">模具</t>
  </si>
  <si>
    <t xml:space="preserve">M-A100</t>
  </si>
  <si>
    <t xml:space="preserve">MOLD2210</t>
  </si>
  <si>
    <t xml:space="preserve">模具厂</t>
  </si>
  <si>
    <t xml:space="preserve">CT22105</t>
  </si>
  <si>
    <t xml:space="preserve">PO221001</t>
  </si>
  <si>
    <t xml:space="preserve">工作量法</t>
  </si>
  <si>
    <t xml:space="preserve">生产二部</t>
  </si>
  <si>
    <t xml:space="preserve">刘军</t>
  </si>
  <si>
    <t xml:space="preserve">东莞模具库</t>
  </si>
  <si>
    <t xml:space="preserve">CC-P03</t>
  </si>
  <si>
    <t xml:space="preserve">TAG0006</t>
  </si>
  <si>
    <t xml:space="preserve">FA-0007</t>
  </si>
  <si>
    <t xml:space="preserve">办公电脑001-020</t>
  </si>
  <si>
    <t xml:space="preserve">ThinkPad</t>
  </si>
  <si>
    <t xml:space="preserve">批量见附件</t>
  </si>
  <si>
    <t xml:space="preserve">电脑公司</t>
  </si>
  <si>
    <t xml:space="preserve">CT25005</t>
  </si>
  <si>
    <t xml:space="preserve">PO250108</t>
  </si>
  <si>
    <t xml:space="preserve">销售部</t>
  </si>
  <si>
    <t xml:space="preserve">多人</t>
  </si>
  <si>
    <t xml:space="preserve">员工携带/总部</t>
  </si>
  <si>
    <t xml:space="preserve">CC-SAL</t>
  </si>
  <si>
    <t xml:space="preserve">盘亏待查</t>
  </si>
  <si>
    <t xml:space="preserve">TAG0101-0120</t>
  </si>
  <si>
    <t xml:space="preserve">FA-0008</t>
  </si>
  <si>
    <t xml:space="preserve">办公家具一批</t>
  </si>
  <si>
    <t xml:space="preserve">办公设备</t>
  </si>
  <si>
    <t xml:space="preserve">定制</t>
  </si>
  <si>
    <t xml:space="preserve">NA</t>
  </si>
  <si>
    <t xml:space="preserve">家具公司</t>
  </si>
  <si>
    <t xml:space="preserve">CT20077</t>
  </si>
  <si>
    <t xml:space="preserve">PO200901</t>
  </si>
  <si>
    <t xml:space="preserve">深圳总部</t>
  </si>
  <si>
    <t xml:space="preserve">在用已提足</t>
  </si>
  <si>
    <t xml:space="preserve">TAG0201</t>
  </si>
  <si>
    <t xml:space="preserve">FA-0009</t>
  </si>
  <si>
    <t xml:space="preserve">老旧包装生产线</t>
  </si>
  <si>
    <t xml:space="preserve">PK-2016</t>
  </si>
  <si>
    <t xml:space="preserve">SN16099</t>
  </si>
  <si>
    <t xml:space="preserve">包装机械</t>
  </si>
  <si>
    <t xml:space="preserve">CT16022</t>
  </si>
  <si>
    <t xml:space="preserve">PO160401</t>
  </si>
  <si>
    <t xml:space="preserve">生产三部</t>
  </si>
  <si>
    <t xml:space="preserve">周涛</t>
  </si>
  <si>
    <t xml:space="preserve">东莞旧厂房</t>
  </si>
  <si>
    <t xml:space="preserve">CC-P04</t>
  </si>
  <si>
    <t xml:space="preserve">TAG0009</t>
  </si>
  <si>
    <t xml:space="preserve">FA-0010</t>
  </si>
  <si>
    <t xml:space="preserve">研发示波器</t>
  </si>
  <si>
    <t xml:space="preserve">仪器仪表</t>
  </si>
  <si>
    <t xml:space="preserve">MSO64</t>
  </si>
  <si>
    <t xml:space="preserve">LAB2308</t>
  </si>
  <si>
    <t xml:space="preserve">仪器公司</t>
  </si>
  <si>
    <t xml:space="preserve">CT23061</t>
  </si>
  <si>
    <t xml:space="preserve">PO230801</t>
  </si>
  <si>
    <t xml:space="preserve">孙工</t>
  </si>
  <si>
    <t xml:space="preserve">深圳实验室</t>
  </si>
  <si>
    <t xml:space="preserve">TAG0010</t>
  </si>
  <si>
    <t xml:space="preserve">FA-0011</t>
  </si>
  <si>
    <t xml:space="preserve">仓库叉车</t>
  </si>
  <si>
    <t xml:space="preserve">运输设备</t>
  </si>
  <si>
    <t xml:space="preserve">FD30</t>
  </si>
  <si>
    <t xml:space="preserve">FORK1901</t>
  </si>
  <si>
    <t xml:space="preserve">叉车公司</t>
  </si>
  <si>
    <t xml:space="preserve">CT19003</t>
  </si>
  <si>
    <t xml:space="preserve">PO190201</t>
  </si>
  <si>
    <t xml:space="preserve">仓储部</t>
  </si>
  <si>
    <t xml:space="preserve">何刚</t>
  </si>
  <si>
    <t xml:space="preserve">东莞仓库</t>
  </si>
  <si>
    <t xml:space="preserve">CC-WH</t>
  </si>
  <si>
    <t xml:space="preserve">TAG0011</t>
  </si>
  <si>
    <t xml:space="preserve">FA-0012</t>
  </si>
  <si>
    <t xml:space="preserve">客户演示设备</t>
  </si>
  <si>
    <t xml:space="preserve">DEMO-2</t>
  </si>
  <si>
    <t xml:space="preserve">DM2502</t>
  </si>
  <si>
    <t xml:space="preserve">自制</t>
  </si>
  <si>
    <t xml:space="preserve">PRJ2502</t>
  </si>
  <si>
    <t xml:space="preserve">MO2502</t>
  </si>
  <si>
    <t xml:space="preserve">市场部</t>
  </si>
  <si>
    <t xml:space="preserve">黄梅</t>
  </si>
  <si>
    <t xml:space="preserve">上海客户现场</t>
  </si>
  <si>
    <t xml:space="preserve">CC-MKT</t>
  </si>
  <si>
    <t xml:space="preserve">外借</t>
  </si>
  <si>
    <t xml:space="preserve">TAG0012</t>
  </si>
  <si>
    <t xml:space="preserve">FA-0013</t>
  </si>
  <si>
    <t xml:space="preserve">空压机</t>
  </si>
  <si>
    <t xml:space="preserve">AC-90</t>
  </si>
  <si>
    <t xml:space="preserve">SN24110</t>
  </si>
  <si>
    <t xml:space="preserve">动力设备</t>
  </si>
  <si>
    <t xml:space="preserve">CT24110</t>
  </si>
  <si>
    <t xml:space="preserve">PO241101</t>
  </si>
  <si>
    <t xml:space="preserve">设备部</t>
  </si>
  <si>
    <t xml:space="preserve">吴成</t>
  </si>
  <si>
    <t xml:space="preserve">深圳动力房</t>
  </si>
  <si>
    <t xml:space="preserve">在维修</t>
  </si>
  <si>
    <t xml:space="preserve">TAG0013</t>
  </si>
  <si>
    <t xml:space="preserve">FA-0014</t>
  </si>
  <si>
    <t xml:space="preserve">东莞厂房装修</t>
  </si>
  <si>
    <t xml:space="preserve">长期待摊/装修</t>
  </si>
  <si>
    <t xml:space="preserve">一期</t>
  </si>
  <si>
    <t xml:space="preserve">装修公司</t>
  </si>
  <si>
    <t xml:space="preserve">CT22088</t>
  </si>
  <si>
    <t xml:space="preserve">PO220701</t>
  </si>
  <si>
    <t xml:space="preserve">TAG0014</t>
  </si>
  <si>
    <t xml:space="preserve">FA-0015</t>
  </si>
  <si>
    <t xml:space="preserve">新自动化装配线</t>
  </si>
  <si>
    <t xml:space="preserve">在建工程</t>
  </si>
  <si>
    <t xml:space="preserve">ASM-X</t>
  </si>
  <si>
    <t xml:space="preserve">SN26001</t>
  </si>
  <si>
    <t xml:space="preserve">自动化公司</t>
  </si>
  <si>
    <t xml:space="preserve">CT26012</t>
  </si>
  <si>
    <t xml:space="preserve">PO260201</t>
  </si>
  <si>
    <t xml:space="preserve">待转固</t>
  </si>
  <si>
    <t xml:space="preserve">深圳A厂2线</t>
  </si>
  <si>
    <t xml:space="preserve">CC-CIP</t>
  </si>
  <si>
    <t xml:space="preserve">已投产未转固</t>
  </si>
  <si>
    <t xml:space="preserve">CIP001</t>
  </si>
  <si>
    <t xml:space="preserve">固定资产卡片批量模板</t>
  </si>
  <si>
    <t xml:space="preserve">可按资产编号筛选后打印或作为ERP导入准备。</t>
  </si>
  <si>
    <t xml:space="preserve">名称</t>
  </si>
  <si>
    <t xml:space="preserve">型号规格</t>
  </si>
  <si>
    <t xml:space="preserve">合同/PO</t>
  </si>
  <si>
    <t xml:space="preserve">发票</t>
  </si>
  <si>
    <t xml:space="preserve">方法</t>
  </si>
  <si>
    <t xml:space="preserve">月折旧</t>
  </si>
  <si>
    <t xml:space="preserve">净值</t>
  </si>
  <si>
    <t xml:space="preserve">部门</t>
  </si>
  <si>
    <t xml:space="preserve">项目号</t>
  </si>
  <si>
    <t xml:space="preserve">标签</t>
  </si>
  <si>
    <t xml:space="preserve">维修摘要</t>
  </si>
  <si>
    <t xml:space="preserve">调拨摘要</t>
  </si>
  <si>
    <t xml:space="preserve">报废状态</t>
  </si>
  <si>
    <t xml:space="preserve">CT23008/PO230501</t>
  </si>
  <si>
    <t xml:space="preserve">CT21018/PO210322</t>
  </si>
  <si>
    <t xml:space="preserve">CT24011/PO240201</t>
  </si>
  <si>
    <t xml:space="preserve">CT24030/PO240510</t>
  </si>
  <si>
    <t xml:space="preserve">CT22019/PO220330</t>
  </si>
  <si>
    <t xml:space="preserve">CT22105/PO221001</t>
  </si>
  <si>
    <t xml:space="preserve">CT25005/PO250108</t>
  </si>
  <si>
    <t xml:space="preserve">CT20077/PO200901</t>
  </si>
  <si>
    <t xml:space="preserve">CT16022/PO160401</t>
  </si>
  <si>
    <t xml:space="preserve">CT23061/PO230801</t>
  </si>
  <si>
    <t xml:space="preserve">CT19003/PO190201</t>
  </si>
  <si>
    <t xml:space="preserve">PRJ2502/MO2502</t>
  </si>
  <si>
    <t xml:space="preserve">CT24110/PO241101</t>
  </si>
  <si>
    <t xml:space="preserve">CT22088/PO220701</t>
  </si>
  <si>
    <t xml:space="preserve">CT26012/PO260201</t>
  </si>
  <si>
    <t xml:space="preserve">新增资产与资本化判断</t>
  </si>
  <si>
    <t xml:space="preserve">把设备价款、运费、安装、调试、培训、备件、关税和利息拆开判断。</t>
  </si>
  <si>
    <t xml:space="preserve">新增ID</t>
  </si>
  <si>
    <t xml:space="preserve">项目/资产</t>
  </si>
  <si>
    <t xml:space="preserve">支出类型</t>
  </si>
  <si>
    <t xml:space="preserve">单据</t>
  </si>
  <si>
    <t xml:space="preserve">不含税金额</t>
  </si>
  <si>
    <t xml:space="preserve">拟资本化</t>
  </si>
  <si>
    <t xml:space="preserve">拟费用化</t>
  </si>
  <si>
    <t xml:space="preserve">其他资产</t>
  </si>
  <si>
    <t xml:space="preserve">直接归属证据</t>
  </si>
  <si>
    <t xml:space="preserve">可使用状态证据</t>
  </si>
  <si>
    <t xml:space="preserve">会计判断</t>
  </si>
  <si>
    <t xml:space="preserve">税务判断</t>
  </si>
  <si>
    <t xml:space="preserve">复核意见</t>
  </si>
  <si>
    <t xml:space="preserve">ADD-001</t>
  </si>
  <si>
    <t xml:space="preserve">待判断</t>
  </si>
  <si>
    <t xml:space="preserve">ADD-002</t>
  </si>
  <si>
    <t xml:space="preserve">ADD-003</t>
  </si>
  <si>
    <t xml:space="preserve">ADD-004</t>
  </si>
  <si>
    <t xml:space="preserve">ADD-005</t>
  </si>
  <si>
    <t xml:space="preserve">ADD-006</t>
  </si>
  <si>
    <t xml:space="preserve">ADD-007</t>
  </si>
  <si>
    <t xml:space="preserve">ADD-008</t>
  </si>
  <si>
    <t xml:space="preserve">ADD-009</t>
  </si>
  <si>
    <t xml:space="preserve">ADD-010</t>
  </si>
  <si>
    <t xml:space="preserve">ADD-011</t>
  </si>
  <si>
    <t xml:space="preserve">ADD-012</t>
  </si>
  <si>
    <t xml:space="preserve">ADD-013</t>
  </si>
  <si>
    <t xml:space="preserve">ADD-014</t>
  </si>
  <si>
    <t xml:space="preserve">ADD-015</t>
  </si>
  <si>
    <t xml:space="preserve">ADD-016</t>
  </si>
  <si>
    <t xml:space="preserve">ADD-017</t>
  </si>
  <si>
    <t xml:space="preserve">ADD-018</t>
  </si>
  <si>
    <t xml:space="preserve">ADD-019</t>
  </si>
  <si>
    <t xml:space="preserve">ADD-020</t>
  </si>
  <si>
    <t xml:space="preserve">ADD-021</t>
  </si>
  <si>
    <t xml:space="preserve">ADD-022</t>
  </si>
  <si>
    <t xml:space="preserve">ADD-023</t>
  </si>
  <si>
    <t xml:space="preserve">ADD-024</t>
  </si>
  <si>
    <t xml:space="preserve">ADD-025</t>
  </si>
  <si>
    <t xml:space="preserve">ADD-026</t>
  </si>
  <si>
    <t xml:space="preserve">ADD-027</t>
  </si>
  <si>
    <t xml:space="preserve">ADD-028</t>
  </si>
  <si>
    <t xml:space="preserve">ADD-029</t>
  </si>
  <si>
    <t xml:space="preserve">ADD-030</t>
  </si>
  <si>
    <t xml:space="preserve">ADD-031</t>
  </si>
  <si>
    <t xml:space="preserve">ADD-032</t>
  </si>
  <si>
    <t xml:space="preserve">ADD-033</t>
  </si>
  <si>
    <t xml:space="preserve">ADD-034</t>
  </si>
  <si>
    <t xml:space="preserve">ADD-035</t>
  </si>
  <si>
    <t xml:space="preserve">ADD-036</t>
  </si>
  <si>
    <t xml:space="preserve">ADD-037</t>
  </si>
  <si>
    <t xml:space="preserve">ADD-038</t>
  </si>
  <si>
    <t xml:space="preserve">ADD-039</t>
  </si>
  <si>
    <t xml:space="preserve">ADD-040</t>
  </si>
  <si>
    <t xml:space="preserve">在建工程与转固检查</t>
  </si>
  <si>
    <t xml:space="preserve">不以发票或最终决算作为唯一转固条件。</t>
  </si>
  <si>
    <t xml:space="preserve">项目ID</t>
  </si>
  <si>
    <t xml:space="preserve">项目名称</t>
  </si>
  <si>
    <t xml:space="preserve">开工日</t>
  </si>
  <si>
    <t xml:space="preserve">账面金额</t>
  </si>
  <si>
    <t xml:space="preserve">预计投产日</t>
  </si>
  <si>
    <t xml:space="preserve">实际投产/可用日</t>
  </si>
  <si>
    <t xml:space="preserve">投产证据</t>
  </si>
  <si>
    <t xml:space="preserve">未转固原因</t>
  </si>
  <si>
    <t xml:space="preserve">Owner</t>
  </si>
  <si>
    <t xml:space="preserve">建议转固金额</t>
  </si>
  <si>
    <t xml:space="preserve">处理</t>
  </si>
  <si>
    <t xml:space="preserve">CIP-001</t>
  </si>
  <si>
    <t xml:space="preserve">PRJ26001</t>
  </si>
  <si>
    <t xml:space="preserve">2026-02-01</t>
  </si>
  <si>
    <t xml:space="preserve">2026-03已有产量及电耗</t>
  </si>
  <si>
    <t xml:space="preserve">最终验收未签</t>
  </si>
  <si>
    <t xml:space="preserve">应转固</t>
  </si>
  <si>
    <t xml:space="preserve">CIP-002</t>
  </si>
  <si>
    <t xml:space="preserve">CIP-003</t>
  </si>
  <si>
    <t xml:space="preserve">CIP-004</t>
  </si>
  <si>
    <t xml:space="preserve">CIP-005</t>
  </si>
  <si>
    <t xml:space="preserve">CIP-006</t>
  </si>
  <si>
    <t xml:space="preserve">CIP-007</t>
  </si>
  <si>
    <t xml:space="preserve">CIP-008</t>
  </si>
  <si>
    <t xml:space="preserve">CIP-009</t>
  </si>
  <si>
    <t xml:space="preserve">CIP-010</t>
  </si>
  <si>
    <t xml:space="preserve">CIP-011</t>
  </si>
  <si>
    <t xml:space="preserve">CIP-012</t>
  </si>
  <si>
    <t xml:space="preserve">CIP-013</t>
  </si>
  <si>
    <t xml:space="preserve">CIP-014</t>
  </si>
  <si>
    <t xml:space="preserve">CIP-015</t>
  </si>
  <si>
    <t xml:space="preserve">CIP-016</t>
  </si>
  <si>
    <t xml:space="preserve">CIP-017</t>
  </si>
  <si>
    <t xml:space="preserve">CIP-018</t>
  </si>
  <si>
    <t xml:space="preserve">CIP-019</t>
  </si>
  <si>
    <t xml:space="preserve">CIP-020</t>
  </si>
  <si>
    <t xml:space="preserve">CIP-021</t>
  </si>
  <si>
    <t xml:space="preserve">CIP-022</t>
  </si>
  <si>
    <t xml:space="preserve">CIP-023</t>
  </si>
  <si>
    <t xml:space="preserve">CIP-024</t>
  </si>
  <si>
    <t xml:space="preserve">CIP-025</t>
  </si>
  <si>
    <t xml:space="preserve">CIP-026</t>
  </si>
  <si>
    <t xml:space="preserve">CIP-027</t>
  </si>
  <si>
    <t xml:space="preserve">CIP-028</t>
  </si>
  <si>
    <t xml:space="preserve">CIP-029</t>
  </si>
  <si>
    <t xml:space="preserve">CIP-030</t>
  </si>
  <si>
    <t xml:space="preserve">CIP-031</t>
  </si>
  <si>
    <t xml:space="preserve">CIP-032</t>
  </si>
  <si>
    <t xml:space="preserve">CIP-033</t>
  </si>
  <si>
    <t xml:space="preserve">CIP-034</t>
  </si>
  <si>
    <t xml:space="preserve">CIP-035</t>
  </si>
  <si>
    <t xml:space="preserve">CIP-036</t>
  </si>
  <si>
    <t xml:space="preserve">CIP-037</t>
  </si>
  <si>
    <t xml:space="preserve">CIP-038</t>
  </si>
  <si>
    <t xml:space="preserve">CIP-039</t>
  </si>
  <si>
    <t xml:space="preserve">CIP-040</t>
  </si>
  <si>
    <t xml:space="preserve">固定资产折旧月末检查</t>
  </si>
  <si>
    <t xml:space="preserve">检查折旧起始、寿命、残值、净值、成本中心和异常波动。</t>
  </si>
  <si>
    <t xml:space="preserve">检查ID</t>
  </si>
  <si>
    <t xml:space="preserve">资产</t>
  </si>
  <si>
    <t xml:space="preserve">结果</t>
  </si>
  <si>
    <t xml:space="preserve">异常说明/处理</t>
  </si>
  <si>
    <t xml:space="preserve">DEP-001</t>
  </si>
  <si>
    <t xml:space="preserve">正常</t>
  </si>
  <si>
    <t xml:space="preserve">DEP-002</t>
  </si>
  <si>
    <t xml:space="preserve">DEP-003</t>
  </si>
  <si>
    <t xml:space="preserve">DEP-004</t>
  </si>
  <si>
    <t xml:space="preserve">DEP-005</t>
  </si>
  <si>
    <t xml:space="preserve">DEP-006</t>
  </si>
  <si>
    <t xml:space="preserve">DEP-007</t>
  </si>
  <si>
    <t xml:space="preserve">DEP-008</t>
  </si>
  <si>
    <t xml:space="preserve">DEP-009</t>
  </si>
  <si>
    <t xml:space="preserve">DEP-010</t>
  </si>
  <si>
    <t xml:space="preserve">DEP-011</t>
  </si>
  <si>
    <t xml:space="preserve">DEP-012</t>
  </si>
  <si>
    <t xml:space="preserve">DEP-013</t>
  </si>
  <si>
    <t xml:space="preserve">DEP-014</t>
  </si>
  <si>
    <t xml:space="preserve">DEP-015</t>
  </si>
  <si>
    <t xml:space="preserve">DEP-016</t>
  </si>
  <si>
    <t xml:space="preserve">DEP-017</t>
  </si>
  <si>
    <t xml:space="preserve">DEP-018</t>
  </si>
  <si>
    <t xml:space="preserve">DEP-019</t>
  </si>
  <si>
    <t xml:space="preserve">DEP-020</t>
  </si>
  <si>
    <t xml:space="preserve">DEP-021</t>
  </si>
  <si>
    <t xml:space="preserve">DEP-022</t>
  </si>
  <si>
    <t xml:space="preserve">DEP-023</t>
  </si>
  <si>
    <t xml:space="preserve">DEP-024</t>
  </si>
  <si>
    <t xml:space="preserve">DEP-025</t>
  </si>
  <si>
    <t xml:space="preserve">DEP-026</t>
  </si>
  <si>
    <t xml:space="preserve">DEP-027</t>
  </si>
  <si>
    <t xml:space="preserve">DEP-028</t>
  </si>
  <si>
    <t xml:space="preserve">DEP-029</t>
  </si>
  <si>
    <t xml:space="preserve">DEP-030</t>
  </si>
  <si>
    <t xml:space="preserve">DEP-031</t>
  </si>
  <si>
    <t xml:space="preserve">DEP-032</t>
  </si>
  <si>
    <t xml:space="preserve">DEP-033</t>
  </si>
  <si>
    <t xml:space="preserve">DEP-034</t>
  </si>
  <si>
    <t xml:space="preserve">DEP-035</t>
  </si>
  <si>
    <t xml:space="preserve">DEP-036</t>
  </si>
  <si>
    <t xml:space="preserve">DEP-037</t>
  </si>
  <si>
    <t xml:space="preserve">DEP-038</t>
  </si>
  <si>
    <t xml:space="preserve">DEP-039</t>
  </si>
  <si>
    <t xml:space="preserve">DEP-040</t>
  </si>
  <si>
    <t xml:space="preserve">固定资产盘点表</t>
  </si>
  <si>
    <t xml:space="preserve">执行卡到物、物到卡双向盘点；盘点期间移动单独登记。</t>
  </si>
  <si>
    <t xml:space="preserve">盘点ID</t>
  </si>
  <si>
    <t xml:space="preserve">账面部门</t>
  </si>
  <si>
    <t xml:space="preserve">账面地点</t>
  </si>
  <si>
    <t xml:space="preserve">账面责任人</t>
  </si>
  <si>
    <t xml:space="preserve">实盘存在</t>
  </si>
  <si>
    <t xml:space="preserve">实盘部门</t>
  </si>
  <si>
    <t xml:space="preserve">实盘地点</t>
  </si>
  <si>
    <t xml:space="preserve">实盘责任人</t>
  </si>
  <si>
    <t xml:space="preserve">备注</t>
  </si>
  <si>
    <t xml:space="preserve">INV-001</t>
  </si>
  <si>
    <t xml:space="preserve">未盘</t>
  </si>
  <si>
    <t xml:space="preserve">INV-002</t>
  </si>
  <si>
    <t xml:space="preserve">INV-003</t>
  </si>
  <si>
    <t xml:space="preserve">INV-004</t>
  </si>
  <si>
    <t xml:space="preserve">INV-005</t>
  </si>
  <si>
    <t xml:space="preserve">INV-006</t>
  </si>
  <si>
    <t xml:space="preserve">INV-007</t>
  </si>
  <si>
    <t xml:space="preserve">INV-008</t>
  </si>
  <si>
    <t xml:space="preserve">INV-009</t>
  </si>
  <si>
    <t xml:space="preserve">INV-010</t>
  </si>
  <si>
    <t xml:space="preserve">INV-011</t>
  </si>
  <si>
    <t xml:space="preserve">INV-012</t>
  </si>
  <si>
    <t xml:space="preserve">INV-013</t>
  </si>
  <si>
    <t xml:space="preserve">INV-014</t>
  </si>
  <si>
    <t xml:space="preserve">INV-015</t>
  </si>
  <si>
    <t xml:space="preserve">INV-016</t>
  </si>
  <si>
    <t xml:space="preserve">INV-017</t>
  </si>
  <si>
    <t xml:space="preserve">INV-018</t>
  </si>
  <si>
    <t xml:space="preserve">INV-019</t>
  </si>
  <si>
    <t xml:space="preserve">INV-020</t>
  </si>
  <si>
    <t xml:space="preserve">INV-021</t>
  </si>
  <si>
    <t xml:space="preserve">INV-022</t>
  </si>
  <si>
    <t xml:space="preserve">INV-023</t>
  </si>
  <si>
    <t xml:space="preserve">INV-024</t>
  </si>
  <si>
    <t xml:space="preserve">INV-025</t>
  </si>
  <si>
    <t xml:space="preserve">INV-026</t>
  </si>
  <si>
    <t xml:space="preserve">INV-027</t>
  </si>
  <si>
    <t xml:space="preserve">INV-028</t>
  </si>
  <si>
    <t xml:space="preserve">INV-029</t>
  </si>
  <si>
    <t xml:space="preserve">INV-030</t>
  </si>
  <si>
    <t xml:space="preserve">INV-031</t>
  </si>
  <si>
    <t xml:space="preserve">INV-032</t>
  </si>
  <si>
    <t xml:space="preserve">INV-033</t>
  </si>
  <si>
    <t xml:space="preserve">INV-034</t>
  </si>
  <si>
    <t xml:space="preserve">INV-035</t>
  </si>
  <si>
    <t xml:space="preserve">INV-036</t>
  </si>
  <si>
    <t xml:space="preserve">INV-037</t>
  </si>
  <si>
    <t xml:space="preserve">INV-038</t>
  </si>
  <si>
    <t xml:space="preserve">INV-039</t>
  </si>
  <si>
    <t xml:space="preserve">INV-040</t>
  </si>
  <si>
    <t xml:space="preserve">INV-041</t>
  </si>
  <si>
    <t xml:space="preserve">INV-042</t>
  </si>
  <si>
    <t xml:space="preserve">INV-043</t>
  </si>
  <si>
    <t xml:space="preserve">INV-044</t>
  </si>
  <si>
    <t xml:space="preserve">INV-045</t>
  </si>
  <si>
    <t xml:space="preserve">INV-046</t>
  </si>
  <si>
    <t xml:space="preserve">INV-047</t>
  </si>
  <si>
    <t xml:space="preserve">INV-048</t>
  </si>
  <si>
    <t xml:space="preserve">INV-049</t>
  </si>
  <si>
    <t xml:space="preserve">INV-050</t>
  </si>
  <si>
    <t xml:space="preserve">固定资产盘点差异与Closure</t>
  </si>
  <si>
    <t xml:space="preserve">差异不能只写“查明原因”，必须有证据、Owner和期限。</t>
  </si>
  <si>
    <t xml:space="preserve">差异ID</t>
  </si>
  <si>
    <t xml:space="preserve">差异类型</t>
  </si>
  <si>
    <t xml:space="preserve">发现方式</t>
  </si>
  <si>
    <t xml:space="preserve">调查步骤</t>
  </si>
  <si>
    <t xml:space="preserve">截止日</t>
  </si>
  <si>
    <t xml:space="preserve">临时控制</t>
  </si>
  <si>
    <t xml:space="preserve">账务/税务</t>
  </si>
  <si>
    <t xml:space="preserve">复核人</t>
  </si>
  <si>
    <t xml:space="preserve">Closure证据</t>
  </si>
  <si>
    <t xml:space="preserve">DIF-001</t>
  </si>
  <si>
    <t xml:space="preserve">数量短缺4台</t>
  </si>
  <si>
    <t xml:space="preserve">盘点扫码</t>
  </si>
  <si>
    <t xml:space="preserve">查领用、离职、维修、MDM和门禁</t>
  </si>
  <si>
    <t xml:space="preserve">销售经理</t>
  </si>
  <si>
    <t xml:space="preserve">冻结调拨处置</t>
  </si>
  <si>
    <t xml:space="preserve">待责任认定</t>
  </si>
  <si>
    <t xml:space="preserve">Open</t>
  </si>
  <si>
    <t xml:space="preserve">DIF-002</t>
  </si>
  <si>
    <t xml:space="preserve">产量及电耗</t>
  </si>
  <si>
    <t xml:space="preserve">确认实际可使用日并暂估转固</t>
  </si>
  <si>
    <t xml:space="preserve">项目经理</t>
  </si>
  <si>
    <t xml:space="preserve">禁止继续延迟</t>
  </si>
  <si>
    <t xml:space="preserve">补转固及折旧</t>
  </si>
  <si>
    <t xml:space="preserve">DIF-003</t>
  </si>
  <si>
    <t xml:space="preserve">DIF-004</t>
  </si>
  <si>
    <t xml:space="preserve">DIF-005</t>
  </si>
  <si>
    <t xml:space="preserve">DIF-006</t>
  </si>
  <si>
    <t xml:space="preserve">DIF-007</t>
  </si>
  <si>
    <t xml:space="preserve">DIF-008</t>
  </si>
  <si>
    <t xml:space="preserve">DIF-009</t>
  </si>
  <si>
    <t xml:space="preserve">DIF-010</t>
  </si>
  <si>
    <t xml:space="preserve">DIF-011</t>
  </si>
  <si>
    <t xml:space="preserve">DIF-012</t>
  </si>
  <si>
    <t xml:space="preserve">DIF-013</t>
  </si>
  <si>
    <t xml:space="preserve">DIF-014</t>
  </si>
  <si>
    <t xml:space="preserve">DIF-015</t>
  </si>
  <si>
    <t xml:space="preserve">DIF-016</t>
  </si>
  <si>
    <t xml:space="preserve">DIF-017</t>
  </si>
  <si>
    <t xml:space="preserve">DIF-018</t>
  </si>
  <si>
    <t xml:space="preserve">DIF-019</t>
  </si>
  <si>
    <t xml:space="preserve">DIF-020</t>
  </si>
  <si>
    <t xml:space="preserve">DIF-021</t>
  </si>
  <si>
    <t xml:space="preserve">DIF-022</t>
  </si>
  <si>
    <t xml:space="preserve">DIF-023</t>
  </si>
  <si>
    <t xml:space="preserve">DIF-024</t>
  </si>
  <si>
    <t xml:space="preserve">DIF-025</t>
  </si>
  <si>
    <t xml:space="preserve">DIF-026</t>
  </si>
  <si>
    <t xml:space="preserve">DIF-027</t>
  </si>
  <si>
    <t xml:space="preserve">DIF-028</t>
  </si>
  <si>
    <t xml:space="preserve">DIF-029</t>
  </si>
  <si>
    <t xml:space="preserve">DIF-030</t>
  </si>
  <si>
    <t xml:space="preserve">DIF-031</t>
  </si>
  <si>
    <t xml:space="preserve">DIF-032</t>
  </si>
  <si>
    <t xml:space="preserve">DIF-033</t>
  </si>
  <si>
    <t xml:space="preserve">DIF-034</t>
  </si>
  <si>
    <t xml:space="preserve">DIF-035</t>
  </si>
  <si>
    <t xml:space="preserve">DIF-036</t>
  </si>
  <si>
    <t xml:space="preserve">DIF-037</t>
  </si>
  <si>
    <t xml:space="preserve">DIF-038</t>
  </si>
  <si>
    <t xml:space="preserve">DIF-039</t>
  </si>
  <si>
    <t xml:space="preserve">DIF-040</t>
  </si>
  <si>
    <t xml:space="preserve">DIF-041</t>
  </si>
  <si>
    <t xml:space="preserve">DIF-042</t>
  </si>
  <si>
    <t xml:space="preserve">DIF-043</t>
  </si>
  <si>
    <t xml:space="preserve">DIF-044</t>
  </si>
  <si>
    <t xml:space="preserve">DIF-045</t>
  </si>
  <si>
    <t xml:space="preserve">DIF-046</t>
  </si>
  <si>
    <t xml:space="preserve">DIF-047</t>
  </si>
  <si>
    <t xml:space="preserve">DIF-048</t>
  </si>
  <si>
    <t xml:space="preserve">DIF-049</t>
  </si>
  <si>
    <t xml:space="preserve">DIF-050</t>
  </si>
  <si>
    <t xml:space="preserve">闲置资产识别与处置</t>
  </si>
  <si>
    <t xml:space="preserve">结合运行小时、产量、电耗、维修和生产计划主动识别。</t>
  </si>
  <si>
    <t xml:space="preserve">闲置ID</t>
  </si>
  <si>
    <t xml:space="preserve">最后运行日</t>
  </si>
  <si>
    <t xml:space="preserve">原因</t>
  </si>
  <si>
    <t xml:space="preserve">预计恢复日</t>
  </si>
  <si>
    <t xml:space="preserve">利用率证据</t>
  </si>
  <si>
    <t xml:space="preserve">方案</t>
  </si>
  <si>
    <t xml:space="preserve">减值迹象</t>
  </si>
  <si>
    <t xml:space="preserve">IDLE-001</t>
  </si>
  <si>
    <t xml:space="preserve">待评估</t>
  </si>
  <si>
    <t xml:space="preserve">IDLE-002</t>
  </si>
  <si>
    <t xml:space="preserve">IDLE-003</t>
  </si>
  <si>
    <t xml:space="preserve">IDLE-004</t>
  </si>
  <si>
    <t xml:space="preserve">IDLE-005</t>
  </si>
  <si>
    <t xml:space="preserve">IDLE-006</t>
  </si>
  <si>
    <t xml:space="preserve">IDLE-007</t>
  </si>
  <si>
    <t xml:space="preserve">IDLE-008</t>
  </si>
  <si>
    <t xml:space="preserve">IDLE-009</t>
  </si>
  <si>
    <t xml:space="preserve">IDLE-010</t>
  </si>
  <si>
    <t xml:space="preserve">IDLE-011</t>
  </si>
  <si>
    <t xml:space="preserve">IDLE-012</t>
  </si>
  <si>
    <t xml:space="preserve">IDLE-013</t>
  </si>
  <si>
    <t xml:space="preserve">IDLE-014</t>
  </si>
  <si>
    <t xml:space="preserve">IDLE-015</t>
  </si>
  <si>
    <t xml:space="preserve">IDLE-016</t>
  </si>
  <si>
    <t xml:space="preserve">IDLE-017</t>
  </si>
  <si>
    <t xml:space="preserve">IDLE-018</t>
  </si>
  <si>
    <t xml:space="preserve">IDLE-019</t>
  </si>
  <si>
    <t xml:space="preserve">IDLE-020</t>
  </si>
  <si>
    <t xml:space="preserve">IDLE-021</t>
  </si>
  <si>
    <t xml:space="preserve">IDLE-022</t>
  </si>
  <si>
    <t xml:space="preserve">IDLE-023</t>
  </si>
  <si>
    <t xml:space="preserve">IDLE-024</t>
  </si>
  <si>
    <t xml:space="preserve">IDLE-025</t>
  </si>
  <si>
    <t xml:space="preserve">IDLE-026</t>
  </si>
  <si>
    <t xml:space="preserve">IDLE-027</t>
  </si>
  <si>
    <t xml:space="preserve">IDLE-028</t>
  </si>
  <si>
    <t xml:space="preserve">IDLE-029</t>
  </si>
  <si>
    <t xml:space="preserve">IDLE-030</t>
  </si>
  <si>
    <t xml:space="preserve">IDLE-031</t>
  </si>
  <si>
    <t xml:space="preserve">IDLE-032</t>
  </si>
  <si>
    <t xml:space="preserve">IDLE-033</t>
  </si>
  <si>
    <t xml:space="preserve">IDLE-034</t>
  </si>
  <si>
    <t xml:space="preserve">IDLE-035</t>
  </si>
  <si>
    <t xml:space="preserve">IDLE-036</t>
  </si>
  <si>
    <t xml:space="preserve">IDLE-037</t>
  </si>
  <si>
    <t xml:space="preserve">IDLE-038</t>
  </si>
  <si>
    <t xml:space="preserve">IDLE-039</t>
  </si>
  <si>
    <t xml:space="preserve">IDLE-040</t>
  </si>
  <si>
    <t xml:space="preserve">固定资产减值迹象与测试</t>
  </si>
  <si>
    <t xml:space="preserve">业务提供经营事实，财务对资产组、预测和会计判断负责。</t>
  </si>
  <si>
    <t xml:space="preserve">测试ID</t>
  </si>
  <si>
    <t xml:space="preserve">资产/资产组</t>
  </si>
  <si>
    <t xml:space="preserve">测试层级</t>
  </si>
  <si>
    <t xml:space="preserve">账面价值</t>
  </si>
  <si>
    <t xml:space="preserve">公允价值减处置费</t>
  </si>
  <si>
    <t xml:space="preserve">使用价值</t>
  </si>
  <si>
    <t xml:space="preserve">可收回金额</t>
  </si>
  <si>
    <t xml:space="preserve">预测期</t>
  </si>
  <si>
    <t xml:space="preserve">折现率</t>
  </si>
  <si>
    <t xml:space="preserve">敏感性</t>
  </si>
  <si>
    <t xml:space="preserve">资料路径</t>
  </si>
  <si>
    <t xml:space="preserve">结论</t>
  </si>
  <si>
    <t xml:space="preserve">审批</t>
  </si>
  <si>
    <t xml:space="preserve">IMP-001</t>
  </si>
  <si>
    <t xml:space="preserve">IMP-002</t>
  </si>
  <si>
    <t xml:space="preserve">IMP-003</t>
  </si>
  <si>
    <t xml:space="preserve">IMP-004</t>
  </si>
  <si>
    <t xml:space="preserve">IMP-005</t>
  </si>
  <si>
    <t xml:space="preserve">IMP-006</t>
  </si>
  <si>
    <t xml:space="preserve">IMP-007</t>
  </si>
  <si>
    <t xml:space="preserve">IMP-008</t>
  </si>
  <si>
    <t xml:space="preserve">IMP-009</t>
  </si>
  <si>
    <t xml:space="preserve">IMP-010</t>
  </si>
  <si>
    <t xml:space="preserve">IMP-011</t>
  </si>
  <si>
    <t xml:space="preserve">IMP-012</t>
  </si>
  <si>
    <t xml:space="preserve">IMP-013</t>
  </si>
  <si>
    <t xml:space="preserve">IMP-014</t>
  </si>
  <si>
    <t xml:space="preserve">IMP-015</t>
  </si>
  <si>
    <t xml:space="preserve">IMP-016</t>
  </si>
  <si>
    <t xml:space="preserve">IMP-017</t>
  </si>
  <si>
    <t xml:space="preserve">IMP-018</t>
  </si>
  <si>
    <t xml:space="preserve">IMP-019</t>
  </si>
  <si>
    <t xml:space="preserve">IMP-020</t>
  </si>
  <si>
    <t xml:space="preserve">IMP-021</t>
  </si>
  <si>
    <t xml:space="preserve">IMP-022</t>
  </si>
  <si>
    <t xml:space="preserve">IMP-023</t>
  </si>
  <si>
    <t xml:space="preserve">IMP-024</t>
  </si>
  <si>
    <t xml:space="preserve">IMP-025</t>
  </si>
  <si>
    <t xml:space="preserve">IMP-026</t>
  </si>
  <si>
    <t xml:space="preserve">IMP-027</t>
  </si>
  <si>
    <t xml:space="preserve">IMP-028</t>
  </si>
  <si>
    <t xml:space="preserve">IMP-029</t>
  </si>
  <si>
    <t xml:space="preserve">IMP-030</t>
  </si>
  <si>
    <t xml:space="preserve">IMP-031</t>
  </si>
  <si>
    <t xml:space="preserve">IMP-032</t>
  </si>
  <si>
    <t xml:space="preserve">IMP-033</t>
  </si>
  <si>
    <t xml:space="preserve">IMP-034</t>
  </si>
  <si>
    <t xml:space="preserve">IMP-035</t>
  </si>
  <si>
    <t xml:space="preserve">IMP-036</t>
  </si>
  <si>
    <t xml:space="preserve">IMP-037</t>
  </si>
  <si>
    <t xml:space="preserve">IMP-038</t>
  </si>
  <si>
    <t xml:space="preserve">IMP-039</t>
  </si>
  <si>
    <t xml:space="preserve">IMP-040</t>
  </si>
  <si>
    <t xml:space="preserve">固定资产调拨单</t>
  </si>
  <si>
    <t xml:space="preserve">同一法人内部调拨与不同法人资产转移必须区分。</t>
  </si>
  <si>
    <t xml:space="preserve">调拨单</t>
  </si>
  <si>
    <t xml:space="preserve">调出法人/部门</t>
  </si>
  <si>
    <t xml:space="preserve">调入法人/部门</t>
  </si>
  <si>
    <t xml:space="preserve">原地点</t>
  </si>
  <si>
    <t xml:space="preserve">新地点</t>
  </si>
  <si>
    <t xml:space="preserve">原责任人</t>
  </si>
  <si>
    <t xml:space="preserve">新责任人</t>
  </si>
  <si>
    <t xml:space="preserve">调拨原因</t>
  </si>
  <si>
    <t xml:space="preserve">会计税务判断</t>
  </si>
  <si>
    <t xml:space="preserve">交接证据</t>
  </si>
  <si>
    <t xml:space="preserve">TR-001</t>
  </si>
  <si>
    <t xml:space="preserve">待审批</t>
  </si>
  <si>
    <t xml:space="preserve">TR-002</t>
  </si>
  <si>
    <t xml:space="preserve">TR-003</t>
  </si>
  <si>
    <t xml:space="preserve">TR-004</t>
  </si>
  <si>
    <t xml:space="preserve">TR-005</t>
  </si>
  <si>
    <t xml:space="preserve">TR-006</t>
  </si>
  <si>
    <t xml:space="preserve">TR-007</t>
  </si>
  <si>
    <t xml:space="preserve">TR-008</t>
  </si>
  <si>
    <t xml:space="preserve">TR-009</t>
  </si>
  <si>
    <t xml:space="preserve">TR-010</t>
  </si>
  <si>
    <t xml:space="preserve">TR-011</t>
  </si>
  <si>
    <t xml:space="preserve">TR-012</t>
  </si>
  <si>
    <t xml:space="preserve">TR-013</t>
  </si>
  <si>
    <t xml:space="preserve">TR-014</t>
  </si>
  <si>
    <t xml:space="preserve">TR-015</t>
  </si>
  <si>
    <t xml:space="preserve">TR-016</t>
  </si>
  <si>
    <t xml:space="preserve">TR-017</t>
  </si>
  <si>
    <t xml:space="preserve">TR-018</t>
  </si>
  <si>
    <t xml:space="preserve">TR-019</t>
  </si>
  <si>
    <t xml:space="preserve">TR-020</t>
  </si>
  <si>
    <t xml:space="preserve">TR-021</t>
  </si>
  <si>
    <t xml:space="preserve">TR-022</t>
  </si>
  <si>
    <t xml:space="preserve">TR-023</t>
  </si>
  <si>
    <t xml:space="preserve">TR-024</t>
  </si>
  <si>
    <t xml:space="preserve">TR-025</t>
  </si>
  <si>
    <t xml:space="preserve">TR-026</t>
  </si>
  <si>
    <t xml:space="preserve">TR-027</t>
  </si>
  <si>
    <t xml:space="preserve">TR-028</t>
  </si>
  <si>
    <t xml:space="preserve">TR-029</t>
  </si>
  <si>
    <t xml:space="preserve">TR-030</t>
  </si>
  <si>
    <t xml:space="preserve">TR-031</t>
  </si>
  <si>
    <t xml:space="preserve">TR-032</t>
  </si>
  <si>
    <t xml:space="preserve">TR-033</t>
  </si>
  <si>
    <t xml:space="preserve">TR-034</t>
  </si>
  <si>
    <t xml:space="preserve">TR-035</t>
  </si>
  <si>
    <t xml:space="preserve">TR-036</t>
  </si>
  <si>
    <t xml:space="preserve">TR-037</t>
  </si>
  <si>
    <t xml:space="preserve">TR-038</t>
  </si>
  <si>
    <t xml:space="preserve">TR-039</t>
  </si>
  <si>
    <t xml:space="preserve">TR-040</t>
  </si>
  <si>
    <t xml:space="preserve">维修、大修、技改与部件替换</t>
  </si>
  <si>
    <t xml:space="preserve">金额大不当然资本化，判断是否增加未来经济利益。</t>
  </si>
  <si>
    <t xml:space="preserve">事项ID</t>
  </si>
  <si>
    <t xml:space="preserve">类型</t>
  </si>
  <si>
    <t xml:space="preserve">金额</t>
  </si>
  <si>
    <t xml:space="preserve">改造前能力</t>
  </si>
  <si>
    <t xml:space="preserve">改造后能力</t>
  </si>
  <si>
    <t xml:space="preserve">寿命影响</t>
  </si>
  <si>
    <t xml:space="preserve">旧部件</t>
  </si>
  <si>
    <t xml:space="preserve">直接证据</t>
  </si>
  <si>
    <t xml:space="preserve">拟处理</t>
  </si>
  <si>
    <t xml:space="preserve">MR-001</t>
  </si>
  <si>
    <t xml:space="preserve">MR-002</t>
  </si>
  <si>
    <t xml:space="preserve">MR-003</t>
  </si>
  <si>
    <t xml:space="preserve">MR-004</t>
  </si>
  <si>
    <t xml:space="preserve">MR-005</t>
  </si>
  <si>
    <t xml:space="preserve">MR-006</t>
  </si>
  <si>
    <t xml:space="preserve">MR-007</t>
  </si>
  <si>
    <t xml:space="preserve">MR-008</t>
  </si>
  <si>
    <t xml:space="preserve">MR-009</t>
  </si>
  <si>
    <t xml:space="preserve">MR-010</t>
  </si>
  <si>
    <t xml:space="preserve">MR-011</t>
  </si>
  <si>
    <t xml:space="preserve">MR-012</t>
  </si>
  <si>
    <t xml:space="preserve">MR-013</t>
  </si>
  <si>
    <t xml:space="preserve">MR-014</t>
  </si>
  <si>
    <t xml:space="preserve">MR-015</t>
  </si>
  <si>
    <t xml:space="preserve">MR-016</t>
  </si>
  <si>
    <t xml:space="preserve">MR-017</t>
  </si>
  <si>
    <t xml:space="preserve">MR-018</t>
  </si>
  <si>
    <t xml:space="preserve">MR-019</t>
  </si>
  <si>
    <t xml:space="preserve">MR-020</t>
  </si>
  <si>
    <t xml:space="preserve">MR-021</t>
  </si>
  <si>
    <t xml:space="preserve">MR-022</t>
  </si>
  <si>
    <t xml:space="preserve">MR-023</t>
  </si>
  <si>
    <t xml:space="preserve">MR-024</t>
  </si>
  <si>
    <t xml:space="preserve">MR-025</t>
  </si>
  <si>
    <t xml:space="preserve">MR-026</t>
  </si>
  <si>
    <t xml:space="preserve">MR-027</t>
  </si>
  <si>
    <t xml:space="preserve">MR-028</t>
  </si>
  <si>
    <t xml:space="preserve">MR-029</t>
  </si>
  <si>
    <t xml:space="preserve">MR-030</t>
  </si>
  <si>
    <t xml:space="preserve">MR-031</t>
  </si>
  <si>
    <t xml:space="preserve">MR-032</t>
  </si>
  <si>
    <t xml:space="preserve">MR-033</t>
  </si>
  <si>
    <t xml:space="preserve">MR-034</t>
  </si>
  <si>
    <t xml:space="preserve">MR-035</t>
  </si>
  <si>
    <t xml:space="preserve">MR-036</t>
  </si>
  <si>
    <t xml:space="preserve">MR-037</t>
  </si>
  <si>
    <t xml:space="preserve">MR-038</t>
  </si>
  <si>
    <t xml:space="preserve">MR-039</t>
  </si>
  <si>
    <t xml:space="preserve">MR-040</t>
  </si>
  <si>
    <t xml:space="preserve">固定资产报废与处置</t>
  </si>
  <si>
    <t xml:space="preserve">技术鉴定、实物去向、开票收款、销卡和税务资料必须闭环。</t>
  </si>
  <si>
    <t xml:space="preserve">处置ID</t>
  </si>
  <si>
    <t xml:space="preserve">方式</t>
  </si>
  <si>
    <t xml:space="preserve">鉴定结论</t>
  </si>
  <si>
    <t xml:space="preserve">账面原值</t>
  </si>
  <si>
    <t xml:space="preserve">减值</t>
  </si>
  <si>
    <t xml:space="preserve">预计/实际价款</t>
  </si>
  <si>
    <t xml:space="preserve">买方</t>
  </si>
  <si>
    <t xml:space="preserve">出门/称重</t>
  </si>
  <si>
    <t xml:space="preserve">开票</t>
  </si>
  <si>
    <t xml:space="preserve">收款</t>
  </si>
  <si>
    <t xml:space="preserve">Closure</t>
  </si>
  <si>
    <t xml:space="preserve">DISP-001</t>
  </si>
  <si>
    <t xml:space="preserve">DISP-002</t>
  </si>
  <si>
    <t xml:space="preserve">DISP-003</t>
  </si>
  <si>
    <t xml:space="preserve">DISP-004</t>
  </si>
  <si>
    <t xml:space="preserve">DISP-005</t>
  </si>
  <si>
    <t xml:space="preserve">DISP-006</t>
  </si>
  <si>
    <t xml:space="preserve">DISP-007</t>
  </si>
  <si>
    <t xml:space="preserve">DISP-008</t>
  </si>
  <si>
    <t xml:space="preserve">DISP-009</t>
  </si>
  <si>
    <t xml:space="preserve">DISP-010</t>
  </si>
  <si>
    <t xml:space="preserve">DISP-011</t>
  </si>
  <si>
    <t xml:space="preserve">DISP-012</t>
  </si>
  <si>
    <t xml:space="preserve">DISP-013</t>
  </si>
  <si>
    <t xml:space="preserve">DISP-014</t>
  </si>
  <si>
    <t xml:space="preserve">DISP-015</t>
  </si>
  <si>
    <t xml:space="preserve">DISP-016</t>
  </si>
  <si>
    <t xml:space="preserve">DISP-017</t>
  </si>
  <si>
    <t xml:space="preserve">DISP-018</t>
  </si>
  <si>
    <t xml:space="preserve">DISP-019</t>
  </si>
  <si>
    <t xml:space="preserve">DISP-020</t>
  </si>
  <si>
    <t xml:space="preserve">DISP-021</t>
  </si>
  <si>
    <t xml:space="preserve">DISP-022</t>
  </si>
  <si>
    <t xml:space="preserve">DISP-023</t>
  </si>
  <si>
    <t xml:space="preserve">DISP-024</t>
  </si>
  <si>
    <t xml:space="preserve">DISP-025</t>
  </si>
  <si>
    <t xml:space="preserve">DISP-026</t>
  </si>
  <si>
    <t xml:space="preserve">DISP-027</t>
  </si>
  <si>
    <t xml:space="preserve">DISP-028</t>
  </si>
  <si>
    <t xml:space="preserve">DISP-029</t>
  </si>
  <si>
    <t xml:space="preserve">DISP-030</t>
  </si>
  <si>
    <t xml:space="preserve">DISP-031</t>
  </si>
  <si>
    <t xml:space="preserve">DISP-032</t>
  </si>
  <si>
    <t xml:space="preserve">DISP-033</t>
  </si>
  <si>
    <t xml:space="preserve">DISP-034</t>
  </si>
  <si>
    <t xml:space="preserve">DISP-035</t>
  </si>
  <si>
    <t xml:space="preserve">DISP-036</t>
  </si>
  <si>
    <t xml:space="preserve">DISP-037</t>
  </si>
  <si>
    <t xml:space="preserve">DISP-038</t>
  </si>
  <si>
    <t xml:space="preserve">DISP-039</t>
  </si>
  <si>
    <t xml:space="preserve">DISP-040</t>
  </si>
  <si>
    <t xml:space="preserve">固定资产月末检查清单</t>
  </si>
  <si>
    <t xml:space="preserve">每项填写责任人、期限、证据、复核和关闭结果。</t>
  </si>
  <si>
    <t xml:space="preserve">明确动作</t>
  </si>
  <si>
    <t xml:space="preserve">期限</t>
  </si>
  <si>
    <t xml:space="preserve">证据路径</t>
  </si>
  <si>
    <t xml:space="preserve">异常金额</t>
  </si>
  <si>
    <t xml:space="preserve">复核日</t>
  </si>
  <si>
    <t xml:space="preserve">完成总账固定资产与FA模块原值、累计折旧、减值核对</t>
  </si>
  <si>
    <t xml:space="preserve">D+3</t>
  </si>
  <si>
    <t xml:space="preserve">未开始</t>
  </si>
  <si>
    <t xml:space="preserve">复核本月新增资产的合同、验收、可使用状态和资本化组成</t>
  </si>
  <si>
    <t xml:space="preserve">扫描已投产或有电耗产量但仍挂在建工程项目</t>
  </si>
  <si>
    <t xml:space="preserve">复核折旧变动桥、寿命、残值、成本中心和零/负折旧</t>
  </si>
  <si>
    <t xml:space="preserve">更新调拨、维修、外借、闲置、报废和处置状态</t>
  </si>
  <si>
    <t xml:space="preserve">跟踪盘点差异、丢失资产、赔偿和税务损失资料</t>
  </si>
  <si>
    <t xml:space="preserve">复核长期闲置、停产、技术淘汰和受损资产减值迹象</t>
  </si>
  <si>
    <t xml:space="preserve">核对新增/处置发票、进项用途、销项和资产损失台账</t>
  </si>
  <si>
    <t xml:space="preserve">形成CAPEX、利用率、闲置、CIP、盘点和风险管理报告</t>
  </si>
  <si>
    <t xml:space="preserve">新财务主管接手检查</t>
  </si>
  <si>
    <t xml:space="preserve">记录已取得资料、发现、临时控制和历史责任边界。</t>
  </si>
  <si>
    <t xml:space="preserve">阶段</t>
  </si>
  <si>
    <t xml:space="preserve">发现/证据</t>
  </si>
  <si>
    <t xml:space="preserve">第一周</t>
  </si>
  <si>
    <t xml:space="preserve">制度、总账、模块、台账和权限</t>
  </si>
  <si>
    <t xml:space="preserve">完成账与模块对账，抽查大额新增处置</t>
  </si>
  <si>
    <t xml:space="preserve">CIP及投产资料</t>
  </si>
  <si>
    <t xml:space="preserve">扫描已投产未转固</t>
  </si>
  <si>
    <t xml:space="preserve">最近盘点和差异</t>
  </si>
  <si>
    <t xml:space="preserve">定位未关闭事项</t>
  </si>
  <si>
    <t xml:space="preserve">第一个月</t>
  </si>
  <si>
    <t xml:space="preserve">账卡物抽盘</t>
  </si>
  <si>
    <t xml:space="preserve">生产线、电脑、车辆、异地资产双向测试</t>
  </si>
  <si>
    <t xml:space="preserve">折旧与成本中心</t>
  </si>
  <si>
    <t xml:space="preserve">重做折旧变动桥</t>
  </si>
  <si>
    <t xml:space="preserve">闲置和减值</t>
  </si>
  <si>
    <t xml:space="preserve">结合运行、产量和电耗识别</t>
  </si>
  <si>
    <t xml:space="preserve">前三个月</t>
  </si>
  <si>
    <t xml:space="preserve">维修技改和处置</t>
  </si>
  <si>
    <t xml:space="preserve">抽查资本化、旧部件和处置收款</t>
  </si>
  <si>
    <t xml:space="preserve">风险地图和整改</t>
  </si>
  <si>
    <t xml:space="preserve">形成Owner、日期、临时控制和Closure</t>
  </si>
  <si>
    <t xml:space="preserve">固定资产管理核心指标</t>
  </si>
  <si>
    <t xml:space="preserve">指标异常后按工厂、产线、项目、责任人和投产时间下钻。</t>
  </si>
  <si>
    <t xml:space="preserve">定义</t>
  </si>
  <si>
    <t xml:space="preserve">管理意义</t>
  </si>
  <si>
    <t xml:space="preserve">异常原因</t>
  </si>
  <si>
    <t xml:space="preserve">下钻方向</t>
  </si>
  <si>
    <t xml:space="preserve">固定资产周转率</t>
  </si>
  <si>
    <t xml:space="preserve">营业收入÷平均固定资产净额</t>
  </si>
  <si>
    <t xml:space="preserve">衡量资产支持收入的效率</t>
  </si>
  <si>
    <t xml:space="preserve">下降可能是新增产能未爬坡、闲置、收入下滑或资产虚高</t>
  </si>
  <si>
    <t xml:space="preserve">按产线、产品、工厂和投产月份下钻</t>
  </si>
  <si>
    <t xml:space="preserve">设备利用率</t>
  </si>
  <si>
    <t xml:space="preserve">实际运行小时÷可用小时</t>
  </si>
  <si>
    <t xml:space="preserve">连接资产与生产活动</t>
  </si>
  <si>
    <t xml:space="preserve">停机、订单不足、换线、维护或数据失真</t>
  </si>
  <si>
    <t xml:space="preserve">结合OEE、产量、电耗、维修记录</t>
  </si>
  <si>
    <t xml:space="preserve">闲置资产比例</t>
  </si>
  <si>
    <t xml:space="preserve">闲置资产原值或净值÷资产总额</t>
  </si>
  <si>
    <t xml:space="preserve">识别资金占用和减值风险</t>
  </si>
  <si>
    <t xml:space="preserve">需求预测失败、技术淘汰、产线迁移</t>
  </si>
  <si>
    <t xml:space="preserve">逐项决定调拨、出租、出售、改造或减值</t>
  </si>
  <si>
    <t xml:space="preserve">资产成新率</t>
  </si>
  <si>
    <t xml:space="preserve">固定资产净值÷原值</t>
  </si>
  <si>
    <t xml:space="preserve">观察更新压力但不等于技术状态</t>
  </si>
  <si>
    <t xml:space="preserve">低比率可能仍高效使用，也可能更新不足</t>
  </si>
  <si>
    <t xml:space="preserve">结合故障率、维护费、产能和安全</t>
  </si>
  <si>
    <t xml:space="preserve">维修费用率</t>
  </si>
  <si>
    <t xml:space="preserve">维修费÷设备原值或产出</t>
  </si>
  <si>
    <t xml:space="preserve">观察可靠性和全生命周期成本</t>
  </si>
  <si>
    <t xml:space="preserve">设备老化、维护策略不当、虚假维修</t>
  </si>
  <si>
    <t xml:space="preserve">按设备、供应商、故障类型和停机损失</t>
  </si>
  <si>
    <t xml:space="preserve">资本开支预算执行率</t>
  </si>
  <si>
    <t xml:space="preserve">实际资本开支÷批准预算</t>
  </si>
  <si>
    <t xml:space="preserve">控制投资纪律</t>
  </si>
  <si>
    <t xml:space="preserve">超支、延迟、范围变更或项目取消</t>
  </si>
  <si>
    <t xml:space="preserve">按项目、合同、变更令和里程碑</t>
  </si>
  <si>
    <t xml:space="preserve">盘点差异率</t>
  </si>
  <si>
    <t xml:space="preserve">差异资产数量或金额÷盘点范围</t>
  </si>
  <si>
    <t xml:space="preserve">衡量卡片与实物控制质量</t>
  </si>
  <si>
    <t xml:space="preserve">调拨不登记、离职未归还、处置绕流程</t>
  </si>
  <si>
    <t xml:space="preserve">按部门、地点、责任人和差异类型</t>
  </si>
  <si>
    <t xml:space="preserve">转固及时率</t>
  </si>
  <si>
    <t xml:space="preserve">达到可用状态后及时转固项目÷应转固项目</t>
  </si>
  <si>
    <t xml:space="preserve">识别延迟折旧和利润失真</t>
  </si>
  <si>
    <t xml:space="preserve">验收资料滞后、结算未完或管理层干预</t>
  </si>
  <si>
    <t xml:space="preserve">用投产、产量、电耗反向验证</t>
  </si>
  <si>
    <t xml:space="preserve">固定资产风险红旗</t>
  </si>
  <si>
    <t xml:space="preserve">先控制实物和处置权限，再调查事实并升级。</t>
  </si>
  <si>
    <t xml:space="preserve">风险</t>
  </si>
  <si>
    <t xml:space="preserve">典型红旗</t>
  </si>
  <si>
    <t xml:space="preserve">检查动作</t>
  </si>
  <si>
    <t xml:space="preserve">虚假/高价采购</t>
  </si>
  <si>
    <t xml:space="preserve">同型号高价、新供应商大额预付</t>
  </si>
  <si>
    <t xml:space="preserve">查比价、关联方、验收和实物</t>
  </si>
  <si>
    <t xml:space="preserve">资产个人占用</t>
  </si>
  <si>
    <t xml:space="preserve">资产长期在家、责任人离职</t>
  </si>
  <si>
    <t xml:space="preserve">查领用、HR、MDM和归还</t>
  </si>
  <si>
    <t xml:space="preserve">私自出售/废料截留</t>
  </si>
  <si>
    <t xml:space="preserve">出门无处置单、收款不入公司</t>
  </si>
  <si>
    <t xml:space="preserve">查门禁、称重、银行和发票</t>
  </si>
  <si>
    <t xml:space="preserve">虚假维修</t>
  </si>
  <si>
    <t xml:space="preserve">同设备高频同额、供应商关联</t>
  </si>
  <si>
    <t xml:space="preserve">查工单、停机、旧件和现场</t>
  </si>
  <si>
    <t xml:space="preserve">资本化调利润</t>
  </si>
  <si>
    <t xml:space="preserve">期末大量费用转CIP/资产</t>
  </si>
  <si>
    <t xml:space="preserve">查凭证、项目、未来利益和验收</t>
  </si>
  <si>
    <t xml:space="preserve">延迟转固</t>
  </si>
  <si>
    <t xml:space="preserve">已有产量电耗但CIP长期挂账</t>
  </si>
  <si>
    <t xml:space="preserve">查MES、试产、投产和结算</t>
  </si>
  <si>
    <t xml:space="preserve">账实不符</t>
  </si>
  <si>
    <t xml:space="preserve">卡片地点责任人空白或重复编号</t>
  </si>
  <si>
    <t xml:space="preserve">执行卡到物和物到卡</t>
  </si>
  <si>
    <t xml:space="preserve">跨法人混用</t>
  </si>
  <si>
    <t xml:space="preserve">资产长期由其他法人使用</t>
  </si>
  <si>
    <t xml:space="preserve">查协议、定价、税务和保管责任</t>
  </si>
  <si>
    <t xml:space="preserve">固定资产高频实战案例</t>
  </si>
  <si>
    <t xml:space="preserve">填写“我的回答”可用于面试和入职演练。</t>
  </si>
  <si>
    <t xml:space="preserve">编号</t>
  </si>
  <si>
    <t xml:space="preserve">场景</t>
  </si>
  <si>
    <t xml:space="preserve">第一步</t>
  </si>
  <si>
    <t xml:space="preserve">沟通对象</t>
  </si>
  <si>
    <t xml:space="preserve">处理方案</t>
  </si>
  <si>
    <t xml:space="preserve">升级条件</t>
  </si>
  <si>
    <t xml:space="preserve">我的回答</t>
  </si>
  <si>
    <t xml:space="preserve">FA-C01</t>
  </si>
  <si>
    <t xml:space="preserve">盘点发现20台销售电脑中有4台找不到</t>
  </si>
  <si>
    <t xml:space="preserve">冻结处置和调拨，按资产编号追领用人、离职、维修、借用和门禁记录</t>
  </si>
  <si>
    <t xml:space="preserve">销售/HR/IT/行政</t>
  </si>
  <si>
    <t xml:space="preserve">逐台形成最后持有人、证据和责任认定；找回、赔偿或按程序确认损失</t>
  </si>
  <si>
    <t xml:space="preserve">疑似侵占、批量缺失或责任人拒不配合</t>
  </si>
  <si>
    <t xml:space="preserve">FA-C02</t>
  </si>
  <si>
    <t xml:space="preserve">生产线已投入生产6个月但仍挂在建工程</t>
  </si>
  <si>
    <t xml:space="preserve">用生产记录、电耗、产量、试运行和验收事实判断可使用日期，不等最终结算</t>
  </si>
  <si>
    <t xml:space="preserve">生产/工程/设备/采购</t>
  </si>
  <si>
    <t xml:space="preserve">按合理暂估成本转固并补提折旧，后续结算调整原值；评估前期差错和税会影响</t>
  </si>
  <si>
    <t xml:space="preserve">金额重大、管理层要求继续延迟</t>
  </si>
  <si>
    <t xml:space="preserve">FA-C03</t>
  </si>
  <si>
    <t xml:space="preserve">大量设备折旧完毕仍正常使用</t>
  </si>
  <si>
    <t xml:space="preserve">不因提足折旧而强制报废，核对实物、状态和寿命估计是否长期失真</t>
  </si>
  <si>
    <t xml:space="preserve">设备/生产</t>
  </si>
  <si>
    <t xml:space="preserve">停止继续折旧但保留卡片；更新资产更新计划和估计复盘</t>
  </si>
  <si>
    <t xml:space="preserve">安全风险高或重大资产寿命普遍失真</t>
  </si>
  <si>
    <t xml:space="preserve">FA-C04</t>
  </si>
  <si>
    <t xml:space="preserve">系统地点与实际地点大面积不一致</t>
  </si>
  <si>
    <t xml:space="preserve">以盘点结果和调拨证据建立差异清单，禁止批量无依据改卡</t>
  </si>
  <si>
    <t xml:space="preserve">行政/IT/设备/使用部门</t>
  </si>
  <si>
    <t xml:space="preserve">逐项确认同法人调拨，补审批并更新地点、部门、责任人和成本中心</t>
  </si>
  <si>
    <t xml:space="preserve">涉及跨法人或资产无法定位</t>
  </si>
  <si>
    <t xml:space="preserve">FA-C05</t>
  </si>
  <si>
    <t xml:space="preserve">闲置两年的包装线仍按正常状态列示且未做减值</t>
  </si>
  <si>
    <t xml:space="preserve">取得停产、利用率、维护、替代技术和可处置价格资料</t>
  </si>
  <si>
    <t xml:space="preserve">生产/销售/设备</t>
  </si>
  <si>
    <t xml:space="preserve">继续折旧按会计政策执行，同时判断减值迹象、可收回金额和处置方案</t>
  </si>
  <si>
    <t xml:space="preserve">业务拒绝提供预测或可收回金额远低于账面</t>
  </si>
  <si>
    <t xml:space="preserve">FA-C06</t>
  </si>
  <si>
    <t xml:space="preserve">报废设备已卖废铁但财务不知道</t>
  </si>
  <si>
    <t xml:space="preserve">核对门卫出门单、称重单、收款、发票、报废审批和销卡记录</t>
  </si>
  <si>
    <t xml:space="preserve">行政/设备/资金/税务</t>
  </si>
  <si>
    <t xml:space="preserve">补全处置链并按事实终止确认；调查收入去向和权限缺口</t>
  </si>
  <si>
    <t xml:space="preserve">款项流入个人账户或无审批</t>
  </si>
  <si>
    <t xml:space="preserve">FA-C07</t>
  </si>
  <si>
    <t xml:space="preserve">价值80万元检测设备采购后直接费用化</t>
  </si>
  <si>
    <t xml:space="preserve">核对用途、寿命、控制权和企业资本化政策，不以发票摘要决定</t>
  </si>
  <si>
    <t xml:space="preserve">研发/采购</t>
  </si>
  <si>
    <t xml:space="preserve">满足确认条件则更正入资产并补卡片折旧；评估前期差错</t>
  </si>
  <si>
    <t xml:space="preserve">故意费用化或涉及研发加计扣除重大影响</t>
  </si>
  <si>
    <t xml:space="preserve">FA-C08</t>
  </si>
  <si>
    <t xml:space="preserve">日常维修费120万元全部资本化</t>
  </si>
  <si>
    <t xml:space="preserve">逐项核对是否增加经济利益、延长寿命或提升性能，不能以金额大作为资本化理由</t>
  </si>
  <si>
    <t xml:space="preserve">设备/生产/工程</t>
  </si>
  <si>
    <t xml:space="preserve">日常修理费用化；符合条件改良计入资产并调整寿命；识别旧部件终止确认</t>
  </si>
  <si>
    <t xml:space="preserve">人为资本化调节利润</t>
  </si>
  <si>
    <t xml:space="preserve">FA-C09</t>
  </si>
  <si>
    <t xml:space="preserve">员工离职未归还电脑</t>
  </si>
  <si>
    <t xml:space="preserve">把资产归还纳入离职流程停止点，核对领用、工资结算和通讯记录</t>
  </si>
  <si>
    <t xml:space="preserve">HR/IT/行政/法务</t>
  </si>
  <si>
    <t xml:space="preserve">催还、远程锁定、责任认定和赔偿；不得直接销卡</t>
  </si>
  <si>
    <t xml:space="preserve">涉及数据泄露或拒不归还</t>
  </si>
  <si>
    <t xml:space="preserve">FA-C10</t>
  </si>
  <si>
    <t xml:space="preserve">固定资产台账三年无人维护</t>
  </si>
  <si>
    <t xml:space="preserve">从总账、资产模块、采购、盘点和实物重建基准日台账</t>
  </si>
  <si>
    <t xml:space="preserve">总账/行政/IT/设备</t>
  </si>
  <si>
    <t xml:space="preserve">先锁定现状和差异，不倒签或伪造历史单据；分批清理并记录责任边界</t>
  </si>
  <si>
    <t xml:space="preserve">账实差异重大或历史处置无资金记录</t>
  </si>
  <si>
    <t xml:space="preserve">FA-C11</t>
  </si>
  <si>
    <t xml:space="preserve">设备从深圳子公司转给东莞子公司使用</t>
  </si>
  <si>
    <t xml:space="preserve">不同法人不能只改地点，需明确销售、租赁、出资或借用的法律实质</t>
  </si>
  <si>
    <t xml:space="preserve">法务/税务/集团财务</t>
  </si>
  <si>
    <t xml:space="preserve">签协议、定价、审批、开票/税务处理和双方账务；分别销卡和建卡或按租赁管理</t>
  </si>
  <si>
    <t xml:space="preserve">无偿长期占用或关联交易定价异常</t>
  </si>
  <si>
    <t xml:space="preserve">FA-C12</t>
  </si>
  <si>
    <t xml:space="preserve">500万元设备更换价值80万元核心部件</t>
  </si>
  <si>
    <t xml:space="preserve">识别新部件带来的经济利益及旧部件可辨认账面价值</t>
  </si>
  <si>
    <t xml:space="preserve">设备/工程/采购</t>
  </si>
  <si>
    <t xml:space="preserve">符合条件资本化新部件并终止确认旧部件；无法直接取得旧价值时合理估计并留证</t>
  </si>
  <si>
    <t xml:space="preserve">用整项资产继续挂账导致重复资产</t>
  </si>
  <si>
    <t xml:space="preserve">FA-C13</t>
  </si>
  <si>
    <t xml:space="preserve">设备已验收并投入使用但发票未到</t>
  </si>
  <si>
    <t xml:space="preserve">按达到预定可使用状态和可靠估计成本转固，不以发票作为唯一转固条件</t>
  </si>
  <si>
    <t xml:space="preserve">采购/设备/AP</t>
  </si>
  <si>
    <t xml:space="preserve">暂估成本转固并计提折旧；发票到后调整成本和进项税管理</t>
  </si>
  <si>
    <t xml:space="preserve">长期不结算或暂估偏差重大</t>
  </si>
  <si>
    <t xml:space="preserve">FA-C14</t>
  </si>
  <si>
    <t xml:space="preserve">员工申请以明显低价购买旧电脑</t>
  </si>
  <si>
    <t xml:space="preserve">先完成技术评估、数据清除、处置审批和公允性比较</t>
  </si>
  <si>
    <t xml:space="preserve">IT/行政/HR/税务</t>
  </si>
  <si>
    <t xml:space="preserve">公开或有依据定价、公司收款、开票及销卡；关联个人优惠需评估薪酬福利和税务</t>
  </si>
  <si>
    <t xml:space="preserve">管理层指定个人无偿或象征性取得</t>
  </si>
  <si>
    <t xml:space="preserve">FA-C15</t>
  </si>
  <si>
    <t xml:space="preserve">出租给客户的演示设备无法现场盘点</t>
  </si>
  <si>
    <t xml:space="preserve">核对合同、客户签收、序列号、租金/服务、保险和远程运行数据</t>
  </si>
  <si>
    <t xml:space="preserve">销售/客户/法务</t>
  </si>
  <si>
    <t xml:space="preserve">取得客户回函、照片视频定位或第三方盘点；到期催还或转处置</t>
  </si>
  <si>
    <t xml:space="preserve">客户失联、设备不在线或权属争议</t>
  </si>
  <si>
    <t xml:space="preserve">固定资产准则、内控和税务依据</t>
  </si>
  <si>
    <t xml:space="preserve">税务优惠和申报规则应在实际处理时再次核对。</t>
  </si>
  <si>
    <t xml:space="preserve">文件号</t>
  </si>
  <si>
    <t xml:space="preserve">关系</t>
  </si>
  <si>
    <t xml:space="preserve">官方网址</t>
  </si>
  <si>
    <t xml:space="preserve">企业会计准则第4号——固定资产</t>
  </si>
  <si>
    <t xml:space="preserve">财会〔2006〕3号</t>
  </si>
  <si>
    <t xml:space="preserve">确认、初始计量、折旧、后续支出和处置</t>
  </si>
  <si>
    <t xml:space="preserve">https://kjs.mof.gov.cn/zt/kjzzss/kuaijizhunzeshishi/200806/t20080618_46213.htm</t>
  </si>
  <si>
    <t xml:space="preserve">企业会计准则第8号——资产减值</t>
  </si>
  <si>
    <t xml:space="preserve">减值迹象、资产组与可收回金额</t>
  </si>
  <si>
    <t xml:space="preserve">https://kjs.mof.gov.cn/zt/kjzzss/kuaijizhunzeshishi/200806/t20080618_46240.htm</t>
  </si>
  <si>
    <t xml:space="preserve">企业内部控制应用指引第8号——资产管理</t>
  </si>
  <si>
    <t xml:space="preserve">财会〔2010〕11号</t>
  </si>
  <si>
    <t xml:space="preserve">资产安全、使用效能、维护、盘点和处置控制</t>
  </si>
  <si>
    <t xml:space="preserve">https://kjs.mof.gov.cn/zhengcefabu/201005/P020230421440664863663.pdf</t>
  </si>
  <si>
    <t xml:space="preserve">企业所得税法实施条例</t>
  </si>
  <si>
    <t xml:space="preserve">国务院令第512号等</t>
  </si>
  <si>
    <t xml:space="preserve">计税基础、折旧最低年限、大修理和改建支出</t>
  </si>
  <si>
    <t xml:space="preserve">https://www.chinatax.gov.cn/n810341/n810765/n812176/n812748/c1193046/content.html</t>
  </si>
  <si>
    <t xml:space="preserve">设备、器具扣除有关企业所得税政策</t>
  </si>
  <si>
    <t xml:space="preserve">财政部 税务总局公告2023年第37号</t>
  </si>
  <si>
    <t xml:space="preserve">2024—2027年不超过500万元设备器具一次性扣除</t>
  </si>
  <si>
    <t xml:space="preserve">https://fgk.chinatax.gov.cn/zcfgk/c102416/c5212306/content.html</t>
  </si>
  <si>
    <t xml:space="preserve">企业资产损失所得税税前扣除管理办法</t>
  </si>
  <si>
    <t xml:space="preserve">国家税务总局公告2011年第25号</t>
  </si>
  <si>
    <t xml:space="preserve">盘亏、丢失、报废毁损的证据和留存备查</t>
  </si>
  <si>
    <t xml:space="preserve">https://www.chinatax.gov.cn/n810341/n810765/n812156/n812499/c1187231/content.html</t>
  </si>
  <si>
    <t xml:space="preserve">严格执行企业会计准则做好2025年年报工作的通知</t>
  </si>
  <si>
    <t xml:space="preserve">财政部2025年通知</t>
  </si>
  <si>
    <t xml:space="preserve">折旧方法、残值和使用寿命应符合实际消耗方式</t>
  </si>
  <si>
    <t xml:space="preserve">https://m.mof.gov.cn/czxw/202512/t20251224_3980024.htm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</si>
</sst>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¥#,##0"/>
    <numFmt numFmtId="166" formatCode="0.0%"/>
    <numFmt numFmtId="167" formatCode="yyyy\-mm\-dd"/>
  </numFmts>
  <fonts count="9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name val="Calibri"/>
      <family val="0"/>
      <charset val="1"/>
    </font>
    <font>
      <b val="true"/>
      <sz val="16"/>
      <name val="Microsoft YaHei"/>
      <family val="0"/>
      <charset val="1"/>
    </font>
    <font>
      <i val="true"/>
      <sz val="9"/>
      <color rgb="FF666666"/>
      <name val="Microsoft YaHei"/>
      <family val="0"/>
      <charset val="1"/>
    </font>
    <font>
      <b val="true"/>
      <sz val="8"/>
      <color rgb="FFFFFFFF"/>
      <name val="Microsoft YaHei"/>
      <family val="0"/>
      <charset val="1"/>
    </font>
    <font>
      <sz val="8"/>
      <name val="Microsoft YaHe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dditions" displayName="Additions" ref="A5:P45" headerRowCount="1" totalsRowCount="0" totalsRowShown="0">
  <tableColumns count="16">
    <tableColumn id="1" name="新增ID"/>
    <tableColumn id="2" name="项目/资产"/>
    <tableColumn id="3" name="支出类型"/>
    <tableColumn id="4" name="供应商"/>
    <tableColumn id="5" name="单据"/>
    <tableColumn id="6" name="不含税金额"/>
    <tableColumn id="7" name="税额"/>
    <tableColumn id="8" name="拟资本化"/>
    <tableColumn id="9" name="拟费用化"/>
    <tableColumn id="10" name="其他资产"/>
    <tableColumn id="11" name="直接归属证据"/>
    <tableColumn id="12" name="可使用状态证据"/>
    <tableColumn id="13" name="会计判断"/>
    <tableColumn id="14" name="税务判断"/>
    <tableColumn id="15" name="状态"/>
    <tableColumn id="16" name="复核意见"/>
  </tableColumns>
</table>
</file>

<file path=xl/tables/table2.xml><?xml version="1.0" encoding="utf-8"?>
<table xmlns="http://schemas.openxmlformats.org/spreadsheetml/2006/main" id="2" name="AssetRegister" displayName="AssetRegister" ref="A5:Y20" headerRowCount="1" totalsRowCount="0" totalsRowShown="0">
  <tableColumns count="25">
    <tableColumn id="1" name="资产编号"/>
    <tableColumn id="2" name="资产名称"/>
    <tableColumn id="3" name="类别"/>
    <tableColumn id="4" name="型号"/>
    <tableColumn id="5" name="序列号"/>
    <tableColumn id="6" name="供应商"/>
    <tableColumn id="7" name="合同"/>
    <tableColumn id="8" name="PO"/>
    <tableColumn id="9" name="原值"/>
    <tableColumn id="10" name="税额"/>
    <tableColumn id="11" name="入账日"/>
    <tableColumn id="12" name="可使用日"/>
    <tableColumn id="13" name="折旧开始日"/>
    <tableColumn id="14" name="折旧方法"/>
    <tableColumn id="15" name="年限"/>
    <tableColumn id="16" name="残值率"/>
    <tableColumn id="17" name="累计折旧"/>
    <tableColumn id="18" name="账面净值"/>
    <tableColumn id="19" name="使用部门"/>
    <tableColumn id="20" name="责任人"/>
    <tableColumn id="21" name="地点"/>
    <tableColumn id="22" name="成本中心"/>
    <tableColumn id="23" name="状态"/>
    <tableColumn id="24" name="标签号"/>
    <tableColumn id="25" name="最近盘点日"/>
  </tableColumns>
</table>
</file>

<file path=xl/tables/table3.xml><?xml version="1.0" encoding="utf-8"?>
<table xmlns="http://schemas.openxmlformats.org/spreadsheetml/2006/main" id="3" name="Cards" displayName="Cards" ref="A5:AA20" headerRowCount="1" totalsRowCount="0" totalsRowShown="0">
  <tableColumns count="27">
    <tableColumn id="1" name="资产编号"/>
    <tableColumn id="2" name="名称"/>
    <tableColumn id="3" name="类别"/>
    <tableColumn id="4" name="型号规格"/>
    <tableColumn id="5" name="序列号"/>
    <tableColumn id="6" name="供应商"/>
    <tableColumn id="7" name="合同/PO"/>
    <tableColumn id="8" name="发票"/>
    <tableColumn id="9" name="原值"/>
    <tableColumn id="10" name="可使用日"/>
    <tableColumn id="11" name="折旧开始日"/>
    <tableColumn id="12" name="方法"/>
    <tableColumn id="13" name="年限"/>
    <tableColumn id="14" name="残值率"/>
    <tableColumn id="15" name="月折旧"/>
    <tableColumn id="16" name="累计折旧"/>
    <tableColumn id="17" name="净值"/>
    <tableColumn id="18" name="部门"/>
    <tableColumn id="19" name="责任人"/>
    <tableColumn id="20" name="地点"/>
    <tableColumn id="21" name="成本中心"/>
    <tableColumn id="22" name="项目号"/>
    <tableColumn id="23" name="状态"/>
    <tableColumn id="24" name="标签"/>
    <tableColumn id="25" name="维修摘要"/>
    <tableColumn id="26" name="调拨摘要"/>
    <tableColumn id="27" name="报废状态"/>
  </tableColumns>
</table>
</file>

<file path=xl/tables/table4.xml><?xml version="1.0" encoding="utf-8"?>
<table xmlns="http://schemas.openxmlformats.org/spreadsheetml/2006/main" id="4" name="Cases" displayName="Cases" ref="A5:G20" headerRowCount="1" totalsRowCount="0" totalsRowShown="0">
  <tableColumns count="7">
    <tableColumn id="1" name="编号"/>
    <tableColumn id="2" name="场景"/>
    <tableColumn id="3" name="第一步"/>
    <tableColumn id="4" name="沟通对象"/>
    <tableColumn id="5" name="处理方案"/>
    <tableColumn id="6" name="升级条件"/>
    <tableColumn id="7" name="我的回答"/>
  </tableColumns>
</table>
</file>

<file path=xl/tables/table5.xml><?xml version="1.0" encoding="utf-8"?>
<table xmlns="http://schemas.openxmlformats.org/spreadsheetml/2006/main" id="5" name="CIP" displayName="CIP" ref="A5:M45" headerRowCount="1" totalsRowCount="0" totalsRowShown="0">
  <tableColumns count="13">
    <tableColumn id="1" name="项目ID"/>
    <tableColumn id="2" name="项目名称"/>
    <tableColumn id="3" name="项目号"/>
    <tableColumn id="4" name="开工日"/>
    <tableColumn id="5" name="账面金额"/>
    <tableColumn id="6" name="预计投产日"/>
    <tableColumn id="7" name="实际投产/可用日"/>
    <tableColumn id="8" name="投产证据"/>
    <tableColumn id="9" name="未转固原因"/>
    <tableColumn id="10" name="Owner"/>
    <tableColumn id="11" name="状态"/>
    <tableColumn id="12" name="建议转固金额"/>
    <tableColumn id="13" name="处理"/>
  </tableColumns>
</table>
</file>

<file path=xl/tables/table6.xml><?xml version="1.0" encoding="utf-8"?>
<table xmlns="http://schemas.openxmlformats.org/spreadsheetml/2006/main" id="6" name="DepCheck" displayName="DepCheck" ref="A5:L45" headerRowCount="1" totalsRowCount="0" totalsRowShown="0">
  <tableColumns count="12">
    <tableColumn id="1" name="检查ID"/>
    <tableColumn id="2" name="资产编号"/>
    <tableColumn id="3" name="资产"/>
    <tableColumn id="4" name="原值"/>
    <tableColumn id="5" name="累计折旧"/>
    <tableColumn id="6" name="净值"/>
    <tableColumn id="7" name="方法"/>
    <tableColumn id="8" name="年限"/>
    <tableColumn id="9" name="残值率"/>
    <tableColumn id="10" name="成本中心"/>
    <tableColumn id="11" name="结果"/>
    <tableColumn id="12" name="异常说明/处理"/>
  </tableColumns>
</table>
</file>

<file path=xl/tables/table7.xml><?xml version="1.0" encoding="utf-8"?>
<table xmlns="http://schemas.openxmlformats.org/spreadsheetml/2006/main" id="7" name="Differences" displayName="Differences" ref="A5:N55" headerRowCount="1" totalsRowCount="0" totalsRowShown="0">
  <tableColumns count="14">
    <tableColumn id="1" name="差异ID"/>
    <tableColumn id="2" name="资产编号"/>
    <tableColumn id="3" name="资产"/>
    <tableColumn id="4" name="差异类型"/>
    <tableColumn id="5" name="部门"/>
    <tableColumn id="6" name="发现方式"/>
    <tableColumn id="7" name="调查步骤"/>
    <tableColumn id="8" name="Owner"/>
    <tableColumn id="9" name="截止日"/>
    <tableColumn id="10" name="临时控制"/>
    <tableColumn id="11" name="账务/税务"/>
    <tableColumn id="12" name="复核人"/>
    <tableColumn id="13" name="状态"/>
    <tableColumn id="14" name="Closure证据"/>
  </tableColumns>
</table>
</file>

<file path=xl/tables/table8.xml><?xml version="1.0" encoding="utf-8"?>
<table xmlns="http://schemas.openxmlformats.org/spreadsheetml/2006/main" id="8" name="Disposal" displayName="Disposal" ref="A5:Q45" headerRowCount="1" totalsRowCount="0" totalsRowShown="0">
  <tableColumns count="17">
    <tableColumn id="1" name="处置ID"/>
    <tableColumn id="2" name="资产编号"/>
    <tableColumn id="3" name="资产"/>
    <tableColumn id="4" name="方式"/>
    <tableColumn id="5" name="鉴定结论"/>
    <tableColumn id="6" name="账面原值"/>
    <tableColumn id="7" name="累计折旧"/>
    <tableColumn id="8" name="减值"/>
    <tableColumn id="9" name="净值"/>
    <tableColumn id="10" name="预计/实际价款"/>
    <tableColumn id="11" name="买方"/>
    <tableColumn id="12" name="审批"/>
    <tableColumn id="13" name="出门/称重"/>
    <tableColumn id="14" name="开票"/>
    <tableColumn id="15" name="收款"/>
    <tableColumn id="16" name="状态"/>
    <tableColumn id="17" name="Closure"/>
  </tableColumns>
</table>
</file>

<file path=xl/tables/table9.xml><?xml version="1.0" encoding="utf-8"?>
<table xmlns="http://schemas.openxmlformats.org/spreadsheetml/2006/main" id="9" name="Idle" displayName="Idle" ref="A5:N45" headerRowCount="1" totalsRowCount="0" totalsRowShown="0">
  <tableColumns count="14">
    <tableColumn id="1" name="闲置ID"/>
    <tableColumn id="2" name="资产编号"/>
    <tableColumn id="3" name="资产"/>
    <tableColumn id="4" name="原值"/>
    <tableColumn id="5" name="净值"/>
    <tableColumn id="6" name="部门"/>
    <tableColumn id="7" name="地点"/>
    <tableColumn id="8" name="最后运行日"/>
    <tableColumn id="9" name="原因"/>
    <tableColumn id="10" name="预计恢复日"/>
    <tableColumn id="11" name="利用率证据"/>
    <tableColumn id="12" name="方案"/>
    <tableColumn id="13" name="减值迹象"/>
    <tableColumn id="14" name="状态"/>
  </tableColumns>
</table>
</file>

<file path=xl/tables/table10.xml><?xml version="1.0" encoding="utf-8"?>
<table xmlns="http://schemas.openxmlformats.org/spreadsheetml/2006/main" id="10" name="Impairment" displayName="Impairment" ref="A5:N45" headerRowCount="1" totalsRowCount="0" totalsRowShown="0">
  <tableColumns count="14">
    <tableColumn id="1" name="测试ID"/>
    <tableColumn id="2" name="资产/资产组"/>
    <tableColumn id="3" name="减值迹象"/>
    <tableColumn id="4" name="测试层级"/>
    <tableColumn id="5" name="账面价值"/>
    <tableColumn id="6" name="公允价值减处置费"/>
    <tableColumn id="7" name="使用价值"/>
    <tableColumn id="8" name="可收回金额"/>
    <tableColumn id="9" name="预测期"/>
    <tableColumn id="10" name="折现率"/>
    <tableColumn id="11" name="敏感性"/>
    <tableColumn id="12" name="资料路径"/>
    <tableColumn id="13" name="结论"/>
    <tableColumn id="14" name="审批"/>
  </tableColumns>
</table>
</file>

<file path=xl/tables/table11.xml><?xml version="1.0" encoding="utf-8"?>
<table xmlns="http://schemas.openxmlformats.org/spreadsheetml/2006/main" id="11" name="Inventory" displayName="Inventory" ref="A5:N55" headerRowCount="1" totalsRowCount="0" totalsRowShown="0">
  <tableColumns count="14">
    <tableColumn id="1" name="盘点ID"/>
    <tableColumn id="2" name="资产编号"/>
    <tableColumn id="3" name="资产"/>
    <tableColumn id="4" name="序列号"/>
    <tableColumn id="5" name="标签"/>
    <tableColumn id="6" name="账面部门"/>
    <tableColumn id="7" name="账面地点"/>
    <tableColumn id="8" name="账面责任人"/>
    <tableColumn id="9" name="实盘存在"/>
    <tableColumn id="10" name="实盘部门"/>
    <tableColumn id="11" name="实盘地点"/>
    <tableColumn id="12" name="实盘责任人"/>
    <tableColumn id="13" name="状态"/>
    <tableColumn id="14" name="备注"/>
  </tableColumns>
</table>
</file>

<file path=xl/tables/table12.xml><?xml version="1.0" encoding="utf-8"?>
<table xmlns="http://schemas.openxmlformats.org/spreadsheetml/2006/main" id="12" name="Maintenance" displayName="Maintenance" ref="A5:M45" headerRowCount="1" totalsRowCount="0" totalsRowShown="0">
  <tableColumns count="13">
    <tableColumn id="1" name="事项ID"/>
    <tableColumn id="2" name="资产编号"/>
    <tableColumn id="3" name="资产"/>
    <tableColumn id="4" name="类型"/>
    <tableColumn id="5" name="金额"/>
    <tableColumn id="6" name="改造前能力"/>
    <tableColumn id="7" name="改造后能力"/>
    <tableColumn id="8" name="寿命影响"/>
    <tableColumn id="9" name="旧部件"/>
    <tableColumn id="10" name="直接证据"/>
    <tableColumn id="11" name="拟处理"/>
    <tableColumn id="12" name="状态"/>
    <tableColumn id="13" name="复核意见"/>
  </tableColumns>
</table>
</file>

<file path=xl/tables/table13.xml><?xml version="1.0" encoding="utf-8"?>
<table xmlns="http://schemas.openxmlformats.org/spreadsheetml/2006/main" id="13" name="Metrics" displayName="Metrics" ref="A5:E13" headerRowCount="1" totalsRowCount="0" totalsRowShown="0">
  <tableColumns count="5">
    <tableColumn id="1" name="指标"/>
    <tableColumn id="2" name="定义"/>
    <tableColumn id="3" name="管理意义"/>
    <tableColumn id="4" name="异常原因"/>
    <tableColumn id="5" name="下钻方向"/>
  </tableColumns>
</table>
</file>

<file path=xl/tables/table14.xml><?xml version="1.0" encoding="utf-8"?>
<table xmlns="http://schemas.openxmlformats.org/spreadsheetml/2006/main" id="14" name="MonthEnd" displayName="MonthEnd" ref="A5:I14" headerRowCount="1" totalsRowCount="0" totalsRowShown="0">
  <tableColumns count="9">
    <tableColumn id="1" name="明确动作"/>
    <tableColumn id="2" name="责任人"/>
    <tableColumn id="3" name="期限"/>
    <tableColumn id="4" name="证据路径"/>
    <tableColumn id="5" name="异常金额"/>
    <tableColumn id="6" name="处理"/>
    <tableColumn id="7" name="状态"/>
    <tableColumn id="8" name="复核人"/>
    <tableColumn id="9" name="复核日"/>
  </tableColumns>
</table>
</file>

<file path=xl/tables/table15.xml><?xml version="1.0" encoding="utf-8"?>
<table xmlns="http://schemas.openxmlformats.org/spreadsheetml/2006/main" id="15" name="RACI" displayName="RACI" ref="A5:E17" headerRowCount="1" totalsRowCount="0" totalsRowShown="0">
  <tableColumns count="5">
    <tableColumn id="1" name="事项"/>
    <tableColumn id="2" name="执行"/>
    <tableColumn id="3" name="财务主管"/>
    <tableColumn id="4" name="协同"/>
    <tableColumn id="5" name="批准"/>
  </tableColumns>
</table>
</file>

<file path=xl/tables/table16.xml><?xml version="1.0" encoding="utf-8"?>
<table xmlns="http://schemas.openxmlformats.org/spreadsheetml/2006/main" id="16" name="Risks" displayName="Risks" ref="A5:C13" headerRowCount="1" totalsRowCount="0" totalsRowShown="0">
  <tableColumns count="3">
    <tableColumn id="1" name="风险"/>
    <tableColumn id="2" name="典型红旗"/>
    <tableColumn id="3" name="检查动作"/>
  </tableColumns>
</table>
</file>

<file path=xl/tables/table17.xml><?xml version="1.0" encoding="utf-8"?>
<table xmlns="http://schemas.openxmlformats.org/spreadsheetml/2006/main" id="17" name="Sources" displayName="Sources" ref="A5:D12" headerRowCount="1" totalsRowCount="0" totalsRowShown="0">
  <tableColumns count="4">
    <tableColumn id="1" name="名称"/>
    <tableColumn id="2" name="文件号"/>
    <tableColumn id="3" name="关系"/>
    <tableColumn id="4" name="官方网址"/>
  </tableColumns>
</table>
</file>

<file path=xl/tables/table18.xml><?xml version="1.0" encoding="utf-8"?>
<table xmlns="http://schemas.openxmlformats.org/spreadsheetml/2006/main" id="18" name="Takeover" displayName="Takeover" ref="A5:E13" headerRowCount="1" totalsRowCount="0" totalsRowShown="0">
  <tableColumns count="5">
    <tableColumn id="1" name="阶段"/>
    <tableColumn id="2" name="事项"/>
    <tableColumn id="3" name="明确动作"/>
    <tableColumn id="4" name="发现/证据"/>
    <tableColumn id="5" name="状态"/>
  </tableColumns>
</table>
</file>

<file path=xl/tables/table19.xml><?xml version="1.0" encoding="utf-8"?>
<table xmlns="http://schemas.openxmlformats.org/spreadsheetml/2006/main" id="19" name="Transfers" displayName="Transfers" ref="A5:M45" headerRowCount="1" totalsRowCount="0" totalsRowShown="0">
  <tableColumns count="13">
    <tableColumn id="1" name="调拨单"/>
    <tableColumn id="2" name="资产编号"/>
    <tableColumn id="3" name="资产"/>
    <tableColumn id="4" name="调出法人/部门"/>
    <tableColumn id="5" name="调入法人/部门"/>
    <tableColumn id="6" name="原地点"/>
    <tableColumn id="7" name="新地点"/>
    <tableColumn id="8" name="原责任人"/>
    <tableColumn id="9" name="新责任人"/>
    <tableColumn id="10" name="调拨原因"/>
    <tableColumn id="11" name="会计税务判断"/>
    <tableColumn id="12" name="状态"/>
    <tableColumn id="13" name="交接证据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5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5" customFormat="false" ht="34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</row>
    <row r="6" customFormat="false" ht="15" hidden="false" customHeight="false" outlineLevel="0" collapsed="false">
      <c r="A6" s="4" t="s">
        <v>6</v>
      </c>
      <c r="B6" s="5" t="n">
        <f aca="false">SUM('02-固定资产台账'!I6:I20)</f>
        <v>23810000</v>
      </c>
      <c r="C6" s="4" t="s">
        <v>7</v>
      </c>
      <c r="D6" s="4" t="s">
        <v>8</v>
      </c>
    </row>
    <row r="7" customFormat="false" ht="15" hidden="false" customHeight="false" outlineLevel="0" collapsed="false">
      <c r="A7" s="4" t="s">
        <v>9</v>
      </c>
      <c r="B7" s="5" t="n">
        <f aca="false">SUM('02-固定资产台账'!Q6:Q20)</f>
        <v>9167266</v>
      </c>
      <c r="C7" s="4" t="s">
        <v>10</v>
      </c>
      <c r="D7" s="4" t="s">
        <v>11</v>
      </c>
    </row>
    <row r="8" customFormat="false" ht="15" hidden="false" customHeight="false" outlineLevel="0" collapsed="false">
      <c r="A8" s="4" t="s">
        <v>12</v>
      </c>
      <c r="B8" s="5" t="n">
        <f aca="false">SUM('02-固定资产台账'!R6:R20)</f>
        <v>14642734</v>
      </c>
      <c r="C8" s="4" t="s">
        <v>13</v>
      </c>
      <c r="D8" s="4" t="s">
        <v>14</v>
      </c>
    </row>
    <row r="9" customFormat="false" ht="15" hidden="false" customHeight="false" outlineLevel="0" collapsed="false">
      <c r="A9" s="4" t="s">
        <v>15</v>
      </c>
      <c r="B9" s="5" t="n">
        <f aca="false">SUMIF('02-固定资产台账'!W6:W20,"闲置",'02-固定资产台账'!R6:R20)</f>
        <v>1650667</v>
      </c>
      <c r="C9" s="4" t="s">
        <v>16</v>
      </c>
      <c r="D9" s="4" t="s">
        <v>17</v>
      </c>
    </row>
    <row r="10" customFormat="false" ht="15" hidden="false" customHeight="false" outlineLevel="0" collapsed="false">
      <c r="A10" s="4" t="s">
        <v>18</v>
      </c>
      <c r="B10" s="6" t="n">
        <f aca="false">IF(B8=0,0,B9/B8)</f>
        <v>0.112729426075759</v>
      </c>
      <c r="C10" s="4" t="n">
        <v>0.1</v>
      </c>
      <c r="D10" s="4" t="s">
        <v>19</v>
      </c>
    </row>
    <row r="11" customFormat="false" ht="15" hidden="false" customHeight="false" outlineLevel="0" collapsed="false">
      <c r="A11" s="4" t="s">
        <v>20</v>
      </c>
      <c r="B11" s="5" t="n">
        <f aca="false">SUMIF('02-固定资产台账'!W6:W20,"盘亏待查",'02-固定资产台账'!R6:R20)</f>
        <v>82000</v>
      </c>
      <c r="C11" s="4" t="n">
        <v>0</v>
      </c>
      <c r="D11" s="4" t="s">
        <v>21</v>
      </c>
    </row>
    <row r="12" customFormat="false" ht="15" hidden="false" customHeight="false" outlineLevel="0" collapsed="false">
      <c r="A12" s="4" t="s">
        <v>22</v>
      </c>
      <c r="B12" s="5" t="n">
        <f aca="false">SUMIF('05-在建工程转固'!K6:K45,"应转固",'05-在建工程转固'!E6:E45)</f>
        <v>6000000</v>
      </c>
      <c r="C12" s="4" t="n">
        <v>0</v>
      </c>
      <c r="D12" s="4" t="s">
        <v>23</v>
      </c>
    </row>
    <row r="13" customFormat="false" ht="15" hidden="false" customHeight="false" outlineLevel="0" collapsed="false">
      <c r="A13" s="4" t="s">
        <v>24</v>
      </c>
      <c r="B13" s="4" t="n">
        <f aca="false">COUNTIF('02-固定资产台账'!W6:W20,"在用已提足")</f>
        <v>2</v>
      </c>
      <c r="C13" s="4" t="s">
        <v>25</v>
      </c>
      <c r="D13" s="4" t="s">
        <v>26</v>
      </c>
    </row>
    <row r="14" customFormat="false" ht="15" hidden="false" customHeight="false" outlineLevel="0" collapsed="false">
      <c r="A14" s="4" t="s">
        <v>27</v>
      </c>
      <c r="B14" s="4" t="n">
        <f aca="false">COUNTIF('02-固定资产台账'!Y6:Y20,"&lt;"&amp;DATE(2025,8,31))</f>
        <v>0</v>
      </c>
      <c r="C14" s="4" t="n">
        <v>0</v>
      </c>
      <c r="D14" s="4" t="s">
        <v>28</v>
      </c>
    </row>
    <row r="15" customFormat="false" ht="15" hidden="false" customHeight="false" outlineLevel="0" collapsed="false">
      <c r="A15" s="4" t="s">
        <v>29</v>
      </c>
      <c r="B15" s="4" t="n">
        <f aca="false">COUNTIF('08-盘点差异'!M6:M55,"Open")</f>
        <v>2</v>
      </c>
      <c r="C15" s="4" t="n">
        <v>0</v>
      </c>
      <c r="D15" s="4" t="s">
        <v>30</v>
      </c>
    </row>
    <row r="16" customFormat="false" ht="15" hidden="false" customHeight="false" outlineLevel="0" collapsed="false">
      <c r="A16" s="4" t="s">
        <v>31</v>
      </c>
      <c r="B16" s="4" t="n">
        <f aca="false">COUNTIF('06-折旧检查'!K6:K45,"异常")</f>
        <v>0</v>
      </c>
      <c r="C16" s="4" t="n">
        <v>0</v>
      </c>
      <c r="D1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26"/>
  </cols>
  <sheetData>
    <row r="1" customFormat="false" ht="30" hidden="false" customHeight="true" outlineLevel="0" collapsed="false">
      <c r="A1" s="1" t="s">
        <v>33</v>
      </c>
      <c r="B1" s="1"/>
      <c r="C1" s="1"/>
      <c r="D1" s="1"/>
      <c r="E1" s="1"/>
    </row>
    <row r="2" customFormat="false" ht="28" hidden="false" customHeight="true" outlineLevel="0" collapsed="false">
      <c r="A2" s="2" t="s">
        <v>34</v>
      </c>
      <c r="B2" s="2"/>
      <c r="C2" s="2"/>
      <c r="D2" s="2"/>
      <c r="E2" s="2"/>
    </row>
    <row r="5" customFormat="false" ht="34" hidden="false" customHeight="true" outlineLevel="0" collapsed="false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</row>
    <row r="6" customFormat="false" ht="15" hidden="false" customHeight="false" outlineLevel="0" collapsed="false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</row>
    <row r="7" customFormat="false" ht="15" hidden="false" customHeight="false" outlineLevel="0" collapsed="false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</row>
    <row r="8" customFormat="false" ht="15" hidden="false" customHeight="false" outlineLevel="0" collapsed="false">
      <c r="A8" s="4" t="s">
        <v>50</v>
      </c>
      <c r="B8" s="4" t="s">
        <v>51</v>
      </c>
      <c r="C8" s="4" t="s">
        <v>52</v>
      </c>
      <c r="D8" s="4" t="s">
        <v>53</v>
      </c>
      <c r="E8" s="4" t="s">
        <v>54</v>
      </c>
    </row>
    <row r="9" customFormat="false" ht="15" hidden="false" customHeight="false" outlineLevel="0" collapsed="false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</row>
    <row r="10" customFormat="false" ht="15" hidden="false" customHeight="false" outlineLevel="0" collapsed="false">
      <c r="A10" s="4" t="s">
        <v>60</v>
      </c>
      <c r="B10" s="4" t="s">
        <v>61</v>
      </c>
      <c r="C10" s="4" t="s">
        <v>62</v>
      </c>
      <c r="D10" s="4" t="s">
        <v>63</v>
      </c>
      <c r="E10" s="4" t="s">
        <v>37</v>
      </c>
    </row>
    <row r="11" customFormat="false" ht="15" hidden="false" customHeight="false" outlineLevel="0" collapsed="false">
      <c r="A11" s="4" t="s">
        <v>64</v>
      </c>
      <c r="B11" s="4" t="s">
        <v>65</v>
      </c>
      <c r="C11" s="4" t="s">
        <v>66</v>
      </c>
      <c r="D11" s="4" t="s">
        <v>67</v>
      </c>
      <c r="E11" s="4" t="s">
        <v>68</v>
      </c>
    </row>
    <row r="12" customFormat="false" ht="15" hidden="false" customHeight="false" outlineLevel="0" collapsed="false">
      <c r="A12" s="4" t="s">
        <v>69</v>
      </c>
      <c r="B12" s="4" t="s">
        <v>70</v>
      </c>
      <c r="C12" s="4" t="s">
        <v>71</v>
      </c>
      <c r="D12" s="4" t="s">
        <v>72</v>
      </c>
      <c r="E12" s="4" t="s">
        <v>73</v>
      </c>
    </row>
    <row r="13" customFormat="false" ht="15" hidden="false" customHeight="false" outlineLevel="0" collapsed="false">
      <c r="A13" s="4" t="s">
        <v>74</v>
      </c>
      <c r="B13" s="4" t="s">
        <v>75</v>
      </c>
      <c r="C13" s="4" t="s">
        <v>76</v>
      </c>
      <c r="D13" s="4" t="s">
        <v>77</v>
      </c>
      <c r="E13" s="4" t="s">
        <v>78</v>
      </c>
    </row>
    <row r="14" customFormat="false" ht="15" hidden="false" customHeight="false" outlineLevel="0" collapsed="false">
      <c r="A14" s="4" t="s">
        <v>79</v>
      </c>
      <c r="B14" s="4" t="s">
        <v>80</v>
      </c>
      <c r="C14" s="4" t="s">
        <v>81</v>
      </c>
      <c r="D14" s="4" t="s">
        <v>82</v>
      </c>
      <c r="E14" s="4" t="s">
        <v>83</v>
      </c>
    </row>
    <row r="15" customFormat="false" ht="15" hidden="false" customHeight="false" outlineLevel="0" collapsed="false">
      <c r="A15" s="4" t="s">
        <v>84</v>
      </c>
      <c r="B15" s="4" t="s">
        <v>85</v>
      </c>
      <c r="C15" s="4" t="s">
        <v>86</v>
      </c>
      <c r="D15" s="4" t="s">
        <v>87</v>
      </c>
      <c r="E15" s="4" t="s">
        <v>88</v>
      </c>
    </row>
    <row r="16" customFormat="false" ht="15" hidden="false" customHeight="false" outlineLevel="0" collapsed="false">
      <c r="A16" s="4" t="s">
        <v>89</v>
      </c>
      <c r="B16" s="4" t="s">
        <v>90</v>
      </c>
      <c r="C16" s="4" t="s">
        <v>91</v>
      </c>
      <c r="D16" s="4" t="s">
        <v>92</v>
      </c>
      <c r="E16" s="4" t="s">
        <v>93</v>
      </c>
    </row>
    <row r="17" customFormat="false" ht="15" hidden="false" customHeight="false" outlineLevel="0" collapsed="false">
      <c r="A17" s="4" t="s">
        <v>94</v>
      </c>
      <c r="B17" s="4" t="s">
        <v>95</v>
      </c>
      <c r="C17" s="4" t="s">
        <v>96</v>
      </c>
      <c r="D17" s="4" t="s">
        <v>97</v>
      </c>
      <c r="E17" s="4" t="s">
        <v>44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2" min="10" style="0" width="1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8" min="17" style="0" width="15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24"/>
    <col collapsed="false" customWidth="true" hidden="false" outlineLevel="0" max="22" min="22" style="0" width="14"/>
    <col collapsed="false" customWidth="true" hidden="false" outlineLevel="0" max="23" min="23" style="0" width="18"/>
    <col collapsed="false" customWidth="true" hidden="false" outlineLevel="0" max="24" min="24" style="0" width="16"/>
    <col collapsed="false" customWidth="true" hidden="false" outlineLevel="0" max="25" min="25" style="0" width="15"/>
  </cols>
  <sheetData>
    <row r="1" customFormat="false" ht="30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28" hidden="false" customHeight="true" outlineLevel="0" collapsed="false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5" customFormat="false" ht="34" hidden="false" customHeight="true" outlineLevel="0" collapsed="false">
      <c r="A5" s="3" t="s">
        <v>100</v>
      </c>
      <c r="B5" s="3" t="s">
        <v>101</v>
      </c>
      <c r="C5" s="3" t="s">
        <v>102</v>
      </c>
      <c r="D5" s="3" t="s">
        <v>103</v>
      </c>
      <c r="E5" s="3" t="s">
        <v>104</v>
      </c>
      <c r="F5" s="3" t="s">
        <v>105</v>
      </c>
      <c r="G5" s="3" t="s">
        <v>106</v>
      </c>
      <c r="H5" s="3" t="s">
        <v>107</v>
      </c>
      <c r="I5" s="3" t="s">
        <v>108</v>
      </c>
      <c r="J5" s="3" t="s">
        <v>109</v>
      </c>
      <c r="K5" s="3" t="s">
        <v>110</v>
      </c>
      <c r="L5" s="3" t="s">
        <v>111</v>
      </c>
      <c r="M5" s="3" t="s">
        <v>112</v>
      </c>
      <c r="N5" s="3" t="s">
        <v>113</v>
      </c>
      <c r="O5" s="3" t="s">
        <v>114</v>
      </c>
      <c r="P5" s="3" t="s">
        <v>115</v>
      </c>
      <c r="Q5" s="3" t="s">
        <v>9</v>
      </c>
      <c r="R5" s="3" t="s">
        <v>12</v>
      </c>
      <c r="S5" s="3" t="s">
        <v>116</v>
      </c>
      <c r="T5" s="3" t="s">
        <v>117</v>
      </c>
      <c r="U5" s="3" t="s">
        <v>118</v>
      </c>
      <c r="V5" s="3" t="s">
        <v>119</v>
      </c>
      <c r="W5" s="3" t="s">
        <v>120</v>
      </c>
      <c r="X5" s="3" t="s">
        <v>121</v>
      </c>
      <c r="Y5" s="3" t="s">
        <v>122</v>
      </c>
    </row>
    <row r="6" customFormat="false" ht="15" hidden="false" customHeight="false" outlineLevel="0" collapsed="false">
      <c r="A6" s="4" t="s">
        <v>123</v>
      </c>
      <c r="B6" s="4" t="s">
        <v>124</v>
      </c>
      <c r="C6" s="4" t="s">
        <v>125</v>
      </c>
      <c r="D6" s="4" t="s">
        <v>126</v>
      </c>
      <c r="E6" s="4" t="s">
        <v>127</v>
      </c>
      <c r="F6" s="4" t="s">
        <v>128</v>
      </c>
      <c r="G6" s="4" t="s">
        <v>129</v>
      </c>
      <c r="H6" s="4" t="s">
        <v>130</v>
      </c>
      <c r="I6" s="5" t="n">
        <v>5000000</v>
      </c>
      <c r="J6" s="5" t="n">
        <v>650000</v>
      </c>
      <c r="K6" s="7" t="n">
        <v>45107</v>
      </c>
      <c r="L6" s="7" t="n">
        <v>45102</v>
      </c>
      <c r="M6" s="7" t="n">
        <v>45108</v>
      </c>
      <c r="N6" s="4" t="s">
        <v>131</v>
      </c>
      <c r="O6" s="4" t="n">
        <v>10</v>
      </c>
      <c r="P6" s="6" t="n">
        <v>0.05</v>
      </c>
      <c r="Q6" s="5" t="n">
        <v>1583333</v>
      </c>
      <c r="R6" s="5" t="n">
        <v>3416667</v>
      </c>
      <c r="S6" s="8" t="s">
        <v>132</v>
      </c>
      <c r="T6" s="8" t="s">
        <v>133</v>
      </c>
      <c r="U6" s="8" t="s">
        <v>134</v>
      </c>
      <c r="V6" s="8" t="s">
        <v>135</v>
      </c>
      <c r="W6" s="8" t="s">
        <v>136</v>
      </c>
      <c r="X6" s="8" t="s">
        <v>137</v>
      </c>
      <c r="Y6" s="9" t="n">
        <v>46203</v>
      </c>
    </row>
    <row r="7" customFormat="false" ht="15" hidden="false" customHeight="false" outlineLevel="0" collapsed="false">
      <c r="A7" s="4" t="s">
        <v>138</v>
      </c>
      <c r="B7" s="4" t="s">
        <v>139</v>
      </c>
      <c r="C7" s="4" t="s">
        <v>125</v>
      </c>
      <c r="D7" s="4" t="s">
        <v>140</v>
      </c>
      <c r="E7" s="4" t="s">
        <v>141</v>
      </c>
      <c r="F7" s="4" t="s">
        <v>142</v>
      </c>
      <c r="G7" s="4" t="s">
        <v>143</v>
      </c>
      <c r="H7" s="4" t="s">
        <v>144</v>
      </c>
      <c r="I7" s="5" t="n">
        <v>3200000</v>
      </c>
      <c r="J7" s="5" t="n">
        <v>1240000</v>
      </c>
      <c r="K7" s="7" t="n">
        <v>44347</v>
      </c>
      <c r="L7" s="7" t="n">
        <v>44336</v>
      </c>
      <c r="M7" s="7" t="n">
        <v>44348</v>
      </c>
      <c r="N7" s="4" t="s">
        <v>131</v>
      </c>
      <c r="O7" s="4" t="n">
        <v>10</v>
      </c>
      <c r="P7" s="6" t="n">
        <v>0.05</v>
      </c>
      <c r="Q7" s="5" t="n">
        <v>1669333</v>
      </c>
      <c r="R7" s="5" t="n">
        <v>1530667</v>
      </c>
      <c r="S7" s="8" t="s">
        <v>145</v>
      </c>
      <c r="T7" s="8" t="s">
        <v>146</v>
      </c>
      <c r="U7" s="8" t="s">
        <v>147</v>
      </c>
      <c r="V7" s="8" t="s">
        <v>148</v>
      </c>
      <c r="W7" s="8" t="s">
        <v>149</v>
      </c>
      <c r="X7" s="8" t="s">
        <v>150</v>
      </c>
      <c r="Y7" s="9" t="n">
        <v>46203</v>
      </c>
    </row>
    <row r="8" customFormat="false" ht="15" hidden="false" customHeight="false" outlineLevel="0" collapsed="false">
      <c r="A8" s="4" t="s">
        <v>151</v>
      </c>
      <c r="B8" s="4" t="s">
        <v>152</v>
      </c>
      <c r="C8" s="4" t="s">
        <v>125</v>
      </c>
      <c r="D8" s="4" t="s">
        <v>153</v>
      </c>
      <c r="E8" s="4" t="s">
        <v>154</v>
      </c>
      <c r="F8" s="4" t="s">
        <v>155</v>
      </c>
      <c r="G8" s="4" t="s">
        <v>156</v>
      </c>
      <c r="H8" s="4" t="s">
        <v>157</v>
      </c>
      <c r="I8" s="5" t="n">
        <v>1800000</v>
      </c>
      <c r="J8" s="5" t="n">
        <v>234000</v>
      </c>
      <c r="K8" s="7" t="n">
        <v>45382</v>
      </c>
      <c r="L8" s="7" t="n">
        <v>45371</v>
      </c>
      <c r="M8" s="7" t="n">
        <v>45383</v>
      </c>
      <c r="N8" s="4" t="s">
        <v>131</v>
      </c>
      <c r="O8" s="4" t="n">
        <v>10</v>
      </c>
      <c r="P8" s="6" t="n">
        <v>0.05</v>
      </c>
      <c r="Q8" s="5" t="n">
        <v>427500</v>
      </c>
      <c r="R8" s="5" t="n">
        <v>1372500</v>
      </c>
      <c r="S8" s="8" t="s">
        <v>158</v>
      </c>
      <c r="T8" s="8" t="s">
        <v>159</v>
      </c>
      <c r="U8" s="8" t="s">
        <v>160</v>
      </c>
      <c r="V8" s="8" t="s">
        <v>161</v>
      </c>
      <c r="W8" s="8" t="s">
        <v>136</v>
      </c>
      <c r="X8" s="8" t="s">
        <v>162</v>
      </c>
      <c r="Y8" s="9" t="n">
        <v>46203</v>
      </c>
    </row>
    <row r="9" customFormat="false" ht="15" hidden="false" customHeight="false" outlineLevel="0" collapsed="false">
      <c r="A9" s="4" t="s">
        <v>163</v>
      </c>
      <c r="B9" s="4" t="s">
        <v>164</v>
      </c>
      <c r="C9" s="4" t="s">
        <v>165</v>
      </c>
      <c r="D9" s="4" t="s">
        <v>166</v>
      </c>
      <c r="E9" s="4" t="s">
        <v>167</v>
      </c>
      <c r="F9" s="4" t="s">
        <v>168</v>
      </c>
      <c r="G9" s="4" t="s">
        <v>169</v>
      </c>
      <c r="H9" s="4" t="s">
        <v>170</v>
      </c>
      <c r="I9" s="5" t="n">
        <v>900000</v>
      </c>
      <c r="J9" s="5" t="n">
        <v>117000</v>
      </c>
      <c r="K9" s="7" t="n">
        <v>45473</v>
      </c>
      <c r="L9" s="7" t="n">
        <v>45461</v>
      </c>
      <c r="M9" s="7" t="n">
        <v>45474</v>
      </c>
      <c r="N9" s="4" t="s">
        <v>131</v>
      </c>
      <c r="O9" s="4" t="n">
        <v>5</v>
      </c>
      <c r="P9" s="6" t="n">
        <v>0.05</v>
      </c>
      <c r="Q9" s="5" t="n">
        <v>384750</v>
      </c>
      <c r="R9" s="5" t="n">
        <v>515250</v>
      </c>
      <c r="S9" s="8" t="s">
        <v>171</v>
      </c>
      <c r="T9" s="8" t="s">
        <v>172</v>
      </c>
      <c r="U9" s="8" t="s">
        <v>173</v>
      </c>
      <c r="V9" s="8" t="s">
        <v>174</v>
      </c>
      <c r="W9" s="8" t="s">
        <v>136</v>
      </c>
      <c r="X9" s="8" t="s">
        <v>175</v>
      </c>
      <c r="Y9" s="9" t="n">
        <v>46203</v>
      </c>
    </row>
    <row r="10" customFormat="false" ht="15" hidden="false" customHeight="false" outlineLevel="0" collapsed="false">
      <c r="A10" s="4" t="s">
        <v>176</v>
      </c>
      <c r="B10" s="4" t="s">
        <v>177</v>
      </c>
      <c r="C10" s="4" t="s">
        <v>178</v>
      </c>
      <c r="D10" s="4" t="s">
        <v>179</v>
      </c>
      <c r="E10" s="4" t="s">
        <v>180</v>
      </c>
      <c r="F10" s="4" t="s">
        <v>181</v>
      </c>
      <c r="G10" s="4" t="s">
        <v>182</v>
      </c>
      <c r="H10" s="4" t="s">
        <v>183</v>
      </c>
      <c r="I10" s="5" t="n">
        <v>480000</v>
      </c>
      <c r="J10" s="5" t="n">
        <v>0</v>
      </c>
      <c r="K10" s="7" t="n">
        <v>44681</v>
      </c>
      <c r="L10" s="7" t="n">
        <v>44673</v>
      </c>
      <c r="M10" s="7" t="n">
        <v>44682</v>
      </c>
      <c r="N10" s="4" t="s">
        <v>131</v>
      </c>
      <c r="O10" s="4" t="n">
        <v>4</v>
      </c>
      <c r="P10" s="6" t="n">
        <v>0.05</v>
      </c>
      <c r="Q10" s="5" t="n">
        <v>456000</v>
      </c>
      <c r="R10" s="5" t="n">
        <v>24000</v>
      </c>
      <c r="S10" s="8" t="s">
        <v>184</v>
      </c>
      <c r="T10" s="8" t="s">
        <v>185</v>
      </c>
      <c r="U10" s="8" t="s">
        <v>186</v>
      </c>
      <c r="V10" s="8" t="s">
        <v>187</v>
      </c>
      <c r="W10" s="8" t="s">
        <v>136</v>
      </c>
      <c r="X10" s="8" t="s">
        <v>188</v>
      </c>
      <c r="Y10" s="9" t="n">
        <v>46203</v>
      </c>
    </row>
    <row r="11" customFormat="false" ht="15" hidden="false" customHeight="false" outlineLevel="0" collapsed="false">
      <c r="A11" s="4" t="s">
        <v>189</v>
      </c>
      <c r="B11" s="4" t="s">
        <v>190</v>
      </c>
      <c r="C11" s="4" t="s">
        <v>191</v>
      </c>
      <c r="D11" s="4" t="s">
        <v>192</v>
      </c>
      <c r="E11" s="4" t="s">
        <v>193</v>
      </c>
      <c r="F11" s="4" t="s">
        <v>194</v>
      </c>
      <c r="G11" s="4" t="s">
        <v>195</v>
      </c>
      <c r="H11" s="4" t="s">
        <v>196</v>
      </c>
      <c r="I11" s="5" t="n">
        <v>600000</v>
      </c>
      <c r="J11" s="5" t="n">
        <v>78000</v>
      </c>
      <c r="K11" s="7" t="n">
        <v>44895</v>
      </c>
      <c r="L11" s="7" t="n">
        <v>44880</v>
      </c>
      <c r="M11" s="7" t="n">
        <v>44896</v>
      </c>
      <c r="N11" s="4" t="s">
        <v>197</v>
      </c>
      <c r="O11" s="4" t="n">
        <v>5</v>
      </c>
      <c r="P11" s="6" t="n">
        <v>0.05</v>
      </c>
      <c r="Q11" s="5" t="n">
        <v>427500</v>
      </c>
      <c r="R11" s="5" t="n">
        <v>172500</v>
      </c>
      <c r="S11" s="8" t="s">
        <v>198</v>
      </c>
      <c r="T11" s="8" t="s">
        <v>199</v>
      </c>
      <c r="U11" s="8" t="s">
        <v>200</v>
      </c>
      <c r="V11" s="8" t="s">
        <v>201</v>
      </c>
      <c r="W11" s="8" t="s">
        <v>136</v>
      </c>
      <c r="X11" s="8" t="s">
        <v>202</v>
      </c>
      <c r="Y11" s="9" t="n">
        <v>46203</v>
      </c>
    </row>
    <row r="12" customFormat="false" ht="15" hidden="false" customHeight="false" outlineLevel="0" collapsed="false">
      <c r="A12" s="4" t="s">
        <v>203</v>
      </c>
      <c r="B12" s="4" t="s">
        <v>204</v>
      </c>
      <c r="C12" s="4" t="s">
        <v>165</v>
      </c>
      <c r="D12" s="4" t="s">
        <v>205</v>
      </c>
      <c r="E12" s="4" t="s">
        <v>206</v>
      </c>
      <c r="F12" s="4" t="s">
        <v>207</v>
      </c>
      <c r="G12" s="4" t="s">
        <v>208</v>
      </c>
      <c r="H12" s="4" t="s">
        <v>209</v>
      </c>
      <c r="I12" s="5" t="n">
        <v>120000</v>
      </c>
      <c r="J12" s="5" t="n">
        <v>15600</v>
      </c>
      <c r="K12" s="7" t="n">
        <v>45688</v>
      </c>
      <c r="L12" s="7" t="n">
        <v>45677</v>
      </c>
      <c r="M12" s="7" t="n">
        <v>45689</v>
      </c>
      <c r="N12" s="4" t="s">
        <v>131</v>
      </c>
      <c r="O12" s="4" t="n">
        <v>3</v>
      </c>
      <c r="P12" s="6" t="n">
        <v>0.05</v>
      </c>
      <c r="Q12" s="5" t="n">
        <v>38000</v>
      </c>
      <c r="R12" s="5" t="n">
        <v>82000</v>
      </c>
      <c r="S12" s="8" t="s">
        <v>210</v>
      </c>
      <c r="T12" s="8" t="s">
        <v>211</v>
      </c>
      <c r="U12" s="8" t="s">
        <v>212</v>
      </c>
      <c r="V12" s="8" t="s">
        <v>213</v>
      </c>
      <c r="W12" s="8" t="s">
        <v>214</v>
      </c>
      <c r="X12" s="8" t="s">
        <v>215</v>
      </c>
      <c r="Y12" s="9" t="n">
        <v>46203</v>
      </c>
    </row>
    <row r="13" customFormat="false" ht="15" hidden="false" customHeight="false" outlineLevel="0" collapsed="false">
      <c r="A13" s="4" t="s">
        <v>216</v>
      </c>
      <c r="B13" s="4" t="s">
        <v>217</v>
      </c>
      <c r="C13" s="4" t="s">
        <v>218</v>
      </c>
      <c r="D13" s="4" t="s">
        <v>219</v>
      </c>
      <c r="E13" s="4" t="s">
        <v>220</v>
      </c>
      <c r="F13" s="4" t="s">
        <v>221</v>
      </c>
      <c r="G13" s="4" t="s">
        <v>222</v>
      </c>
      <c r="H13" s="4" t="s">
        <v>223</v>
      </c>
      <c r="I13" s="5" t="n">
        <v>300000</v>
      </c>
      <c r="J13" s="5" t="n">
        <v>39000</v>
      </c>
      <c r="K13" s="7" t="n">
        <v>44135</v>
      </c>
      <c r="L13" s="7" t="n">
        <v>44119</v>
      </c>
      <c r="M13" s="7" t="n">
        <v>44136</v>
      </c>
      <c r="N13" s="4" t="s">
        <v>131</v>
      </c>
      <c r="O13" s="4" t="n">
        <v>5</v>
      </c>
      <c r="P13" s="6" t="n">
        <v>0.05</v>
      </c>
      <c r="Q13" s="5" t="n">
        <v>285000</v>
      </c>
      <c r="R13" s="5" t="n">
        <v>15000</v>
      </c>
      <c r="S13" s="8" t="s">
        <v>184</v>
      </c>
      <c r="T13" s="8" t="s">
        <v>185</v>
      </c>
      <c r="U13" s="8" t="s">
        <v>224</v>
      </c>
      <c r="V13" s="8" t="s">
        <v>187</v>
      </c>
      <c r="W13" s="8" t="s">
        <v>225</v>
      </c>
      <c r="X13" s="8" t="s">
        <v>226</v>
      </c>
      <c r="Y13" s="9" t="n">
        <v>46203</v>
      </c>
    </row>
    <row r="14" customFormat="false" ht="15" hidden="false" customHeight="false" outlineLevel="0" collapsed="false">
      <c r="A14" s="4" t="s">
        <v>227</v>
      </c>
      <c r="B14" s="4" t="s">
        <v>228</v>
      </c>
      <c r="C14" s="4" t="s">
        <v>125</v>
      </c>
      <c r="D14" s="4" t="s">
        <v>229</v>
      </c>
      <c r="E14" s="4" t="s">
        <v>230</v>
      </c>
      <c r="F14" s="4" t="s">
        <v>231</v>
      </c>
      <c r="G14" s="4" t="s">
        <v>232</v>
      </c>
      <c r="H14" s="4" t="s">
        <v>233</v>
      </c>
      <c r="I14" s="5" t="n">
        <v>2400000</v>
      </c>
      <c r="J14" s="5" t="n">
        <v>312000</v>
      </c>
      <c r="K14" s="7" t="n">
        <v>42551</v>
      </c>
      <c r="L14" s="7" t="n">
        <v>42541</v>
      </c>
      <c r="M14" s="7" t="n">
        <v>42552</v>
      </c>
      <c r="N14" s="4" t="s">
        <v>131</v>
      </c>
      <c r="O14" s="4" t="n">
        <v>10</v>
      </c>
      <c r="P14" s="6" t="n">
        <v>0.05</v>
      </c>
      <c r="Q14" s="5" t="n">
        <v>2280000</v>
      </c>
      <c r="R14" s="5" t="n">
        <v>120000</v>
      </c>
      <c r="S14" s="8" t="s">
        <v>234</v>
      </c>
      <c r="T14" s="8" t="s">
        <v>235</v>
      </c>
      <c r="U14" s="8" t="s">
        <v>236</v>
      </c>
      <c r="V14" s="8" t="s">
        <v>237</v>
      </c>
      <c r="W14" s="8" t="s">
        <v>149</v>
      </c>
      <c r="X14" s="8" t="s">
        <v>238</v>
      </c>
      <c r="Y14" s="9" t="n">
        <v>46203</v>
      </c>
    </row>
    <row r="15" customFormat="false" ht="15" hidden="false" customHeight="false" outlineLevel="0" collapsed="false">
      <c r="A15" s="4" t="s">
        <v>239</v>
      </c>
      <c r="B15" s="4" t="s">
        <v>240</v>
      </c>
      <c r="C15" s="4" t="s">
        <v>241</v>
      </c>
      <c r="D15" s="4" t="s">
        <v>242</v>
      </c>
      <c r="E15" s="4" t="s">
        <v>243</v>
      </c>
      <c r="F15" s="4" t="s">
        <v>244</v>
      </c>
      <c r="G15" s="4" t="s">
        <v>245</v>
      </c>
      <c r="H15" s="4" t="s">
        <v>246</v>
      </c>
      <c r="I15" s="5" t="n">
        <v>180000</v>
      </c>
      <c r="J15" s="5" t="n">
        <v>23400</v>
      </c>
      <c r="K15" s="7" t="n">
        <v>45169</v>
      </c>
      <c r="L15" s="7" t="n">
        <v>45158</v>
      </c>
      <c r="M15" s="7" t="n">
        <v>45170</v>
      </c>
      <c r="N15" s="4" t="s">
        <v>131</v>
      </c>
      <c r="O15" s="4" t="n">
        <v>5</v>
      </c>
      <c r="P15" s="6" t="n">
        <v>0.05</v>
      </c>
      <c r="Q15" s="5" t="n">
        <v>102600</v>
      </c>
      <c r="R15" s="5" t="n">
        <v>77400</v>
      </c>
      <c r="S15" s="8" t="s">
        <v>171</v>
      </c>
      <c r="T15" s="8" t="s">
        <v>247</v>
      </c>
      <c r="U15" s="8" t="s">
        <v>248</v>
      </c>
      <c r="V15" s="8" t="s">
        <v>174</v>
      </c>
      <c r="W15" s="8" t="s">
        <v>136</v>
      </c>
      <c r="X15" s="8" t="s">
        <v>249</v>
      </c>
      <c r="Y15" s="9" t="n">
        <v>46203</v>
      </c>
    </row>
    <row r="16" customFormat="false" ht="15" hidden="false" customHeight="false" outlineLevel="0" collapsed="false">
      <c r="A16" s="4" t="s">
        <v>250</v>
      </c>
      <c r="B16" s="4" t="s">
        <v>251</v>
      </c>
      <c r="C16" s="4" t="s">
        <v>252</v>
      </c>
      <c r="D16" s="4" t="s">
        <v>253</v>
      </c>
      <c r="E16" s="4" t="s">
        <v>254</v>
      </c>
      <c r="F16" s="4" t="s">
        <v>255</v>
      </c>
      <c r="G16" s="4" t="s">
        <v>256</v>
      </c>
      <c r="H16" s="4" t="s">
        <v>257</v>
      </c>
      <c r="I16" s="5" t="n">
        <v>220000</v>
      </c>
      <c r="J16" s="5" t="n">
        <v>28600</v>
      </c>
      <c r="K16" s="7" t="n">
        <v>43555</v>
      </c>
      <c r="L16" s="7" t="n">
        <v>43539</v>
      </c>
      <c r="M16" s="7" t="n">
        <v>43556</v>
      </c>
      <c r="N16" s="4" t="s">
        <v>131</v>
      </c>
      <c r="O16" s="4" t="n">
        <v>5</v>
      </c>
      <c r="P16" s="6" t="n">
        <v>0.05</v>
      </c>
      <c r="Q16" s="5" t="n">
        <v>209000</v>
      </c>
      <c r="R16" s="5" t="n">
        <v>11000</v>
      </c>
      <c r="S16" s="8" t="s">
        <v>258</v>
      </c>
      <c r="T16" s="8" t="s">
        <v>259</v>
      </c>
      <c r="U16" s="8" t="s">
        <v>260</v>
      </c>
      <c r="V16" s="8" t="s">
        <v>261</v>
      </c>
      <c r="W16" s="8" t="s">
        <v>225</v>
      </c>
      <c r="X16" s="8" t="s">
        <v>262</v>
      </c>
      <c r="Y16" s="9" t="n">
        <v>46203</v>
      </c>
    </row>
    <row r="17" customFormat="false" ht="15" hidden="false" customHeight="false" outlineLevel="0" collapsed="false">
      <c r="A17" s="4" t="s">
        <v>263</v>
      </c>
      <c r="B17" s="4" t="s">
        <v>264</v>
      </c>
      <c r="C17" s="4" t="s">
        <v>125</v>
      </c>
      <c r="D17" s="4" t="s">
        <v>265</v>
      </c>
      <c r="E17" s="4" t="s">
        <v>266</v>
      </c>
      <c r="F17" s="4" t="s">
        <v>267</v>
      </c>
      <c r="G17" s="4" t="s">
        <v>268</v>
      </c>
      <c r="H17" s="4" t="s">
        <v>269</v>
      </c>
      <c r="I17" s="5" t="n">
        <v>360000</v>
      </c>
      <c r="J17" s="5" t="n">
        <v>0</v>
      </c>
      <c r="K17" s="7" t="n">
        <v>45808</v>
      </c>
      <c r="L17" s="7" t="n">
        <v>45802</v>
      </c>
      <c r="M17" s="7" t="n">
        <v>45809</v>
      </c>
      <c r="N17" s="4" t="s">
        <v>131</v>
      </c>
      <c r="O17" s="4" t="n">
        <v>5</v>
      </c>
      <c r="P17" s="6" t="n">
        <v>0.05</v>
      </c>
      <c r="Q17" s="5" t="n">
        <v>85500</v>
      </c>
      <c r="R17" s="5" t="n">
        <v>274500</v>
      </c>
      <c r="S17" s="8" t="s">
        <v>270</v>
      </c>
      <c r="T17" s="8" t="s">
        <v>271</v>
      </c>
      <c r="U17" s="8" t="s">
        <v>272</v>
      </c>
      <c r="V17" s="8" t="s">
        <v>273</v>
      </c>
      <c r="W17" s="8" t="s">
        <v>274</v>
      </c>
      <c r="X17" s="8" t="s">
        <v>275</v>
      </c>
      <c r="Y17" s="9" t="n">
        <v>46173</v>
      </c>
    </row>
    <row r="18" customFormat="false" ht="15" hidden="false" customHeight="false" outlineLevel="0" collapsed="false">
      <c r="A18" s="4" t="s">
        <v>276</v>
      </c>
      <c r="B18" s="4" t="s">
        <v>277</v>
      </c>
      <c r="C18" s="4" t="s">
        <v>125</v>
      </c>
      <c r="D18" s="4" t="s">
        <v>278</v>
      </c>
      <c r="E18" s="4" t="s">
        <v>279</v>
      </c>
      <c r="F18" s="4" t="s">
        <v>280</v>
      </c>
      <c r="G18" s="4" t="s">
        <v>281</v>
      </c>
      <c r="H18" s="4" t="s">
        <v>282</v>
      </c>
      <c r="I18" s="5" t="n">
        <v>750000</v>
      </c>
      <c r="J18" s="5" t="n">
        <v>97500</v>
      </c>
      <c r="K18" s="7" t="n">
        <v>45688</v>
      </c>
      <c r="L18" s="7" t="n">
        <v>45667</v>
      </c>
      <c r="M18" s="7" t="n">
        <v>45689</v>
      </c>
      <c r="N18" s="4" t="s">
        <v>131</v>
      </c>
      <c r="O18" s="4" t="n">
        <v>10</v>
      </c>
      <c r="P18" s="6" t="n">
        <v>0.05</v>
      </c>
      <c r="Q18" s="5" t="n">
        <v>118750</v>
      </c>
      <c r="R18" s="5" t="n">
        <v>631250</v>
      </c>
      <c r="S18" s="8" t="s">
        <v>283</v>
      </c>
      <c r="T18" s="8" t="s">
        <v>284</v>
      </c>
      <c r="U18" s="8" t="s">
        <v>285</v>
      </c>
      <c r="V18" s="8" t="s">
        <v>135</v>
      </c>
      <c r="W18" s="8" t="s">
        <v>286</v>
      </c>
      <c r="X18" s="8" t="s">
        <v>287</v>
      </c>
      <c r="Y18" s="9" t="n">
        <v>46203</v>
      </c>
    </row>
    <row r="19" customFormat="false" ht="15" hidden="false" customHeight="false" outlineLevel="0" collapsed="false">
      <c r="A19" s="4" t="s">
        <v>288</v>
      </c>
      <c r="B19" s="4" t="s">
        <v>289</v>
      </c>
      <c r="C19" s="4" t="s">
        <v>290</v>
      </c>
      <c r="D19" s="4" t="s">
        <v>291</v>
      </c>
      <c r="E19" s="4" t="s">
        <v>220</v>
      </c>
      <c r="F19" s="4" t="s">
        <v>292</v>
      </c>
      <c r="G19" s="4" t="s">
        <v>293</v>
      </c>
      <c r="H19" s="4" t="s">
        <v>294</v>
      </c>
      <c r="I19" s="5" t="n">
        <v>1500000</v>
      </c>
      <c r="J19" s="5" t="n">
        <v>135000</v>
      </c>
      <c r="K19" s="7" t="n">
        <v>44926</v>
      </c>
      <c r="L19" s="7" t="n">
        <v>44915</v>
      </c>
      <c r="M19" s="7" t="n">
        <v>44927</v>
      </c>
      <c r="N19" s="4" t="s">
        <v>131</v>
      </c>
      <c r="O19" s="4" t="n">
        <v>5</v>
      </c>
      <c r="P19" s="6" t="n">
        <v>0</v>
      </c>
      <c r="Q19" s="5" t="n">
        <v>1100000</v>
      </c>
      <c r="R19" s="5" t="n">
        <v>400000</v>
      </c>
      <c r="S19" s="8" t="s">
        <v>184</v>
      </c>
      <c r="T19" s="8" t="s">
        <v>185</v>
      </c>
      <c r="U19" s="8" t="s">
        <v>147</v>
      </c>
      <c r="V19" s="8" t="s">
        <v>187</v>
      </c>
      <c r="W19" s="8" t="s">
        <v>136</v>
      </c>
      <c r="X19" s="8" t="s">
        <v>295</v>
      </c>
      <c r="Y19" s="9" t="n">
        <v>46203</v>
      </c>
    </row>
    <row r="20" customFormat="false" ht="15" hidden="false" customHeight="false" outlineLevel="0" collapsed="false">
      <c r="A20" s="4" t="s">
        <v>296</v>
      </c>
      <c r="B20" s="4" t="s">
        <v>297</v>
      </c>
      <c r="C20" s="4" t="s">
        <v>298</v>
      </c>
      <c r="D20" s="4" t="s">
        <v>299</v>
      </c>
      <c r="E20" s="4" t="s">
        <v>300</v>
      </c>
      <c r="F20" s="4" t="s">
        <v>301</v>
      </c>
      <c r="G20" s="4" t="s">
        <v>302</v>
      </c>
      <c r="H20" s="4" t="s">
        <v>303</v>
      </c>
      <c r="I20" s="5" t="n">
        <v>6000000</v>
      </c>
      <c r="J20" s="5" t="n">
        <v>780000</v>
      </c>
      <c r="K20" s="7"/>
      <c r="L20" s="7" t="n">
        <v>46068</v>
      </c>
      <c r="M20" s="7"/>
      <c r="N20" s="4" t="s">
        <v>304</v>
      </c>
      <c r="O20" s="4" t="n">
        <v>10</v>
      </c>
      <c r="P20" s="6" t="n">
        <v>0.05</v>
      </c>
      <c r="Q20" s="5" t="n">
        <v>0</v>
      </c>
      <c r="R20" s="5" t="n">
        <v>6000000</v>
      </c>
      <c r="S20" s="8" t="s">
        <v>132</v>
      </c>
      <c r="T20" s="8" t="s">
        <v>133</v>
      </c>
      <c r="U20" s="8" t="s">
        <v>305</v>
      </c>
      <c r="V20" s="8" t="s">
        <v>306</v>
      </c>
      <c r="W20" s="8" t="s">
        <v>307</v>
      </c>
      <c r="X20" s="8" t="s">
        <v>308</v>
      </c>
      <c r="Y20" s="9" t="n">
        <v>46203</v>
      </c>
    </row>
  </sheetData>
  <mergeCells count="2">
    <mergeCell ref="A1:Y1"/>
    <mergeCell ref="A2:Y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4" min="3" style="0" width="17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7" min="15" style="0" width="14"/>
    <col collapsed="false" customWidth="true" hidden="false" outlineLevel="0" max="18" min="18" style="0" width="15"/>
    <col collapsed="false" customWidth="true" hidden="false" outlineLevel="0" max="19" min="19" style="0" width="14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13"/>
    <col collapsed="false" customWidth="true" hidden="false" outlineLevel="0" max="23" min="23" style="0" width="18"/>
    <col collapsed="false" customWidth="true" hidden="false" outlineLevel="0" max="24" min="24" style="0" width="16"/>
    <col collapsed="false" customWidth="true" hidden="false" outlineLevel="0" max="26" min="25" style="0" width="34"/>
    <col collapsed="false" customWidth="true" hidden="false" outlineLevel="0" max="27" min="27" style="0" width="16"/>
  </cols>
  <sheetData>
    <row r="1" customFormat="false" ht="30" hidden="false" customHeight="true" outlineLevel="0" collapsed="false">
      <c r="A1" s="1" t="s">
        <v>309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28" hidden="false" customHeight="true" outlineLevel="0" collapsed="false">
      <c r="A2" s="2" t="s">
        <v>310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5" customFormat="false" ht="34" hidden="false" customHeight="true" outlineLevel="0" collapsed="false">
      <c r="A5" s="3" t="s">
        <v>100</v>
      </c>
      <c r="B5" s="3" t="s">
        <v>311</v>
      </c>
      <c r="C5" s="3" t="s">
        <v>102</v>
      </c>
      <c r="D5" s="3" t="s">
        <v>312</v>
      </c>
      <c r="E5" s="3" t="s">
        <v>104</v>
      </c>
      <c r="F5" s="3" t="s">
        <v>105</v>
      </c>
      <c r="G5" s="3" t="s">
        <v>313</v>
      </c>
      <c r="H5" s="3" t="s">
        <v>314</v>
      </c>
      <c r="I5" s="3" t="s">
        <v>108</v>
      </c>
      <c r="J5" s="3" t="s">
        <v>111</v>
      </c>
      <c r="K5" s="3" t="s">
        <v>112</v>
      </c>
      <c r="L5" s="3" t="s">
        <v>315</v>
      </c>
      <c r="M5" s="3" t="s">
        <v>114</v>
      </c>
      <c r="N5" s="3" t="s">
        <v>115</v>
      </c>
      <c r="O5" s="3" t="s">
        <v>316</v>
      </c>
      <c r="P5" s="3" t="s">
        <v>9</v>
      </c>
      <c r="Q5" s="3" t="s">
        <v>317</v>
      </c>
      <c r="R5" s="3" t="s">
        <v>318</v>
      </c>
      <c r="S5" s="3" t="s">
        <v>117</v>
      </c>
      <c r="T5" s="3" t="s">
        <v>118</v>
      </c>
      <c r="U5" s="3" t="s">
        <v>119</v>
      </c>
      <c r="V5" s="3" t="s">
        <v>319</v>
      </c>
      <c r="W5" s="3" t="s">
        <v>120</v>
      </c>
      <c r="X5" s="3" t="s">
        <v>320</v>
      </c>
      <c r="Y5" s="3" t="s">
        <v>321</v>
      </c>
      <c r="Z5" s="3" t="s">
        <v>322</v>
      </c>
      <c r="AA5" s="3" t="s">
        <v>323</v>
      </c>
    </row>
    <row r="6" customFormat="false" ht="15" hidden="false" customHeight="false" outlineLevel="0" collapsed="false">
      <c r="A6" s="4" t="s">
        <v>123</v>
      </c>
      <c r="B6" s="4" t="s">
        <v>124</v>
      </c>
      <c r="C6" s="4" t="s">
        <v>125</v>
      </c>
      <c r="D6" s="4" t="s">
        <v>126</v>
      </c>
      <c r="E6" s="4" t="s">
        <v>127</v>
      </c>
      <c r="F6" s="4" t="s">
        <v>128</v>
      </c>
      <c r="G6" s="4" t="s">
        <v>324</v>
      </c>
      <c r="H6" s="4"/>
      <c r="I6" s="5" t="n">
        <v>5000000</v>
      </c>
      <c r="J6" s="7" t="n">
        <v>45102</v>
      </c>
      <c r="K6" s="7" t="n">
        <v>45108</v>
      </c>
      <c r="L6" s="4" t="s">
        <v>131</v>
      </c>
      <c r="M6" s="4" t="n">
        <v>10</v>
      </c>
      <c r="N6" s="6" t="n">
        <v>0.05</v>
      </c>
      <c r="O6" s="5" t="n">
        <v>39583.3333333333</v>
      </c>
      <c r="P6" s="5" t="n">
        <v>1583333</v>
      </c>
      <c r="Q6" s="5" t="n">
        <v>3416667</v>
      </c>
      <c r="R6" s="8" t="s">
        <v>132</v>
      </c>
      <c r="S6" s="8" t="s">
        <v>133</v>
      </c>
      <c r="T6" s="8" t="s">
        <v>134</v>
      </c>
      <c r="U6" s="8" t="s">
        <v>135</v>
      </c>
      <c r="V6" s="8"/>
      <c r="W6" s="8" t="s">
        <v>136</v>
      </c>
      <c r="X6" s="8" t="s">
        <v>137</v>
      </c>
      <c r="Y6" s="8"/>
      <c r="Z6" s="8"/>
      <c r="AA6" s="8"/>
    </row>
    <row r="7" customFormat="false" ht="15" hidden="false" customHeight="false" outlineLevel="0" collapsed="false">
      <c r="A7" s="4" t="s">
        <v>138</v>
      </c>
      <c r="B7" s="4" t="s">
        <v>139</v>
      </c>
      <c r="C7" s="4" t="s">
        <v>125</v>
      </c>
      <c r="D7" s="4" t="s">
        <v>140</v>
      </c>
      <c r="E7" s="4" t="s">
        <v>141</v>
      </c>
      <c r="F7" s="4" t="s">
        <v>142</v>
      </c>
      <c r="G7" s="4" t="s">
        <v>325</v>
      </c>
      <c r="H7" s="4"/>
      <c r="I7" s="5" t="n">
        <v>3200000</v>
      </c>
      <c r="J7" s="7" t="n">
        <v>44336</v>
      </c>
      <c r="K7" s="7" t="n">
        <v>44348</v>
      </c>
      <c r="L7" s="4" t="s">
        <v>131</v>
      </c>
      <c r="M7" s="4" t="n">
        <v>10</v>
      </c>
      <c r="N7" s="6" t="n">
        <v>0.05</v>
      </c>
      <c r="O7" s="5" t="n">
        <v>25333.3333333333</v>
      </c>
      <c r="P7" s="5" t="n">
        <v>1669333</v>
      </c>
      <c r="Q7" s="5" t="n">
        <v>1530667</v>
      </c>
      <c r="R7" s="8" t="s">
        <v>145</v>
      </c>
      <c r="S7" s="8" t="s">
        <v>146</v>
      </c>
      <c r="T7" s="8" t="s">
        <v>147</v>
      </c>
      <c r="U7" s="8" t="s">
        <v>148</v>
      </c>
      <c r="V7" s="8"/>
      <c r="W7" s="8" t="s">
        <v>149</v>
      </c>
      <c r="X7" s="8" t="s">
        <v>150</v>
      </c>
      <c r="Y7" s="8"/>
      <c r="Z7" s="8"/>
      <c r="AA7" s="8"/>
    </row>
    <row r="8" customFormat="false" ht="15" hidden="false" customHeight="false" outlineLevel="0" collapsed="false">
      <c r="A8" s="4" t="s">
        <v>151</v>
      </c>
      <c r="B8" s="4" t="s">
        <v>152</v>
      </c>
      <c r="C8" s="4" t="s">
        <v>125</v>
      </c>
      <c r="D8" s="4" t="s">
        <v>153</v>
      </c>
      <c r="E8" s="4" t="s">
        <v>154</v>
      </c>
      <c r="F8" s="4" t="s">
        <v>155</v>
      </c>
      <c r="G8" s="4" t="s">
        <v>326</v>
      </c>
      <c r="H8" s="4"/>
      <c r="I8" s="5" t="n">
        <v>1800000</v>
      </c>
      <c r="J8" s="7" t="n">
        <v>45371</v>
      </c>
      <c r="K8" s="7" t="n">
        <v>45383</v>
      </c>
      <c r="L8" s="4" t="s">
        <v>131</v>
      </c>
      <c r="M8" s="4" t="n">
        <v>10</v>
      </c>
      <c r="N8" s="6" t="n">
        <v>0.05</v>
      </c>
      <c r="O8" s="5" t="n">
        <v>14250</v>
      </c>
      <c r="P8" s="5" t="n">
        <v>427500</v>
      </c>
      <c r="Q8" s="5" t="n">
        <v>1372500</v>
      </c>
      <c r="R8" s="8" t="s">
        <v>158</v>
      </c>
      <c r="S8" s="8" t="s">
        <v>159</v>
      </c>
      <c r="T8" s="8" t="s">
        <v>160</v>
      </c>
      <c r="U8" s="8" t="s">
        <v>161</v>
      </c>
      <c r="V8" s="8"/>
      <c r="W8" s="8" t="s">
        <v>136</v>
      </c>
      <c r="X8" s="8" t="s">
        <v>162</v>
      </c>
      <c r="Y8" s="8"/>
      <c r="Z8" s="8"/>
      <c r="AA8" s="8"/>
    </row>
    <row r="9" customFormat="false" ht="15" hidden="false" customHeight="false" outlineLevel="0" collapsed="false">
      <c r="A9" s="4" t="s">
        <v>163</v>
      </c>
      <c r="B9" s="4" t="s">
        <v>164</v>
      </c>
      <c r="C9" s="4" t="s">
        <v>165</v>
      </c>
      <c r="D9" s="4" t="s">
        <v>166</v>
      </c>
      <c r="E9" s="4" t="s">
        <v>167</v>
      </c>
      <c r="F9" s="4" t="s">
        <v>168</v>
      </c>
      <c r="G9" s="4" t="s">
        <v>327</v>
      </c>
      <c r="H9" s="4"/>
      <c r="I9" s="5" t="n">
        <v>900000</v>
      </c>
      <c r="J9" s="7" t="n">
        <v>45461</v>
      </c>
      <c r="K9" s="7" t="n">
        <v>45474</v>
      </c>
      <c r="L9" s="4" t="s">
        <v>131</v>
      </c>
      <c r="M9" s="4" t="n">
        <v>5</v>
      </c>
      <c r="N9" s="6" t="n">
        <v>0.05</v>
      </c>
      <c r="O9" s="5" t="n">
        <v>14250</v>
      </c>
      <c r="P9" s="5" t="n">
        <v>384750</v>
      </c>
      <c r="Q9" s="5" t="n">
        <v>515250</v>
      </c>
      <c r="R9" s="8" t="s">
        <v>171</v>
      </c>
      <c r="S9" s="8" t="s">
        <v>172</v>
      </c>
      <c r="T9" s="8" t="s">
        <v>173</v>
      </c>
      <c r="U9" s="8" t="s">
        <v>174</v>
      </c>
      <c r="V9" s="8"/>
      <c r="W9" s="8" t="s">
        <v>136</v>
      </c>
      <c r="X9" s="8" t="s">
        <v>175</v>
      </c>
      <c r="Y9" s="8"/>
      <c r="Z9" s="8"/>
      <c r="AA9" s="8"/>
    </row>
    <row r="10" customFormat="false" ht="15" hidden="false" customHeight="false" outlineLevel="0" collapsed="false">
      <c r="A10" s="4" t="s">
        <v>176</v>
      </c>
      <c r="B10" s="4" t="s">
        <v>177</v>
      </c>
      <c r="C10" s="4" t="s">
        <v>178</v>
      </c>
      <c r="D10" s="4" t="s">
        <v>179</v>
      </c>
      <c r="E10" s="4" t="s">
        <v>180</v>
      </c>
      <c r="F10" s="4" t="s">
        <v>181</v>
      </c>
      <c r="G10" s="4" t="s">
        <v>328</v>
      </c>
      <c r="H10" s="4"/>
      <c r="I10" s="5" t="n">
        <v>480000</v>
      </c>
      <c r="J10" s="7" t="n">
        <v>44673</v>
      </c>
      <c r="K10" s="7" t="n">
        <v>44682</v>
      </c>
      <c r="L10" s="4" t="s">
        <v>131</v>
      </c>
      <c r="M10" s="4" t="n">
        <v>4</v>
      </c>
      <c r="N10" s="6" t="n">
        <v>0.05</v>
      </c>
      <c r="O10" s="5" t="n">
        <v>9500</v>
      </c>
      <c r="P10" s="5" t="n">
        <v>456000</v>
      </c>
      <c r="Q10" s="5" t="n">
        <v>24000</v>
      </c>
      <c r="R10" s="8" t="s">
        <v>184</v>
      </c>
      <c r="S10" s="8" t="s">
        <v>185</v>
      </c>
      <c r="T10" s="8" t="s">
        <v>186</v>
      </c>
      <c r="U10" s="8" t="s">
        <v>187</v>
      </c>
      <c r="V10" s="8"/>
      <c r="W10" s="8" t="s">
        <v>136</v>
      </c>
      <c r="X10" s="8" t="s">
        <v>188</v>
      </c>
      <c r="Y10" s="8"/>
      <c r="Z10" s="8"/>
      <c r="AA10" s="8"/>
    </row>
    <row r="11" customFormat="false" ht="15" hidden="false" customHeight="false" outlineLevel="0" collapsed="false">
      <c r="A11" s="4" t="s">
        <v>189</v>
      </c>
      <c r="B11" s="4" t="s">
        <v>190</v>
      </c>
      <c r="C11" s="4" t="s">
        <v>191</v>
      </c>
      <c r="D11" s="4" t="s">
        <v>192</v>
      </c>
      <c r="E11" s="4" t="s">
        <v>193</v>
      </c>
      <c r="F11" s="4" t="s">
        <v>194</v>
      </c>
      <c r="G11" s="4" t="s">
        <v>329</v>
      </c>
      <c r="H11" s="4"/>
      <c r="I11" s="5" t="n">
        <v>600000</v>
      </c>
      <c r="J11" s="7" t="n">
        <v>44880</v>
      </c>
      <c r="K11" s="7" t="n">
        <v>44896</v>
      </c>
      <c r="L11" s="4" t="s">
        <v>197</v>
      </c>
      <c r="M11" s="4" t="n">
        <v>5</v>
      </c>
      <c r="N11" s="6" t="n">
        <v>0.05</v>
      </c>
      <c r="O11" s="5" t="n">
        <v>9500</v>
      </c>
      <c r="P11" s="5" t="n">
        <v>427500</v>
      </c>
      <c r="Q11" s="5" t="n">
        <v>172500</v>
      </c>
      <c r="R11" s="8" t="s">
        <v>198</v>
      </c>
      <c r="S11" s="8" t="s">
        <v>199</v>
      </c>
      <c r="T11" s="8" t="s">
        <v>200</v>
      </c>
      <c r="U11" s="8" t="s">
        <v>201</v>
      </c>
      <c r="V11" s="8"/>
      <c r="W11" s="8" t="s">
        <v>136</v>
      </c>
      <c r="X11" s="8" t="s">
        <v>202</v>
      </c>
      <c r="Y11" s="8"/>
      <c r="Z11" s="8"/>
      <c r="AA11" s="8"/>
    </row>
    <row r="12" customFormat="false" ht="15" hidden="false" customHeight="false" outlineLevel="0" collapsed="false">
      <c r="A12" s="4" t="s">
        <v>203</v>
      </c>
      <c r="B12" s="4" t="s">
        <v>204</v>
      </c>
      <c r="C12" s="4" t="s">
        <v>165</v>
      </c>
      <c r="D12" s="4" t="s">
        <v>205</v>
      </c>
      <c r="E12" s="4" t="s">
        <v>206</v>
      </c>
      <c r="F12" s="4" t="s">
        <v>207</v>
      </c>
      <c r="G12" s="4" t="s">
        <v>330</v>
      </c>
      <c r="H12" s="4"/>
      <c r="I12" s="5" t="n">
        <v>120000</v>
      </c>
      <c r="J12" s="7" t="n">
        <v>45677</v>
      </c>
      <c r="K12" s="7" t="n">
        <v>45689</v>
      </c>
      <c r="L12" s="4" t="s">
        <v>131</v>
      </c>
      <c r="M12" s="4" t="n">
        <v>3</v>
      </c>
      <c r="N12" s="6" t="n">
        <v>0.05</v>
      </c>
      <c r="O12" s="5" t="n">
        <v>3166.66666666667</v>
      </c>
      <c r="P12" s="5" t="n">
        <v>38000</v>
      </c>
      <c r="Q12" s="5" t="n">
        <v>82000</v>
      </c>
      <c r="R12" s="8" t="s">
        <v>210</v>
      </c>
      <c r="S12" s="8" t="s">
        <v>211</v>
      </c>
      <c r="T12" s="8" t="s">
        <v>212</v>
      </c>
      <c r="U12" s="8" t="s">
        <v>213</v>
      </c>
      <c r="V12" s="8"/>
      <c r="W12" s="8" t="s">
        <v>214</v>
      </c>
      <c r="X12" s="8" t="s">
        <v>215</v>
      </c>
      <c r="Y12" s="8"/>
      <c r="Z12" s="8"/>
      <c r="AA12" s="8"/>
    </row>
    <row r="13" customFormat="false" ht="15" hidden="false" customHeight="false" outlineLevel="0" collapsed="false">
      <c r="A13" s="4" t="s">
        <v>216</v>
      </c>
      <c r="B13" s="4" t="s">
        <v>217</v>
      </c>
      <c r="C13" s="4" t="s">
        <v>218</v>
      </c>
      <c r="D13" s="4" t="s">
        <v>219</v>
      </c>
      <c r="E13" s="4" t="s">
        <v>220</v>
      </c>
      <c r="F13" s="4" t="s">
        <v>221</v>
      </c>
      <c r="G13" s="4" t="s">
        <v>331</v>
      </c>
      <c r="H13" s="4"/>
      <c r="I13" s="5" t="n">
        <v>300000</v>
      </c>
      <c r="J13" s="7" t="n">
        <v>44119</v>
      </c>
      <c r="K13" s="7" t="n">
        <v>44136</v>
      </c>
      <c r="L13" s="4" t="s">
        <v>131</v>
      </c>
      <c r="M13" s="4" t="n">
        <v>5</v>
      </c>
      <c r="N13" s="6" t="n">
        <v>0.05</v>
      </c>
      <c r="O13" s="5" t="n">
        <v>4750</v>
      </c>
      <c r="P13" s="5" t="n">
        <v>285000</v>
      </c>
      <c r="Q13" s="5" t="n">
        <v>15000</v>
      </c>
      <c r="R13" s="8" t="s">
        <v>184</v>
      </c>
      <c r="S13" s="8" t="s">
        <v>185</v>
      </c>
      <c r="T13" s="8" t="s">
        <v>224</v>
      </c>
      <c r="U13" s="8" t="s">
        <v>187</v>
      </c>
      <c r="V13" s="8"/>
      <c r="W13" s="8" t="s">
        <v>225</v>
      </c>
      <c r="X13" s="8" t="s">
        <v>226</v>
      </c>
      <c r="Y13" s="8"/>
      <c r="Z13" s="8"/>
      <c r="AA13" s="8"/>
    </row>
    <row r="14" customFormat="false" ht="15" hidden="false" customHeight="false" outlineLevel="0" collapsed="false">
      <c r="A14" s="4" t="s">
        <v>227</v>
      </c>
      <c r="B14" s="4" t="s">
        <v>228</v>
      </c>
      <c r="C14" s="4" t="s">
        <v>125</v>
      </c>
      <c r="D14" s="4" t="s">
        <v>229</v>
      </c>
      <c r="E14" s="4" t="s">
        <v>230</v>
      </c>
      <c r="F14" s="4" t="s">
        <v>231</v>
      </c>
      <c r="G14" s="4" t="s">
        <v>332</v>
      </c>
      <c r="H14" s="4"/>
      <c r="I14" s="5" t="n">
        <v>2400000</v>
      </c>
      <c r="J14" s="7" t="n">
        <v>42541</v>
      </c>
      <c r="K14" s="7" t="n">
        <v>42552</v>
      </c>
      <c r="L14" s="4" t="s">
        <v>131</v>
      </c>
      <c r="M14" s="4" t="n">
        <v>10</v>
      </c>
      <c r="N14" s="6" t="n">
        <v>0.05</v>
      </c>
      <c r="O14" s="5" t="n">
        <v>19000</v>
      </c>
      <c r="P14" s="5" t="n">
        <v>2280000</v>
      </c>
      <c r="Q14" s="5" t="n">
        <v>120000</v>
      </c>
      <c r="R14" s="8" t="s">
        <v>234</v>
      </c>
      <c r="S14" s="8" t="s">
        <v>235</v>
      </c>
      <c r="T14" s="8" t="s">
        <v>236</v>
      </c>
      <c r="U14" s="8" t="s">
        <v>237</v>
      </c>
      <c r="V14" s="8"/>
      <c r="W14" s="8" t="s">
        <v>149</v>
      </c>
      <c r="X14" s="8" t="s">
        <v>238</v>
      </c>
      <c r="Y14" s="8"/>
      <c r="Z14" s="8"/>
      <c r="AA14" s="8"/>
    </row>
    <row r="15" customFormat="false" ht="15" hidden="false" customHeight="false" outlineLevel="0" collapsed="false">
      <c r="A15" s="4" t="s">
        <v>239</v>
      </c>
      <c r="B15" s="4" t="s">
        <v>240</v>
      </c>
      <c r="C15" s="4" t="s">
        <v>241</v>
      </c>
      <c r="D15" s="4" t="s">
        <v>242</v>
      </c>
      <c r="E15" s="4" t="s">
        <v>243</v>
      </c>
      <c r="F15" s="4" t="s">
        <v>244</v>
      </c>
      <c r="G15" s="4" t="s">
        <v>333</v>
      </c>
      <c r="H15" s="4"/>
      <c r="I15" s="5" t="n">
        <v>180000</v>
      </c>
      <c r="J15" s="7" t="n">
        <v>45158</v>
      </c>
      <c r="K15" s="7" t="n">
        <v>45170</v>
      </c>
      <c r="L15" s="4" t="s">
        <v>131</v>
      </c>
      <c r="M15" s="4" t="n">
        <v>5</v>
      </c>
      <c r="N15" s="6" t="n">
        <v>0.05</v>
      </c>
      <c r="O15" s="5" t="n">
        <v>2850</v>
      </c>
      <c r="P15" s="5" t="n">
        <v>102600</v>
      </c>
      <c r="Q15" s="5" t="n">
        <v>77400</v>
      </c>
      <c r="R15" s="8" t="s">
        <v>171</v>
      </c>
      <c r="S15" s="8" t="s">
        <v>247</v>
      </c>
      <c r="T15" s="8" t="s">
        <v>248</v>
      </c>
      <c r="U15" s="8" t="s">
        <v>174</v>
      </c>
      <c r="V15" s="8"/>
      <c r="W15" s="8" t="s">
        <v>136</v>
      </c>
      <c r="X15" s="8" t="s">
        <v>249</v>
      </c>
      <c r="Y15" s="8"/>
      <c r="Z15" s="8"/>
      <c r="AA15" s="8"/>
    </row>
    <row r="16" customFormat="false" ht="15" hidden="false" customHeight="false" outlineLevel="0" collapsed="false">
      <c r="A16" s="4" t="s">
        <v>250</v>
      </c>
      <c r="B16" s="4" t="s">
        <v>251</v>
      </c>
      <c r="C16" s="4" t="s">
        <v>252</v>
      </c>
      <c r="D16" s="4" t="s">
        <v>253</v>
      </c>
      <c r="E16" s="4" t="s">
        <v>254</v>
      </c>
      <c r="F16" s="4" t="s">
        <v>255</v>
      </c>
      <c r="G16" s="4" t="s">
        <v>334</v>
      </c>
      <c r="H16" s="4"/>
      <c r="I16" s="5" t="n">
        <v>220000</v>
      </c>
      <c r="J16" s="7" t="n">
        <v>43539</v>
      </c>
      <c r="K16" s="7" t="n">
        <v>43556</v>
      </c>
      <c r="L16" s="4" t="s">
        <v>131</v>
      </c>
      <c r="M16" s="4" t="n">
        <v>5</v>
      </c>
      <c r="N16" s="6" t="n">
        <v>0.05</v>
      </c>
      <c r="O16" s="5" t="n">
        <v>3483.33333333333</v>
      </c>
      <c r="P16" s="5" t="n">
        <v>209000</v>
      </c>
      <c r="Q16" s="5" t="n">
        <v>11000</v>
      </c>
      <c r="R16" s="8" t="s">
        <v>258</v>
      </c>
      <c r="S16" s="8" t="s">
        <v>259</v>
      </c>
      <c r="T16" s="8" t="s">
        <v>260</v>
      </c>
      <c r="U16" s="8" t="s">
        <v>261</v>
      </c>
      <c r="V16" s="8"/>
      <c r="W16" s="8" t="s">
        <v>225</v>
      </c>
      <c r="X16" s="8" t="s">
        <v>262</v>
      </c>
      <c r="Y16" s="8"/>
      <c r="Z16" s="8"/>
      <c r="AA16" s="8"/>
    </row>
    <row r="17" customFormat="false" ht="15" hidden="false" customHeight="false" outlineLevel="0" collapsed="false">
      <c r="A17" s="4" t="s">
        <v>263</v>
      </c>
      <c r="B17" s="4" t="s">
        <v>264</v>
      </c>
      <c r="C17" s="4" t="s">
        <v>125</v>
      </c>
      <c r="D17" s="4" t="s">
        <v>265</v>
      </c>
      <c r="E17" s="4" t="s">
        <v>266</v>
      </c>
      <c r="F17" s="4" t="s">
        <v>267</v>
      </c>
      <c r="G17" s="4" t="s">
        <v>335</v>
      </c>
      <c r="H17" s="4"/>
      <c r="I17" s="5" t="n">
        <v>360000</v>
      </c>
      <c r="J17" s="7" t="n">
        <v>45802</v>
      </c>
      <c r="K17" s="7" t="n">
        <v>45809</v>
      </c>
      <c r="L17" s="4" t="s">
        <v>131</v>
      </c>
      <c r="M17" s="4" t="n">
        <v>5</v>
      </c>
      <c r="N17" s="6" t="n">
        <v>0.05</v>
      </c>
      <c r="O17" s="5" t="n">
        <v>5700</v>
      </c>
      <c r="P17" s="5" t="n">
        <v>85500</v>
      </c>
      <c r="Q17" s="5" t="n">
        <v>274500</v>
      </c>
      <c r="R17" s="8" t="s">
        <v>270</v>
      </c>
      <c r="S17" s="8" t="s">
        <v>271</v>
      </c>
      <c r="T17" s="8" t="s">
        <v>272</v>
      </c>
      <c r="U17" s="8" t="s">
        <v>273</v>
      </c>
      <c r="V17" s="8"/>
      <c r="W17" s="8" t="s">
        <v>274</v>
      </c>
      <c r="X17" s="8" t="s">
        <v>275</v>
      </c>
      <c r="Y17" s="8"/>
      <c r="Z17" s="8"/>
      <c r="AA17" s="8"/>
    </row>
    <row r="18" customFormat="false" ht="15" hidden="false" customHeight="false" outlineLevel="0" collapsed="false">
      <c r="A18" s="4" t="s">
        <v>276</v>
      </c>
      <c r="B18" s="4" t="s">
        <v>277</v>
      </c>
      <c r="C18" s="4" t="s">
        <v>125</v>
      </c>
      <c r="D18" s="4" t="s">
        <v>278</v>
      </c>
      <c r="E18" s="4" t="s">
        <v>279</v>
      </c>
      <c r="F18" s="4" t="s">
        <v>280</v>
      </c>
      <c r="G18" s="4" t="s">
        <v>336</v>
      </c>
      <c r="H18" s="4"/>
      <c r="I18" s="5" t="n">
        <v>750000</v>
      </c>
      <c r="J18" s="7" t="n">
        <v>45667</v>
      </c>
      <c r="K18" s="7" t="n">
        <v>45689</v>
      </c>
      <c r="L18" s="4" t="s">
        <v>131</v>
      </c>
      <c r="M18" s="4" t="n">
        <v>10</v>
      </c>
      <c r="N18" s="6" t="n">
        <v>0.05</v>
      </c>
      <c r="O18" s="5" t="n">
        <v>5937.5</v>
      </c>
      <c r="P18" s="5" t="n">
        <v>118750</v>
      </c>
      <c r="Q18" s="5" t="n">
        <v>631250</v>
      </c>
      <c r="R18" s="8" t="s">
        <v>283</v>
      </c>
      <c r="S18" s="8" t="s">
        <v>284</v>
      </c>
      <c r="T18" s="8" t="s">
        <v>285</v>
      </c>
      <c r="U18" s="8" t="s">
        <v>135</v>
      </c>
      <c r="V18" s="8"/>
      <c r="W18" s="8" t="s">
        <v>286</v>
      </c>
      <c r="X18" s="8" t="s">
        <v>287</v>
      </c>
      <c r="Y18" s="8"/>
      <c r="Z18" s="8"/>
      <c r="AA18" s="8"/>
    </row>
    <row r="19" customFormat="false" ht="15" hidden="false" customHeight="false" outlineLevel="0" collapsed="false">
      <c r="A19" s="4" t="s">
        <v>288</v>
      </c>
      <c r="B19" s="4" t="s">
        <v>289</v>
      </c>
      <c r="C19" s="4" t="s">
        <v>290</v>
      </c>
      <c r="D19" s="4" t="s">
        <v>291</v>
      </c>
      <c r="E19" s="4" t="s">
        <v>220</v>
      </c>
      <c r="F19" s="4" t="s">
        <v>292</v>
      </c>
      <c r="G19" s="4" t="s">
        <v>337</v>
      </c>
      <c r="H19" s="4"/>
      <c r="I19" s="5" t="n">
        <v>1500000</v>
      </c>
      <c r="J19" s="7" t="n">
        <v>44915</v>
      </c>
      <c r="K19" s="7" t="n">
        <v>44927</v>
      </c>
      <c r="L19" s="4" t="s">
        <v>131</v>
      </c>
      <c r="M19" s="4" t="n">
        <v>5</v>
      </c>
      <c r="N19" s="6" t="n">
        <v>0</v>
      </c>
      <c r="O19" s="5" t="n">
        <v>25000</v>
      </c>
      <c r="P19" s="5" t="n">
        <v>1100000</v>
      </c>
      <c r="Q19" s="5" t="n">
        <v>400000</v>
      </c>
      <c r="R19" s="8" t="s">
        <v>184</v>
      </c>
      <c r="S19" s="8" t="s">
        <v>185</v>
      </c>
      <c r="T19" s="8" t="s">
        <v>147</v>
      </c>
      <c r="U19" s="8" t="s">
        <v>187</v>
      </c>
      <c r="V19" s="8"/>
      <c r="W19" s="8" t="s">
        <v>136</v>
      </c>
      <c r="X19" s="8" t="s">
        <v>295</v>
      </c>
      <c r="Y19" s="8"/>
      <c r="Z19" s="8"/>
      <c r="AA19" s="8"/>
    </row>
    <row r="20" customFormat="false" ht="15" hidden="false" customHeight="false" outlineLevel="0" collapsed="false">
      <c r="A20" s="4" t="s">
        <v>296</v>
      </c>
      <c r="B20" s="4" t="s">
        <v>297</v>
      </c>
      <c r="C20" s="4" t="s">
        <v>298</v>
      </c>
      <c r="D20" s="4" t="s">
        <v>299</v>
      </c>
      <c r="E20" s="4" t="s">
        <v>300</v>
      </c>
      <c r="F20" s="4" t="s">
        <v>301</v>
      </c>
      <c r="G20" s="4" t="s">
        <v>338</v>
      </c>
      <c r="H20" s="4"/>
      <c r="I20" s="5" t="n">
        <v>6000000</v>
      </c>
      <c r="J20" s="7" t="n">
        <v>46068</v>
      </c>
      <c r="K20" s="7"/>
      <c r="L20" s="4" t="s">
        <v>304</v>
      </c>
      <c r="M20" s="4" t="n">
        <v>10</v>
      </c>
      <c r="N20" s="6" t="n">
        <v>0.05</v>
      </c>
      <c r="O20" s="5" t="n">
        <v>47500</v>
      </c>
      <c r="P20" s="5" t="n">
        <v>0</v>
      </c>
      <c r="Q20" s="5" t="n">
        <v>6000000</v>
      </c>
      <c r="R20" s="8" t="s">
        <v>132</v>
      </c>
      <c r="S20" s="8" t="s">
        <v>133</v>
      </c>
      <c r="T20" s="8" t="s">
        <v>305</v>
      </c>
      <c r="U20" s="8" t="s">
        <v>306</v>
      </c>
      <c r="V20" s="8"/>
      <c r="W20" s="8" t="s">
        <v>307</v>
      </c>
      <c r="X20" s="8" t="s">
        <v>308</v>
      </c>
      <c r="Y20" s="8"/>
      <c r="Z20" s="8"/>
      <c r="AA20" s="8"/>
    </row>
  </sheetData>
  <mergeCells count="2">
    <mergeCell ref="A1:AA1"/>
    <mergeCell ref="A2:AA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10" min="6" style="0" width="14"/>
    <col collapsed="false" customWidth="true" hidden="false" outlineLevel="0" max="12" min="11" style="0" width="36"/>
    <col collapsed="false" customWidth="true" hidden="false" outlineLevel="0" max="14" min="13" style="0" width="32"/>
    <col collapsed="false" customWidth="true" hidden="false" outlineLevel="0" max="15" min="15" style="0" width="13"/>
    <col collapsed="false" customWidth="true" hidden="false" outlineLevel="0" max="16" min="16" style="0" width="40"/>
  </cols>
  <sheetData>
    <row r="1" customFormat="false" ht="30" hidden="false" customHeight="true" outlineLevel="0" collapsed="false">
      <c r="A1" s="1" t="s">
        <v>339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8" hidden="false" customHeight="true" outlineLevel="0" collapsed="false">
      <c r="A2" s="2" t="s">
        <v>340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5" customFormat="false" ht="34" hidden="false" customHeight="true" outlineLevel="0" collapsed="false">
      <c r="A5" s="3" t="s">
        <v>341</v>
      </c>
      <c r="B5" s="3" t="s">
        <v>342</v>
      </c>
      <c r="C5" s="3" t="s">
        <v>343</v>
      </c>
      <c r="D5" s="3" t="s">
        <v>105</v>
      </c>
      <c r="E5" s="3" t="s">
        <v>344</v>
      </c>
      <c r="F5" s="3" t="s">
        <v>345</v>
      </c>
      <c r="G5" s="3" t="s">
        <v>109</v>
      </c>
      <c r="H5" s="3" t="s">
        <v>346</v>
      </c>
      <c r="I5" s="3" t="s">
        <v>347</v>
      </c>
      <c r="J5" s="3" t="s">
        <v>348</v>
      </c>
      <c r="K5" s="3" t="s">
        <v>349</v>
      </c>
      <c r="L5" s="3" t="s">
        <v>350</v>
      </c>
      <c r="M5" s="3" t="s">
        <v>351</v>
      </c>
      <c r="N5" s="3" t="s">
        <v>352</v>
      </c>
      <c r="O5" s="3" t="s">
        <v>120</v>
      </c>
      <c r="P5" s="3" t="s">
        <v>353</v>
      </c>
    </row>
    <row r="6" customFormat="false" ht="15" hidden="false" customHeight="false" outlineLevel="0" collapsed="false">
      <c r="A6" s="4" t="s">
        <v>354</v>
      </c>
      <c r="B6" s="8"/>
      <c r="C6" s="8"/>
      <c r="D6" s="8"/>
      <c r="E6" s="8"/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8"/>
      <c r="L6" s="8"/>
      <c r="M6" s="8"/>
      <c r="N6" s="8"/>
      <c r="O6" s="8" t="s">
        <v>355</v>
      </c>
      <c r="P6" s="8"/>
    </row>
    <row r="7" customFormat="false" ht="15" hidden="false" customHeight="false" outlineLevel="0" collapsed="false">
      <c r="A7" s="4" t="s">
        <v>356</v>
      </c>
      <c r="B7" s="8"/>
      <c r="C7" s="8"/>
      <c r="D7" s="8"/>
      <c r="E7" s="8"/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8"/>
      <c r="L7" s="8"/>
      <c r="M7" s="8"/>
      <c r="N7" s="8"/>
      <c r="O7" s="8" t="s">
        <v>355</v>
      </c>
      <c r="P7" s="8"/>
    </row>
    <row r="8" customFormat="false" ht="15" hidden="false" customHeight="false" outlineLevel="0" collapsed="false">
      <c r="A8" s="4" t="s">
        <v>357</v>
      </c>
      <c r="B8" s="8"/>
      <c r="C8" s="8"/>
      <c r="D8" s="8"/>
      <c r="E8" s="8"/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8"/>
      <c r="L8" s="8"/>
      <c r="M8" s="8"/>
      <c r="N8" s="8"/>
      <c r="O8" s="8" t="s">
        <v>355</v>
      </c>
      <c r="P8" s="8"/>
    </row>
    <row r="9" customFormat="false" ht="15" hidden="false" customHeight="false" outlineLevel="0" collapsed="false">
      <c r="A9" s="4" t="s">
        <v>358</v>
      </c>
      <c r="B9" s="8"/>
      <c r="C9" s="8"/>
      <c r="D9" s="8"/>
      <c r="E9" s="8"/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8"/>
      <c r="L9" s="8"/>
      <c r="M9" s="8"/>
      <c r="N9" s="8"/>
      <c r="O9" s="8" t="s">
        <v>355</v>
      </c>
      <c r="P9" s="8"/>
    </row>
    <row r="10" customFormat="false" ht="15" hidden="false" customHeight="false" outlineLevel="0" collapsed="false">
      <c r="A10" s="4" t="s">
        <v>359</v>
      </c>
      <c r="B10" s="8"/>
      <c r="C10" s="8"/>
      <c r="D10" s="8"/>
      <c r="E10" s="8"/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8"/>
      <c r="L10" s="8"/>
      <c r="M10" s="8"/>
      <c r="N10" s="8"/>
      <c r="O10" s="8" t="s">
        <v>355</v>
      </c>
      <c r="P10" s="8"/>
    </row>
    <row r="11" customFormat="false" ht="15" hidden="false" customHeight="false" outlineLevel="0" collapsed="false">
      <c r="A11" s="4" t="s">
        <v>360</v>
      </c>
      <c r="B11" s="8"/>
      <c r="C11" s="8"/>
      <c r="D11" s="8"/>
      <c r="E11" s="8"/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8"/>
      <c r="L11" s="8"/>
      <c r="M11" s="8"/>
      <c r="N11" s="8"/>
      <c r="O11" s="8" t="s">
        <v>355</v>
      </c>
      <c r="P11" s="8"/>
    </row>
    <row r="12" customFormat="false" ht="15" hidden="false" customHeight="false" outlineLevel="0" collapsed="false">
      <c r="A12" s="4" t="s">
        <v>361</v>
      </c>
      <c r="B12" s="8"/>
      <c r="C12" s="8"/>
      <c r="D12" s="8"/>
      <c r="E12" s="8"/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8"/>
      <c r="L12" s="8"/>
      <c r="M12" s="8"/>
      <c r="N12" s="8"/>
      <c r="O12" s="8" t="s">
        <v>355</v>
      </c>
      <c r="P12" s="8"/>
    </row>
    <row r="13" customFormat="false" ht="15" hidden="false" customHeight="false" outlineLevel="0" collapsed="false">
      <c r="A13" s="4" t="s">
        <v>362</v>
      </c>
      <c r="B13" s="8"/>
      <c r="C13" s="8"/>
      <c r="D13" s="8"/>
      <c r="E13" s="8"/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8"/>
      <c r="L13" s="8"/>
      <c r="M13" s="8"/>
      <c r="N13" s="8"/>
      <c r="O13" s="8" t="s">
        <v>355</v>
      </c>
      <c r="P13" s="8"/>
    </row>
    <row r="14" customFormat="false" ht="15" hidden="false" customHeight="false" outlineLevel="0" collapsed="false">
      <c r="A14" s="4" t="s">
        <v>363</v>
      </c>
      <c r="B14" s="8"/>
      <c r="C14" s="8"/>
      <c r="D14" s="8"/>
      <c r="E14" s="8"/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8"/>
      <c r="L14" s="8"/>
      <c r="M14" s="8"/>
      <c r="N14" s="8"/>
      <c r="O14" s="8" t="s">
        <v>355</v>
      </c>
      <c r="P14" s="8"/>
    </row>
    <row r="15" customFormat="false" ht="15" hidden="false" customHeight="false" outlineLevel="0" collapsed="false">
      <c r="A15" s="4" t="s">
        <v>364</v>
      </c>
      <c r="B15" s="8"/>
      <c r="C15" s="8"/>
      <c r="D15" s="8"/>
      <c r="E15" s="8"/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8"/>
      <c r="L15" s="8"/>
      <c r="M15" s="8"/>
      <c r="N15" s="8"/>
      <c r="O15" s="8" t="s">
        <v>355</v>
      </c>
      <c r="P15" s="8"/>
    </row>
    <row r="16" customFormat="false" ht="15" hidden="false" customHeight="false" outlineLevel="0" collapsed="false">
      <c r="A16" s="4" t="s">
        <v>365</v>
      </c>
      <c r="B16" s="8"/>
      <c r="C16" s="8"/>
      <c r="D16" s="8"/>
      <c r="E16" s="8"/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8"/>
      <c r="L16" s="8"/>
      <c r="M16" s="8"/>
      <c r="N16" s="8"/>
      <c r="O16" s="8" t="s">
        <v>355</v>
      </c>
      <c r="P16" s="8"/>
    </row>
    <row r="17" customFormat="false" ht="15" hidden="false" customHeight="false" outlineLevel="0" collapsed="false">
      <c r="A17" s="4" t="s">
        <v>366</v>
      </c>
      <c r="B17" s="8"/>
      <c r="C17" s="8"/>
      <c r="D17" s="8"/>
      <c r="E17" s="8"/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8"/>
      <c r="L17" s="8"/>
      <c r="M17" s="8"/>
      <c r="N17" s="8"/>
      <c r="O17" s="8" t="s">
        <v>355</v>
      </c>
      <c r="P17" s="8"/>
    </row>
    <row r="18" customFormat="false" ht="15" hidden="false" customHeight="false" outlineLevel="0" collapsed="false">
      <c r="A18" s="4" t="s">
        <v>367</v>
      </c>
      <c r="B18" s="8"/>
      <c r="C18" s="8"/>
      <c r="D18" s="8"/>
      <c r="E18" s="8"/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8"/>
      <c r="L18" s="8"/>
      <c r="M18" s="8"/>
      <c r="N18" s="8"/>
      <c r="O18" s="8" t="s">
        <v>355</v>
      </c>
      <c r="P18" s="8"/>
    </row>
    <row r="19" customFormat="false" ht="15" hidden="false" customHeight="false" outlineLevel="0" collapsed="false">
      <c r="A19" s="4" t="s">
        <v>368</v>
      </c>
      <c r="B19" s="8"/>
      <c r="C19" s="8"/>
      <c r="D19" s="8"/>
      <c r="E19" s="8"/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8"/>
      <c r="L19" s="8"/>
      <c r="M19" s="8"/>
      <c r="N19" s="8"/>
      <c r="O19" s="8" t="s">
        <v>355</v>
      </c>
      <c r="P19" s="8"/>
    </row>
    <row r="20" customFormat="false" ht="15" hidden="false" customHeight="false" outlineLevel="0" collapsed="false">
      <c r="A20" s="4" t="s">
        <v>369</v>
      </c>
      <c r="B20" s="8"/>
      <c r="C20" s="8"/>
      <c r="D20" s="8"/>
      <c r="E20" s="8"/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8"/>
      <c r="L20" s="8"/>
      <c r="M20" s="8"/>
      <c r="N20" s="8"/>
      <c r="O20" s="8" t="s">
        <v>355</v>
      </c>
      <c r="P20" s="8"/>
    </row>
    <row r="21" customFormat="false" ht="15" hidden="false" customHeight="false" outlineLevel="0" collapsed="false">
      <c r="A21" s="4" t="s">
        <v>370</v>
      </c>
      <c r="B21" s="8"/>
      <c r="C21" s="8"/>
      <c r="D21" s="8"/>
      <c r="E21" s="8"/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8"/>
      <c r="L21" s="8"/>
      <c r="M21" s="8"/>
      <c r="N21" s="8"/>
      <c r="O21" s="8" t="s">
        <v>355</v>
      </c>
      <c r="P21" s="8"/>
    </row>
    <row r="22" customFormat="false" ht="15" hidden="false" customHeight="false" outlineLevel="0" collapsed="false">
      <c r="A22" s="4" t="s">
        <v>371</v>
      </c>
      <c r="B22" s="8"/>
      <c r="C22" s="8"/>
      <c r="D22" s="8"/>
      <c r="E22" s="8"/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8"/>
      <c r="L22" s="8"/>
      <c r="M22" s="8"/>
      <c r="N22" s="8"/>
      <c r="O22" s="8" t="s">
        <v>355</v>
      </c>
      <c r="P22" s="8"/>
    </row>
    <row r="23" customFormat="false" ht="15" hidden="false" customHeight="false" outlineLevel="0" collapsed="false">
      <c r="A23" s="4" t="s">
        <v>372</v>
      </c>
      <c r="B23" s="8"/>
      <c r="C23" s="8"/>
      <c r="D23" s="8"/>
      <c r="E23" s="8"/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8"/>
      <c r="L23" s="8"/>
      <c r="M23" s="8"/>
      <c r="N23" s="8"/>
      <c r="O23" s="8" t="s">
        <v>355</v>
      </c>
      <c r="P23" s="8"/>
    </row>
    <row r="24" customFormat="false" ht="15" hidden="false" customHeight="false" outlineLevel="0" collapsed="false">
      <c r="A24" s="4" t="s">
        <v>373</v>
      </c>
      <c r="B24" s="8"/>
      <c r="C24" s="8"/>
      <c r="D24" s="8"/>
      <c r="E24" s="8"/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8"/>
      <c r="L24" s="8"/>
      <c r="M24" s="8"/>
      <c r="N24" s="8"/>
      <c r="O24" s="8" t="s">
        <v>355</v>
      </c>
      <c r="P24" s="8"/>
    </row>
    <row r="25" customFormat="false" ht="15" hidden="false" customHeight="false" outlineLevel="0" collapsed="false">
      <c r="A25" s="4" t="s">
        <v>374</v>
      </c>
      <c r="B25" s="8"/>
      <c r="C25" s="8"/>
      <c r="D25" s="8"/>
      <c r="E25" s="8"/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8"/>
      <c r="L25" s="8"/>
      <c r="M25" s="8"/>
      <c r="N25" s="8"/>
      <c r="O25" s="8" t="s">
        <v>355</v>
      </c>
      <c r="P25" s="8"/>
    </row>
    <row r="26" customFormat="false" ht="15" hidden="false" customHeight="false" outlineLevel="0" collapsed="false">
      <c r="A26" s="4" t="s">
        <v>375</v>
      </c>
      <c r="B26" s="8"/>
      <c r="C26" s="8"/>
      <c r="D26" s="8"/>
      <c r="E26" s="8"/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8"/>
      <c r="L26" s="8"/>
      <c r="M26" s="8"/>
      <c r="N26" s="8"/>
      <c r="O26" s="8" t="s">
        <v>355</v>
      </c>
      <c r="P26" s="8"/>
    </row>
    <row r="27" customFormat="false" ht="15" hidden="false" customHeight="false" outlineLevel="0" collapsed="false">
      <c r="A27" s="4" t="s">
        <v>376</v>
      </c>
      <c r="B27" s="8"/>
      <c r="C27" s="8"/>
      <c r="D27" s="8"/>
      <c r="E27" s="8"/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8"/>
      <c r="L27" s="8"/>
      <c r="M27" s="8"/>
      <c r="N27" s="8"/>
      <c r="O27" s="8" t="s">
        <v>355</v>
      </c>
      <c r="P27" s="8"/>
    </row>
    <row r="28" customFormat="false" ht="15" hidden="false" customHeight="false" outlineLevel="0" collapsed="false">
      <c r="A28" s="4" t="s">
        <v>377</v>
      </c>
      <c r="B28" s="8"/>
      <c r="C28" s="8"/>
      <c r="D28" s="8"/>
      <c r="E28" s="8"/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8"/>
      <c r="L28" s="8"/>
      <c r="M28" s="8"/>
      <c r="N28" s="8"/>
      <c r="O28" s="8" t="s">
        <v>355</v>
      </c>
      <c r="P28" s="8"/>
    </row>
    <row r="29" customFormat="false" ht="15" hidden="false" customHeight="false" outlineLevel="0" collapsed="false">
      <c r="A29" s="4" t="s">
        <v>378</v>
      </c>
      <c r="B29" s="8"/>
      <c r="C29" s="8"/>
      <c r="D29" s="8"/>
      <c r="E29" s="8"/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8"/>
      <c r="L29" s="8"/>
      <c r="M29" s="8"/>
      <c r="N29" s="8"/>
      <c r="O29" s="8" t="s">
        <v>355</v>
      </c>
      <c r="P29" s="8"/>
    </row>
    <row r="30" customFormat="false" ht="15" hidden="false" customHeight="false" outlineLevel="0" collapsed="false">
      <c r="A30" s="4" t="s">
        <v>379</v>
      </c>
      <c r="B30" s="8"/>
      <c r="C30" s="8"/>
      <c r="D30" s="8"/>
      <c r="E30" s="8"/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8"/>
      <c r="L30" s="8"/>
      <c r="M30" s="8"/>
      <c r="N30" s="8"/>
      <c r="O30" s="8" t="s">
        <v>355</v>
      </c>
      <c r="P30" s="8"/>
    </row>
    <row r="31" customFormat="false" ht="15" hidden="false" customHeight="false" outlineLevel="0" collapsed="false">
      <c r="A31" s="4" t="s">
        <v>380</v>
      </c>
      <c r="B31" s="8"/>
      <c r="C31" s="8"/>
      <c r="D31" s="8"/>
      <c r="E31" s="8"/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8"/>
      <c r="L31" s="8"/>
      <c r="M31" s="8"/>
      <c r="N31" s="8"/>
      <c r="O31" s="8" t="s">
        <v>355</v>
      </c>
      <c r="P31" s="8"/>
    </row>
    <row r="32" customFormat="false" ht="15" hidden="false" customHeight="false" outlineLevel="0" collapsed="false">
      <c r="A32" s="4" t="s">
        <v>381</v>
      </c>
      <c r="B32" s="8"/>
      <c r="C32" s="8"/>
      <c r="D32" s="8"/>
      <c r="E32" s="8"/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8"/>
      <c r="L32" s="8"/>
      <c r="M32" s="8"/>
      <c r="N32" s="8"/>
      <c r="O32" s="8" t="s">
        <v>355</v>
      </c>
      <c r="P32" s="8"/>
    </row>
    <row r="33" customFormat="false" ht="15" hidden="false" customHeight="false" outlineLevel="0" collapsed="false">
      <c r="A33" s="4" t="s">
        <v>382</v>
      </c>
      <c r="B33" s="8"/>
      <c r="C33" s="8"/>
      <c r="D33" s="8"/>
      <c r="E33" s="8"/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8"/>
      <c r="L33" s="8"/>
      <c r="M33" s="8"/>
      <c r="N33" s="8"/>
      <c r="O33" s="8" t="s">
        <v>355</v>
      </c>
      <c r="P33" s="8"/>
    </row>
    <row r="34" customFormat="false" ht="15" hidden="false" customHeight="false" outlineLevel="0" collapsed="false">
      <c r="A34" s="4" t="s">
        <v>383</v>
      </c>
      <c r="B34" s="8"/>
      <c r="C34" s="8"/>
      <c r="D34" s="8"/>
      <c r="E34" s="8"/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8"/>
      <c r="L34" s="8"/>
      <c r="M34" s="8"/>
      <c r="N34" s="8"/>
      <c r="O34" s="8" t="s">
        <v>355</v>
      </c>
      <c r="P34" s="8"/>
    </row>
    <row r="35" customFormat="false" ht="15" hidden="false" customHeight="false" outlineLevel="0" collapsed="false">
      <c r="A35" s="4" t="s">
        <v>384</v>
      </c>
      <c r="B35" s="8"/>
      <c r="C35" s="8"/>
      <c r="D35" s="8"/>
      <c r="E35" s="8"/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8"/>
      <c r="L35" s="8"/>
      <c r="M35" s="8"/>
      <c r="N35" s="8"/>
      <c r="O35" s="8" t="s">
        <v>355</v>
      </c>
      <c r="P35" s="8"/>
    </row>
    <row r="36" customFormat="false" ht="15" hidden="false" customHeight="false" outlineLevel="0" collapsed="false">
      <c r="A36" s="4" t="s">
        <v>385</v>
      </c>
      <c r="B36" s="8"/>
      <c r="C36" s="8"/>
      <c r="D36" s="8"/>
      <c r="E36" s="8"/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8"/>
      <c r="L36" s="8"/>
      <c r="M36" s="8"/>
      <c r="N36" s="8"/>
      <c r="O36" s="8" t="s">
        <v>355</v>
      </c>
      <c r="P36" s="8"/>
    </row>
    <row r="37" customFormat="false" ht="15" hidden="false" customHeight="false" outlineLevel="0" collapsed="false">
      <c r="A37" s="4" t="s">
        <v>386</v>
      </c>
      <c r="B37" s="8"/>
      <c r="C37" s="8"/>
      <c r="D37" s="8"/>
      <c r="E37" s="8"/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8"/>
      <c r="L37" s="8"/>
      <c r="M37" s="8"/>
      <c r="N37" s="8"/>
      <c r="O37" s="8" t="s">
        <v>355</v>
      </c>
      <c r="P37" s="8"/>
    </row>
    <row r="38" customFormat="false" ht="15" hidden="false" customHeight="false" outlineLevel="0" collapsed="false">
      <c r="A38" s="4" t="s">
        <v>387</v>
      </c>
      <c r="B38" s="8"/>
      <c r="C38" s="8"/>
      <c r="D38" s="8"/>
      <c r="E38" s="8"/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8"/>
      <c r="L38" s="8"/>
      <c r="M38" s="8"/>
      <c r="N38" s="8"/>
      <c r="O38" s="8" t="s">
        <v>355</v>
      </c>
      <c r="P38" s="8"/>
    </row>
    <row r="39" customFormat="false" ht="15" hidden="false" customHeight="false" outlineLevel="0" collapsed="false">
      <c r="A39" s="4" t="s">
        <v>388</v>
      </c>
      <c r="B39" s="8"/>
      <c r="C39" s="8"/>
      <c r="D39" s="8"/>
      <c r="E39" s="8"/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8"/>
      <c r="L39" s="8"/>
      <c r="M39" s="8"/>
      <c r="N39" s="8"/>
      <c r="O39" s="8" t="s">
        <v>355</v>
      </c>
      <c r="P39" s="8"/>
    </row>
    <row r="40" customFormat="false" ht="15" hidden="false" customHeight="false" outlineLevel="0" collapsed="false">
      <c r="A40" s="4" t="s">
        <v>389</v>
      </c>
      <c r="B40" s="8"/>
      <c r="C40" s="8"/>
      <c r="D40" s="8"/>
      <c r="E40" s="8"/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8"/>
      <c r="L40" s="8"/>
      <c r="M40" s="8"/>
      <c r="N40" s="8"/>
      <c r="O40" s="8" t="s">
        <v>355</v>
      </c>
      <c r="P40" s="8"/>
    </row>
    <row r="41" customFormat="false" ht="15" hidden="false" customHeight="false" outlineLevel="0" collapsed="false">
      <c r="A41" s="4" t="s">
        <v>390</v>
      </c>
      <c r="B41" s="8"/>
      <c r="C41" s="8"/>
      <c r="D41" s="8"/>
      <c r="E41" s="8"/>
      <c r="F41" s="10" t="n">
        <v>0</v>
      </c>
      <c r="G41" s="10" t="n">
        <v>0</v>
      </c>
      <c r="H41" s="10" t="n">
        <v>0</v>
      </c>
      <c r="I41" s="10" t="n">
        <v>0</v>
      </c>
      <c r="J41" s="10" t="n">
        <v>0</v>
      </c>
      <c r="K41" s="8"/>
      <c r="L41" s="8"/>
      <c r="M41" s="8"/>
      <c r="N41" s="8"/>
      <c r="O41" s="8" t="s">
        <v>355</v>
      </c>
      <c r="P41" s="8"/>
    </row>
    <row r="42" customFormat="false" ht="15" hidden="false" customHeight="false" outlineLevel="0" collapsed="false">
      <c r="A42" s="4" t="s">
        <v>391</v>
      </c>
      <c r="B42" s="8"/>
      <c r="C42" s="8"/>
      <c r="D42" s="8"/>
      <c r="E42" s="8"/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8"/>
      <c r="L42" s="8"/>
      <c r="M42" s="8"/>
      <c r="N42" s="8"/>
      <c r="O42" s="8" t="s">
        <v>355</v>
      </c>
      <c r="P42" s="8"/>
    </row>
    <row r="43" customFormat="false" ht="15" hidden="false" customHeight="false" outlineLevel="0" collapsed="false">
      <c r="A43" s="4" t="s">
        <v>392</v>
      </c>
      <c r="B43" s="8"/>
      <c r="C43" s="8"/>
      <c r="D43" s="8"/>
      <c r="E43" s="8"/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0</v>
      </c>
      <c r="K43" s="8"/>
      <c r="L43" s="8"/>
      <c r="M43" s="8"/>
      <c r="N43" s="8"/>
      <c r="O43" s="8" t="s">
        <v>355</v>
      </c>
      <c r="P43" s="8"/>
    </row>
    <row r="44" customFormat="false" ht="15" hidden="false" customHeight="false" outlineLevel="0" collapsed="false">
      <c r="A44" s="4" t="s">
        <v>393</v>
      </c>
      <c r="B44" s="8"/>
      <c r="C44" s="8"/>
      <c r="D44" s="8"/>
      <c r="E44" s="8"/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8"/>
      <c r="L44" s="8"/>
      <c r="M44" s="8"/>
      <c r="N44" s="8"/>
      <c r="O44" s="8" t="s">
        <v>355</v>
      </c>
      <c r="P44" s="8"/>
    </row>
    <row r="45" customFormat="false" ht="15" hidden="false" customHeight="false" outlineLevel="0" collapsed="false">
      <c r="A45" s="4" t="s">
        <v>394</v>
      </c>
      <c r="B45" s="8"/>
      <c r="C45" s="8"/>
      <c r="D45" s="8"/>
      <c r="E45" s="8"/>
      <c r="F45" s="10" t="n">
        <v>0</v>
      </c>
      <c r="G45" s="10" t="n">
        <v>0</v>
      </c>
      <c r="H45" s="10" t="n">
        <v>0</v>
      </c>
      <c r="I45" s="10" t="n">
        <v>0</v>
      </c>
      <c r="J45" s="10" t="n">
        <v>0</v>
      </c>
      <c r="K45" s="8"/>
      <c r="L45" s="8"/>
      <c r="M45" s="8"/>
      <c r="N45" s="8"/>
      <c r="O45" s="8" t="s">
        <v>355</v>
      </c>
      <c r="P45" s="8"/>
    </row>
  </sheetData>
  <mergeCells count="2">
    <mergeCell ref="A1:P1"/>
    <mergeCell ref="A2:P2"/>
  </mergeCells>
  <conditionalFormatting sqref="O6:O45">
    <cfRule type="containsText" priority="2" operator="containsText" aboveAverage="0" equalAverage="0" bottom="0" percent="0" rank="0" text="已完成" dxfId="4">
      <formula>NOT(ISERROR(SEARCH("已完成",O6)))</formula>
    </cfRule>
    <cfRule type="containsText" priority="3" operator="containsText" aboveAverage="0" equalAverage="0" bottom="0" percent="0" rank="0" text="高" dxfId="5">
      <formula>NOT(ISERROR(SEARCH("高",O6)))</formula>
    </cfRule>
  </conditionalFormatting>
  <dataValidations count="1">
    <dataValidation allowBlank="false" errorStyle="stop" operator="between" showDropDown="false" showErrorMessage="false" showInputMessage="false" sqref="O6:O45" type="list">
      <formula1>"待判断,待补资料,已复核,已入账"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38"/>
    <col collapsed="false" customWidth="true" hidden="false" outlineLevel="0" max="9" min="9" style="0" width="34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40"/>
  </cols>
  <sheetData>
    <row r="1" customFormat="false" ht="30" hidden="false" customHeight="true" outlineLevel="0" collapsed="false">
      <c r="A1" s="1" t="s">
        <v>395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396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397</v>
      </c>
      <c r="B5" s="3" t="s">
        <v>398</v>
      </c>
      <c r="C5" s="3" t="s">
        <v>319</v>
      </c>
      <c r="D5" s="3" t="s">
        <v>399</v>
      </c>
      <c r="E5" s="3" t="s">
        <v>400</v>
      </c>
      <c r="F5" s="3" t="s">
        <v>401</v>
      </c>
      <c r="G5" s="3" t="s">
        <v>402</v>
      </c>
      <c r="H5" s="3" t="s">
        <v>403</v>
      </c>
      <c r="I5" s="3" t="s">
        <v>404</v>
      </c>
      <c r="J5" s="3" t="s">
        <v>405</v>
      </c>
      <c r="K5" s="3" t="s">
        <v>120</v>
      </c>
      <c r="L5" s="3" t="s">
        <v>406</v>
      </c>
      <c r="M5" s="3" t="s">
        <v>407</v>
      </c>
    </row>
    <row r="6" customFormat="false" ht="15" hidden="false" customHeight="false" outlineLevel="0" collapsed="false">
      <c r="A6" s="4" t="s">
        <v>408</v>
      </c>
      <c r="B6" s="4" t="s">
        <v>297</v>
      </c>
      <c r="C6" s="4" t="s">
        <v>409</v>
      </c>
      <c r="D6" s="4" t="s">
        <v>410</v>
      </c>
      <c r="E6" s="5" t="n">
        <v>6000000</v>
      </c>
      <c r="F6" s="7" t="n">
        <v>46068</v>
      </c>
      <c r="G6" s="7" t="n">
        <v>46082</v>
      </c>
      <c r="H6" s="8" t="s">
        <v>411</v>
      </c>
      <c r="I6" s="8" t="s">
        <v>412</v>
      </c>
      <c r="J6" s="8" t="s">
        <v>132</v>
      </c>
      <c r="K6" s="8" t="s">
        <v>413</v>
      </c>
      <c r="L6" s="8"/>
      <c r="M6" s="8"/>
    </row>
    <row r="7" customFormat="false" ht="15" hidden="false" customHeight="false" outlineLevel="0" collapsed="false">
      <c r="A7" s="4" t="s">
        <v>414</v>
      </c>
      <c r="B7" s="4"/>
      <c r="C7" s="4"/>
      <c r="D7" s="4"/>
      <c r="E7" s="5" t="n">
        <v>0</v>
      </c>
      <c r="F7" s="7"/>
      <c r="G7" s="7"/>
      <c r="H7" s="8"/>
      <c r="I7" s="8"/>
      <c r="J7" s="8"/>
      <c r="K7" s="8"/>
      <c r="L7" s="8"/>
      <c r="M7" s="8"/>
    </row>
    <row r="8" customFormat="false" ht="15" hidden="false" customHeight="false" outlineLevel="0" collapsed="false">
      <c r="A8" s="4" t="s">
        <v>415</v>
      </c>
      <c r="B8" s="4"/>
      <c r="C8" s="4"/>
      <c r="D8" s="4"/>
      <c r="E8" s="5" t="n">
        <v>0</v>
      </c>
      <c r="F8" s="7"/>
      <c r="G8" s="7"/>
      <c r="H8" s="8"/>
      <c r="I8" s="8"/>
      <c r="J8" s="8"/>
      <c r="K8" s="8"/>
      <c r="L8" s="8"/>
      <c r="M8" s="8"/>
    </row>
    <row r="9" customFormat="false" ht="15" hidden="false" customHeight="false" outlineLevel="0" collapsed="false">
      <c r="A9" s="4" t="s">
        <v>416</v>
      </c>
      <c r="B9" s="4"/>
      <c r="C9" s="4"/>
      <c r="D9" s="4"/>
      <c r="E9" s="5" t="n">
        <v>0</v>
      </c>
      <c r="F9" s="7"/>
      <c r="G9" s="7"/>
      <c r="H9" s="8"/>
      <c r="I9" s="8"/>
      <c r="J9" s="8"/>
      <c r="K9" s="8"/>
      <c r="L9" s="8"/>
      <c r="M9" s="8"/>
    </row>
    <row r="10" customFormat="false" ht="15" hidden="false" customHeight="false" outlineLevel="0" collapsed="false">
      <c r="A10" s="4" t="s">
        <v>417</v>
      </c>
      <c r="B10" s="4"/>
      <c r="C10" s="4"/>
      <c r="D10" s="4"/>
      <c r="E10" s="5" t="n">
        <v>0</v>
      </c>
      <c r="F10" s="7"/>
      <c r="G10" s="7"/>
      <c r="H10" s="8"/>
      <c r="I10" s="8"/>
      <c r="J10" s="8"/>
      <c r="K10" s="8"/>
      <c r="L10" s="8"/>
      <c r="M10" s="8"/>
    </row>
    <row r="11" customFormat="false" ht="15" hidden="false" customHeight="false" outlineLevel="0" collapsed="false">
      <c r="A11" s="4" t="s">
        <v>418</v>
      </c>
      <c r="B11" s="4"/>
      <c r="C11" s="4"/>
      <c r="D11" s="4"/>
      <c r="E11" s="5" t="n">
        <v>0</v>
      </c>
      <c r="F11" s="7"/>
      <c r="G11" s="7"/>
      <c r="H11" s="8"/>
      <c r="I11" s="8"/>
      <c r="J11" s="8"/>
      <c r="K11" s="8"/>
      <c r="L11" s="8"/>
      <c r="M11" s="8"/>
    </row>
    <row r="12" customFormat="false" ht="15" hidden="false" customHeight="false" outlineLevel="0" collapsed="false">
      <c r="A12" s="4" t="s">
        <v>419</v>
      </c>
      <c r="B12" s="4"/>
      <c r="C12" s="4"/>
      <c r="D12" s="4"/>
      <c r="E12" s="5" t="n">
        <v>0</v>
      </c>
      <c r="F12" s="7"/>
      <c r="G12" s="7"/>
      <c r="H12" s="8"/>
      <c r="I12" s="8"/>
      <c r="J12" s="8"/>
      <c r="K12" s="8"/>
      <c r="L12" s="8"/>
      <c r="M12" s="8"/>
    </row>
    <row r="13" customFormat="false" ht="15" hidden="false" customHeight="false" outlineLevel="0" collapsed="false">
      <c r="A13" s="4" t="s">
        <v>420</v>
      </c>
      <c r="B13" s="4"/>
      <c r="C13" s="4"/>
      <c r="D13" s="4"/>
      <c r="E13" s="5" t="n">
        <v>0</v>
      </c>
      <c r="F13" s="7"/>
      <c r="G13" s="7"/>
      <c r="H13" s="8"/>
      <c r="I13" s="8"/>
      <c r="J13" s="8"/>
      <c r="K13" s="8"/>
      <c r="L13" s="8"/>
      <c r="M13" s="8"/>
    </row>
    <row r="14" customFormat="false" ht="15" hidden="false" customHeight="false" outlineLevel="0" collapsed="false">
      <c r="A14" s="4" t="s">
        <v>421</v>
      </c>
      <c r="B14" s="4"/>
      <c r="C14" s="4"/>
      <c r="D14" s="4"/>
      <c r="E14" s="5" t="n">
        <v>0</v>
      </c>
      <c r="F14" s="7"/>
      <c r="G14" s="7"/>
      <c r="H14" s="8"/>
      <c r="I14" s="8"/>
      <c r="J14" s="8"/>
      <c r="K14" s="8"/>
      <c r="L14" s="8"/>
      <c r="M14" s="8"/>
    </row>
    <row r="15" customFormat="false" ht="15" hidden="false" customHeight="false" outlineLevel="0" collapsed="false">
      <c r="A15" s="4" t="s">
        <v>422</v>
      </c>
      <c r="B15" s="4"/>
      <c r="C15" s="4"/>
      <c r="D15" s="4"/>
      <c r="E15" s="5" t="n">
        <v>0</v>
      </c>
      <c r="F15" s="7"/>
      <c r="G15" s="7"/>
      <c r="H15" s="8"/>
      <c r="I15" s="8"/>
      <c r="J15" s="8"/>
      <c r="K15" s="8"/>
      <c r="L15" s="8"/>
      <c r="M15" s="8"/>
    </row>
    <row r="16" customFormat="false" ht="15" hidden="false" customHeight="false" outlineLevel="0" collapsed="false">
      <c r="A16" s="4" t="s">
        <v>423</v>
      </c>
      <c r="B16" s="4"/>
      <c r="C16" s="4"/>
      <c r="D16" s="4"/>
      <c r="E16" s="5" t="n">
        <v>0</v>
      </c>
      <c r="F16" s="7"/>
      <c r="G16" s="7"/>
      <c r="H16" s="8"/>
      <c r="I16" s="8"/>
      <c r="J16" s="8"/>
      <c r="K16" s="8"/>
      <c r="L16" s="8"/>
      <c r="M16" s="8"/>
    </row>
    <row r="17" customFormat="false" ht="15" hidden="false" customHeight="false" outlineLevel="0" collapsed="false">
      <c r="A17" s="4" t="s">
        <v>424</v>
      </c>
      <c r="B17" s="4"/>
      <c r="C17" s="4"/>
      <c r="D17" s="4"/>
      <c r="E17" s="5" t="n">
        <v>0</v>
      </c>
      <c r="F17" s="7"/>
      <c r="G17" s="7"/>
      <c r="H17" s="8"/>
      <c r="I17" s="8"/>
      <c r="J17" s="8"/>
      <c r="K17" s="8"/>
      <c r="L17" s="8"/>
      <c r="M17" s="8"/>
    </row>
    <row r="18" customFormat="false" ht="15" hidden="false" customHeight="false" outlineLevel="0" collapsed="false">
      <c r="A18" s="4" t="s">
        <v>425</v>
      </c>
      <c r="B18" s="4"/>
      <c r="C18" s="4"/>
      <c r="D18" s="4"/>
      <c r="E18" s="5" t="n">
        <v>0</v>
      </c>
      <c r="F18" s="7"/>
      <c r="G18" s="7"/>
      <c r="H18" s="8"/>
      <c r="I18" s="8"/>
      <c r="J18" s="8"/>
      <c r="K18" s="8"/>
      <c r="L18" s="8"/>
      <c r="M18" s="8"/>
    </row>
    <row r="19" customFormat="false" ht="15" hidden="false" customHeight="false" outlineLevel="0" collapsed="false">
      <c r="A19" s="4" t="s">
        <v>426</v>
      </c>
      <c r="B19" s="4"/>
      <c r="C19" s="4"/>
      <c r="D19" s="4"/>
      <c r="E19" s="5" t="n">
        <v>0</v>
      </c>
      <c r="F19" s="7"/>
      <c r="G19" s="7"/>
      <c r="H19" s="8"/>
      <c r="I19" s="8"/>
      <c r="J19" s="8"/>
      <c r="K19" s="8"/>
      <c r="L19" s="8"/>
      <c r="M19" s="8"/>
    </row>
    <row r="20" customFormat="false" ht="15" hidden="false" customHeight="false" outlineLevel="0" collapsed="false">
      <c r="A20" s="4" t="s">
        <v>427</v>
      </c>
      <c r="B20" s="4"/>
      <c r="C20" s="4"/>
      <c r="D20" s="4"/>
      <c r="E20" s="5" t="n">
        <v>0</v>
      </c>
      <c r="F20" s="7"/>
      <c r="G20" s="7"/>
      <c r="H20" s="8"/>
      <c r="I20" s="8"/>
      <c r="J20" s="8"/>
      <c r="K20" s="8"/>
      <c r="L20" s="8"/>
      <c r="M20" s="8"/>
    </row>
    <row r="21" customFormat="false" ht="15" hidden="false" customHeight="false" outlineLevel="0" collapsed="false">
      <c r="A21" s="4" t="s">
        <v>428</v>
      </c>
      <c r="B21" s="4"/>
      <c r="C21" s="4"/>
      <c r="D21" s="4"/>
      <c r="E21" s="5" t="n">
        <v>0</v>
      </c>
      <c r="F21" s="7"/>
      <c r="G21" s="7"/>
      <c r="H21" s="8"/>
      <c r="I21" s="8"/>
      <c r="J21" s="8"/>
      <c r="K21" s="8"/>
      <c r="L21" s="8"/>
      <c r="M21" s="8"/>
    </row>
    <row r="22" customFormat="false" ht="15" hidden="false" customHeight="false" outlineLevel="0" collapsed="false">
      <c r="A22" s="4" t="s">
        <v>429</v>
      </c>
      <c r="B22" s="4"/>
      <c r="C22" s="4"/>
      <c r="D22" s="4"/>
      <c r="E22" s="5" t="n">
        <v>0</v>
      </c>
      <c r="F22" s="7"/>
      <c r="G22" s="7"/>
      <c r="H22" s="8"/>
      <c r="I22" s="8"/>
      <c r="J22" s="8"/>
      <c r="K22" s="8"/>
      <c r="L22" s="8"/>
      <c r="M22" s="8"/>
    </row>
    <row r="23" customFormat="false" ht="15" hidden="false" customHeight="false" outlineLevel="0" collapsed="false">
      <c r="A23" s="4" t="s">
        <v>430</v>
      </c>
      <c r="B23" s="4"/>
      <c r="C23" s="4"/>
      <c r="D23" s="4"/>
      <c r="E23" s="5" t="n">
        <v>0</v>
      </c>
      <c r="F23" s="7"/>
      <c r="G23" s="7"/>
      <c r="H23" s="8"/>
      <c r="I23" s="8"/>
      <c r="J23" s="8"/>
      <c r="K23" s="8"/>
      <c r="L23" s="8"/>
      <c r="M23" s="8"/>
    </row>
    <row r="24" customFormat="false" ht="15" hidden="false" customHeight="false" outlineLevel="0" collapsed="false">
      <c r="A24" s="4" t="s">
        <v>431</v>
      </c>
      <c r="B24" s="4"/>
      <c r="C24" s="4"/>
      <c r="D24" s="4"/>
      <c r="E24" s="5" t="n">
        <v>0</v>
      </c>
      <c r="F24" s="7"/>
      <c r="G24" s="7"/>
      <c r="H24" s="8"/>
      <c r="I24" s="8"/>
      <c r="J24" s="8"/>
      <c r="K24" s="8"/>
      <c r="L24" s="8"/>
      <c r="M24" s="8"/>
    </row>
    <row r="25" customFormat="false" ht="15" hidden="false" customHeight="false" outlineLevel="0" collapsed="false">
      <c r="A25" s="4" t="s">
        <v>432</v>
      </c>
      <c r="B25" s="4"/>
      <c r="C25" s="4"/>
      <c r="D25" s="4"/>
      <c r="E25" s="5" t="n">
        <v>0</v>
      </c>
      <c r="F25" s="7"/>
      <c r="G25" s="7"/>
      <c r="H25" s="8"/>
      <c r="I25" s="8"/>
      <c r="J25" s="8"/>
      <c r="K25" s="8"/>
      <c r="L25" s="8"/>
      <c r="M25" s="8"/>
    </row>
    <row r="26" customFormat="false" ht="15" hidden="false" customHeight="false" outlineLevel="0" collapsed="false">
      <c r="A26" s="4" t="s">
        <v>433</v>
      </c>
      <c r="B26" s="4"/>
      <c r="C26" s="4"/>
      <c r="D26" s="4"/>
      <c r="E26" s="5" t="n">
        <v>0</v>
      </c>
      <c r="F26" s="7"/>
      <c r="G26" s="7"/>
      <c r="H26" s="8"/>
      <c r="I26" s="8"/>
      <c r="J26" s="8"/>
      <c r="K26" s="8"/>
      <c r="L26" s="8"/>
      <c r="M26" s="8"/>
    </row>
    <row r="27" customFormat="false" ht="15" hidden="false" customHeight="false" outlineLevel="0" collapsed="false">
      <c r="A27" s="4" t="s">
        <v>434</v>
      </c>
      <c r="B27" s="4"/>
      <c r="C27" s="4"/>
      <c r="D27" s="4"/>
      <c r="E27" s="5" t="n">
        <v>0</v>
      </c>
      <c r="F27" s="7"/>
      <c r="G27" s="7"/>
      <c r="H27" s="8"/>
      <c r="I27" s="8"/>
      <c r="J27" s="8"/>
      <c r="K27" s="8"/>
      <c r="L27" s="8"/>
      <c r="M27" s="8"/>
    </row>
    <row r="28" customFormat="false" ht="15" hidden="false" customHeight="false" outlineLevel="0" collapsed="false">
      <c r="A28" s="4" t="s">
        <v>435</v>
      </c>
      <c r="B28" s="4"/>
      <c r="C28" s="4"/>
      <c r="D28" s="4"/>
      <c r="E28" s="5" t="n">
        <v>0</v>
      </c>
      <c r="F28" s="7"/>
      <c r="G28" s="7"/>
      <c r="H28" s="8"/>
      <c r="I28" s="8"/>
      <c r="J28" s="8"/>
      <c r="K28" s="8"/>
      <c r="L28" s="8"/>
      <c r="M28" s="8"/>
    </row>
    <row r="29" customFormat="false" ht="15" hidden="false" customHeight="false" outlineLevel="0" collapsed="false">
      <c r="A29" s="4" t="s">
        <v>436</v>
      </c>
      <c r="B29" s="4"/>
      <c r="C29" s="4"/>
      <c r="D29" s="4"/>
      <c r="E29" s="5" t="n">
        <v>0</v>
      </c>
      <c r="F29" s="7"/>
      <c r="G29" s="7"/>
      <c r="H29" s="8"/>
      <c r="I29" s="8"/>
      <c r="J29" s="8"/>
      <c r="K29" s="8"/>
      <c r="L29" s="8"/>
      <c r="M29" s="8"/>
    </row>
    <row r="30" customFormat="false" ht="15" hidden="false" customHeight="false" outlineLevel="0" collapsed="false">
      <c r="A30" s="4" t="s">
        <v>437</v>
      </c>
      <c r="B30" s="4"/>
      <c r="C30" s="4"/>
      <c r="D30" s="4"/>
      <c r="E30" s="5" t="n">
        <v>0</v>
      </c>
      <c r="F30" s="7"/>
      <c r="G30" s="7"/>
      <c r="H30" s="8"/>
      <c r="I30" s="8"/>
      <c r="J30" s="8"/>
      <c r="K30" s="8"/>
      <c r="L30" s="8"/>
      <c r="M30" s="8"/>
    </row>
    <row r="31" customFormat="false" ht="15" hidden="false" customHeight="false" outlineLevel="0" collapsed="false">
      <c r="A31" s="4" t="s">
        <v>438</v>
      </c>
      <c r="B31" s="4"/>
      <c r="C31" s="4"/>
      <c r="D31" s="4"/>
      <c r="E31" s="5" t="n">
        <v>0</v>
      </c>
      <c r="F31" s="7"/>
      <c r="G31" s="7"/>
      <c r="H31" s="8"/>
      <c r="I31" s="8"/>
      <c r="J31" s="8"/>
      <c r="K31" s="8"/>
      <c r="L31" s="8"/>
      <c r="M31" s="8"/>
    </row>
    <row r="32" customFormat="false" ht="15" hidden="false" customHeight="false" outlineLevel="0" collapsed="false">
      <c r="A32" s="4" t="s">
        <v>439</v>
      </c>
      <c r="B32" s="4"/>
      <c r="C32" s="4"/>
      <c r="D32" s="4"/>
      <c r="E32" s="5" t="n">
        <v>0</v>
      </c>
      <c r="F32" s="7"/>
      <c r="G32" s="7"/>
      <c r="H32" s="8"/>
      <c r="I32" s="8"/>
      <c r="J32" s="8"/>
      <c r="K32" s="8"/>
      <c r="L32" s="8"/>
      <c r="M32" s="8"/>
    </row>
    <row r="33" customFormat="false" ht="15" hidden="false" customHeight="false" outlineLevel="0" collapsed="false">
      <c r="A33" s="4" t="s">
        <v>440</v>
      </c>
      <c r="B33" s="4"/>
      <c r="C33" s="4"/>
      <c r="D33" s="4"/>
      <c r="E33" s="5" t="n">
        <v>0</v>
      </c>
      <c r="F33" s="7"/>
      <c r="G33" s="7"/>
      <c r="H33" s="8"/>
      <c r="I33" s="8"/>
      <c r="J33" s="8"/>
      <c r="K33" s="8"/>
      <c r="L33" s="8"/>
      <c r="M33" s="8"/>
    </row>
    <row r="34" customFormat="false" ht="15" hidden="false" customHeight="false" outlineLevel="0" collapsed="false">
      <c r="A34" s="4" t="s">
        <v>441</v>
      </c>
      <c r="B34" s="4"/>
      <c r="C34" s="4"/>
      <c r="D34" s="4"/>
      <c r="E34" s="5" t="n">
        <v>0</v>
      </c>
      <c r="F34" s="7"/>
      <c r="G34" s="7"/>
      <c r="H34" s="8"/>
      <c r="I34" s="8"/>
      <c r="J34" s="8"/>
      <c r="K34" s="8"/>
      <c r="L34" s="8"/>
      <c r="M34" s="8"/>
    </row>
    <row r="35" customFormat="false" ht="15" hidden="false" customHeight="false" outlineLevel="0" collapsed="false">
      <c r="A35" s="4" t="s">
        <v>442</v>
      </c>
      <c r="B35" s="4"/>
      <c r="C35" s="4"/>
      <c r="D35" s="4"/>
      <c r="E35" s="5" t="n">
        <v>0</v>
      </c>
      <c r="F35" s="7"/>
      <c r="G35" s="7"/>
      <c r="H35" s="8"/>
      <c r="I35" s="8"/>
      <c r="J35" s="8"/>
      <c r="K35" s="8"/>
      <c r="L35" s="8"/>
      <c r="M35" s="8"/>
    </row>
    <row r="36" customFormat="false" ht="15" hidden="false" customHeight="false" outlineLevel="0" collapsed="false">
      <c r="A36" s="4" t="s">
        <v>443</v>
      </c>
      <c r="B36" s="4"/>
      <c r="C36" s="4"/>
      <c r="D36" s="4"/>
      <c r="E36" s="5" t="n">
        <v>0</v>
      </c>
      <c r="F36" s="7"/>
      <c r="G36" s="7"/>
      <c r="H36" s="8"/>
      <c r="I36" s="8"/>
      <c r="J36" s="8"/>
      <c r="K36" s="8"/>
      <c r="L36" s="8"/>
      <c r="M36" s="8"/>
    </row>
    <row r="37" customFormat="false" ht="15" hidden="false" customHeight="false" outlineLevel="0" collapsed="false">
      <c r="A37" s="4" t="s">
        <v>444</v>
      </c>
      <c r="B37" s="4"/>
      <c r="C37" s="4"/>
      <c r="D37" s="4"/>
      <c r="E37" s="5" t="n">
        <v>0</v>
      </c>
      <c r="F37" s="7"/>
      <c r="G37" s="7"/>
      <c r="H37" s="8"/>
      <c r="I37" s="8"/>
      <c r="J37" s="8"/>
      <c r="K37" s="8"/>
      <c r="L37" s="8"/>
      <c r="M37" s="8"/>
    </row>
    <row r="38" customFormat="false" ht="15" hidden="false" customHeight="false" outlineLevel="0" collapsed="false">
      <c r="A38" s="4" t="s">
        <v>445</v>
      </c>
      <c r="B38" s="4"/>
      <c r="C38" s="4"/>
      <c r="D38" s="4"/>
      <c r="E38" s="5" t="n">
        <v>0</v>
      </c>
      <c r="F38" s="7"/>
      <c r="G38" s="7"/>
      <c r="H38" s="8"/>
      <c r="I38" s="8"/>
      <c r="J38" s="8"/>
      <c r="K38" s="8"/>
      <c r="L38" s="8"/>
      <c r="M38" s="8"/>
    </row>
    <row r="39" customFormat="false" ht="15" hidden="false" customHeight="false" outlineLevel="0" collapsed="false">
      <c r="A39" s="4" t="s">
        <v>446</v>
      </c>
      <c r="B39" s="4"/>
      <c r="C39" s="4"/>
      <c r="D39" s="4"/>
      <c r="E39" s="5" t="n">
        <v>0</v>
      </c>
      <c r="F39" s="7"/>
      <c r="G39" s="7"/>
      <c r="H39" s="8"/>
      <c r="I39" s="8"/>
      <c r="J39" s="8"/>
      <c r="K39" s="8"/>
      <c r="L39" s="8"/>
      <c r="M39" s="8"/>
    </row>
    <row r="40" customFormat="false" ht="15" hidden="false" customHeight="false" outlineLevel="0" collapsed="false">
      <c r="A40" s="4" t="s">
        <v>447</v>
      </c>
      <c r="B40" s="4"/>
      <c r="C40" s="4"/>
      <c r="D40" s="4"/>
      <c r="E40" s="5" t="n">
        <v>0</v>
      </c>
      <c r="F40" s="7"/>
      <c r="G40" s="7"/>
      <c r="H40" s="8"/>
      <c r="I40" s="8"/>
      <c r="J40" s="8"/>
      <c r="K40" s="8"/>
      <c r="L40" s="8"/>
      <c r="M40" s="8"/>
    </row>
    <row r="41" customFormat="false" ht="15" hidden="false" customHeight="false" outlineLevel="0" collapsed="false">
      <c r="A41" s="4" t="s">
        <v>448</v>
      </c>
      <c r="B41" s="4"/>
      <c r="C41" s="4"/>
      <c r="D41" s="4"/>
      <c r="E41" s="5" t="n">
        <v>0</v>
      </c>
      <c r="F41" s="7"/>
      <c r="G41" s="7"/>
      <c r="H41" s="8"/>
      <c r="I41" s="8"/>
      <c r="J41" s="8"/>
      <c r="K41" s="8"/>
      <c r="L41" s="8"/>
      <c r="M41" s="8"/>
    </row>
    <row r="42" customFormat="false" ht="15" hidden="false" customHeight="false" outlineLevel="0" collapsed="false">
      <c r="A42" s="4" t="s">
        <v>449</v>
      </c>
      <c r="B42" s="4"/>
      <c r="C42" s="4"/>
      <c r="D42" s="4"/>
      <c r="E42" s="5" t="n">
        <v>0</v>
      </c>
      <c r="F42" s="7"/>
      <c r="G42" s="7"/>
      <c r="H42" s="8"/>
      <c r="I42" s="8"/>
      <c r="J42" s="8"/>
      <c r="K42" s="8"/>
      <c r="L42" s="8"/>
      <c r="M42" s="8"/>
    </row>
    <row r="43" customFormat="false" ht="15" hidden="false" customHeight="false" outlineLevel="0" collapsed="false">
      <c r="A43" s="4" t="s">
        <v>450</v>
      </c>
      <c r="B43" s="4"/>
      <c r="C43" s="4"/>
      <c r="D43" s="4"/>
      <c r="E43" s="5" t="n">
        <v>0</v>
      </c>
      <c r="F43" s="7"/>
      <c r="G43" s="7"/>
      <c r="H43" s="8"/>
      <c r="I43" s="8"/>
      <c r="J43" s="8"/>
      <c r="K43" s="8"/>
      <c r="L43" s="8"/>
      <c r="M43" s="8"/>
    </row>
    <row r="44" customFormat="false" ht="15" hidden="false" customHeight="false" outlineLevel="0" collapsed="false">
      <c r="A44" s="4" t="s">
        <v>451</v>
      </c>
      <c r="B44" s="4"/>
      <c r="C44" s="4"/>
      <c r="D44" s="4"/>
      <c r="E44" s="5" t="n">
        <v>0</v>
      </c>
      <c r="F44" s="7"/>
      <c r="G44" s="7"/>
      <c r="H44" s="8"/>
      <c r="I44" s="8"/>
      <c r="J44" s="8"/>
      <c r="K44" s="8"/>
      <c r="L44" s="8"/>
      <c r="M44" s="8"/>
    </row>
    <row r="45" customFormat="false" ht="15" hidden="false" customHeight="false" outlineLevel="0" collapsed="false">
      <c r="A45" s="4" t="s">
        <v>452</v>
      </c>
      <c r="B45" s="4"/>
      <c r="C45" s="4"/>
      <c r="D45" s="4"/>
      <c r="E45" s="5" t="n">
        <v>0</v>
      </c>
      <c r="F45" s="7"/>
      <c r="G45" s="7"/>
      <c r="H45" s="8"/>
      <c r="I45" s="8"/>
      <c r="J45" s="8"/>
      <c r="K45" s="8"/>
      <c r="L45" s="8"/>
      <c r="M45" s="8"/>
    </row>
  </sheetData>
  <mergeCells count="2">
    <mergeCell ref="A1:M1"/>
    <mergeCell ref="A2:M2"/>
  </mergeCells>
  <dataValidations count="1">
    <dataValidation allowBlank="false" errorStyle="stop" operator="between" showDropDown="false" showErrorMessage="false" showInputMessage="false" sqref="K6:K45" type="list">
      <formula1>"建设中,试运行,应转固,已转固,停建"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6" min="4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44"/>
  </cols>
  <sheetData>
    <row r="1" customFormat="false" ht="30" hidden="false" customHeight="true" outlineLevel="0" collapsed="false">
      <c r="A1" s="1" t="s">
        <v>453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454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4" hidden="false" customHeight="true" outlineLevel="0" collapsed="false">
      <c r="A5" s="3" t="s">
        <v>455</v>
      </c>
      <c r="B5" s="3" t="s">
        <v>100</v>
      </c>
      <c r="C5" s="3" t="s">
        <v>456</v>
      </c>
      <c r="D5" s="3" t="s">
        <v>108</v>
      </c>
      <c r="E5" s="3" t="s">
        <v>9</v>
      </c>
      <c r="F5" s="3" t="s">
        <v>317</v>
      </c>
      <c r="G5" s="3" t="s">
        <v>315</v>
      </c>
      <c r="H5" s="3" t="s">
        <v>114</v>
      </c>
      <c r="I5" s="3" t="s">
        <v>115</v>
      </c>
      <c r="J5" s="3" t="s">
        <v>119</v>
      </c>
      <c r="K5" s="3" t="s">
        <v>457</v>
      </c>
      <c r="L5" s="3" t="s">
        <v>458</v>
      </c>
    </row>
    <row r="6" customFormat="false" ht="15" hidden="false" customHeight="false" outlineLevel="0" collapsed="false">
      <c r="A6" s="4" t="s">
        <v>459</v>
      </c>
      <c r="B6" s="4" t="s">
        <v>123</v>
      </c>
      <c r="C6" s="4" t="s">
        <v>124</v>
      </c>
      <c r="D6" s="5" t="n">
        <v>5000000</v>
      </c>
      <c r="E6" s="5" t="n">
        <v>1583333</v>
      </c>
      <c r="F6" s="5" t="n">
        <v>3416667</v>
      </c>
      <c r="G6" s="4" t="s">
        <v>131</v>
      </c>
      <c r="H6" s="4" t="n">
        <v>10</v>
      </c>
      <c r="I6" s="6" t="n">
        <v>0.05</v>
      </c>
      <c r="J6" s="4" t="s">
        <v>135</v>
      </c>
      <c r="K6" s="8" t="s">
        <v>460</v>
      </c>
      <c r="L6" s="8"/>
    </row>
    <row r="7" customFormat="false" ht="15" hidden="false" customHeight="false" outlineLevel="0" collapsed="false">
      <c r="A7" s="4" t="s">
        <v>461</v>
      </c>
      <c r="B7" s="4" t="s">
        <v>138</v>
      </c>
      <c r="C7" s="4" t="s">
        <v>139</v>
      </c>
      <c r="D7" s="5" t="n">
        <v>3200000</v>
      </c>
      <c r="E7" s="5" t="n">
        <v>1669333</v>
      </c>
      <c r="F7" s="5" t="n">
        <v>1530667</v>
      </c>
      <c r="G7" s="4" t="s">
        <v>131</v>
      </c>
      <c r="H7" s="4" t="n">
        <v>10</v>
      </c>
      <c r="I7" s="6" t="n">
        <v>0.05</v>
      </c>
      <c r="J7" s="4" t="s">
        <v>148</v>
      </c>
      <c r="K7" s="8" t="s">
        <v>460</v>
      </c>
      <c r="L7" s="8"/>
    </row>
    <row r="8" customFormat="false" ht="15" hidden="false" customHeight="false" outlineLevel="0" collapsed="false">
      <c r="A8" s="4" t="s">
        <v>462</v>
      </c>
      <c r="B8" s="4" t="s">
        <v>151</v>
      </c>
      <c r="C8" s="4" t="s">
        <v>152</v>
      </c>
      <c r="D8" s="5" t="n">
        <v>1800000</v>
      </c>
      <c r="E8" s="5" t="n">
        <v>427500</v>
      </c>
      <c r="F8" s="5" t="n">
        <v>1372500</v>
      </c>
      <c r="G8" s="4" t="s">
        <v>131</v>
      </c>
      <c r="H8" s="4" t="n">
        <v>10</v>
      </c>
      <c r="I8" s="6" t="n">
        <v>0.05</v>
      </c>
      <c r="J8" s="4" t="s">
        <v>161</v>
      </c>
      <c r="K8" s="8" t="s">
        <v>460</v>
      </c>
      <c r="L8" s="8"/>
    </row>
    <row r="9" customFormat="false" ht="15" hidden="false" customHeight="false" outlineLevel="0" collapsed="false">
      <c r="A9" s="4" t="s">
        <v>463</v>
      </c>
      <c r="B9" s="4" t="s">
        <v>163</v>
      </c>
      <c r="C9" s="4" t="s">
        <v>164</v>
      </c>
      <c r="D9" s="5" t="n">
        <v>900000</v>
      </c>
      <c r="E9" s="5" t="n">
        <v>384750</v>
      </c>
      <c r="F9" s="5" t="n">
        <v>515250</v>
      </c>
      <c r="G9" s="4" t="s">
        <v>131</v>
      </c>
      <c r="H9" s="4" t="n">
        <v>5</v>
      </c>
      <c r="I9" s="6" t="n">
        <v>0.05</v>
      </c>
      <c r="J9" s="4" t="s">
        <v>174</v>
      </c>
      <c r="K9" s="8" t="s">
        <v>460</v>
      </c>
      <c r="L9" s="8"/>
    </row>
    <row r="10" customFormat="false" ht="15" hidden="false" customHeight="false" outlineLevel="0" collapsed="false">
      <c r="A10" s="4" t="s">
        <v>464</v>
      </c>
      <c r="B10" s="4" t="s">
        <v>176</v>
      </c>
      <c r="C10" s="4" t="s">
        <v>177</v>
      </c>
      <c r="D10" s="5" t="n">
        <v>480000</v>
      </c>
      <c r="E10" s="5" t="n">
        <v>456000</v>
      </c>
      <c r="F10" s="5" t="n">
        <v>24000</v>
      </c>
      <c r="G10" s="4" t="s">
        <v>131</v>
      </c>
      <c r="H10" s="4" t="n">
        <v>4</v>
      </c>
      <c r="I10" s="6" t="n">
        <v>0.05</v>
      </c>
      <c r="J10" s="4" t="s">
        <v>187</v>
      </c>
      <c r="K10" s="8" t="s">
        <v>460</v>
      </c>
      <c r="L10" s="8"/>
    </row>
    <row r="11" customFormat="false" ht="15" hidden="false" customHeight="false" outlineLevel="0" collapsed="false">
      <c r="A11" s="4" t="s">
        <v>465</v>
      </c>
      <c r="B11" s="4" t="s">
        <v>189</v>
      </c>
      <c r="C11" s="4" t="s">
        <v>190</v>
      </c>
      <c r="D11" s="5" t="n">
        <v>600000</v>
      </c>
      <c r="E11" s="5" t="n">
        <v>427500</v>
      </c>
      <c r="F11" s="5" t="n">
        <v>172500</v>
      </c>
      <c r="G11" s="4" t="s">
        <v>197</v>
      </c>
      <c r="H11" s="4" t="n">
        <v>5</v>
      </c>
      <c r="I11" s="6" t="n">
        <v>0.05</v>
      </c>
      <c r="J11" s="4" t="s">
        <v>201</v>
      </c>
      <c r="K11" s="8" t="s">
        <v>460</v>
      </c>
      <c r="L11" s="8"/>
    </row>
    <row r="12" customFormat="false" ht="15" hidden="false" customHeight="false" outlineLevel="0" collapsed="false">
      <c r="A12" s="4" t="s">
        <v>466</v>
      </c>
      <c r="B12" s="4" t="s">
        <v>203</v>
      </c>
      <c r="C12" s="4" t="s">
        <v>204</v>
      </c>
      <c r="D12" s="5" t="n">
        <v>120000</v>
      </c>
      <c r="E12" s="5" t="n">
        <v>38000</v>
      </c>
      <c r="F12" s="5" t="n">
        <v>82000</v>
      </c>
      <c r="G12" s="4" t="s">
        <v>131</v>
      </c>
      <c r="H12" s="4" t="n">
        <v>3</v>
      </c>
      <c r="I12" s="6" t="n">
        <v>0.05</v>
      </c>
      <c r="J12" s="4" t="s">
        <v>213</v>
      </c>
      <c r="K12" s="8" t="s">
        <v>460</v>
      </c>
      <c r="L12" s="8"/>
    </row>
    <row r="13" customFormat="false" ht="15" hidden="false" customHeight="false" outlineLevel="0" collapsed="false">
      <c r="A13" s="4" t="s">
        <v>467</v>
      </c>
      <c r="B13" s="4" t="s">
        <v>216</v>
      </c>
      <c r="C13" s="4" t="s">
        <v>217</v>
      </c>
      <c r="D13" s="5" t="n">
        <v>300000</v>
      </c>
      <c r="E13" s="5" t="n">
        <v>285000</v>
      </c>
      <c r="F13" s="5" t="n">
        <v>15000</v>
      </c>
      <c r="G13" s="4" t="s">
        <v>131</v>
      </c>
      <c r="H13" s="4" t="n">
        <v>5</v>
      </c>
      <c r="I13" s="6" t="n">
        <v>0.05</v>
      </c>
      <c r="J13" s="4" t="s">
        <v>187</v>
      </c>
      <c r="K13" s="8" t="s">
        <v>460</v>
      </c>
      <c r="L13" s="8"/>
    </row>
    <row r="14" customFormat="false" ht="15" hidden="false" customHeight="false" outlineLevel="0" collapsed="false">
      <c r="A14" s="4" t="s">
        <v>468</v>
      </c>
      <c r="B14" s="4" t="s">
        <v>227</v>
      </c>
      <c r="C14" s="4" t="s">
        <v>228</v>
      </c>
      <c r="D14" s="5" t="n">
        <v>2400000</v>
      </c>
      <c r="E14" s="5" t="n">
        <v>2280000</v>
      </c>
      <c r="F14" s="5" t="n">
        <v>120000</v>
      </c>
      <c r="G14" s="4" t="s">
        <v>131</v>
      </c>
      <c r="H14" s="4" t="n">
        <v>10</v>
      </c>
      <c r="I14" s="6" t="n">
        <v>0.05</v>
      </c>
      <c r="J14" s="4" t="s">
        <v>237</v>
      </c>
      <c r="K14" s="8" t="s">
        <v>460</v>
      </c>
      <c r="L14" s="8"/>
    </row>
    <row r="15" customFormat="false" ht="15" hidden="false" customHeight="false" outlineLevel="0" collapsed="false">
      <c r="A15" s="4" t="s">
        <v>469</v>
      </c>
      <c r="B15" s="4" t="s">
        <v>239</v>
      </c>
      <c r="C15" s="4" t="s">
        <v>240</v>
      </c>
      <c r="D15" s="5" t="n">
        <v>180000</v>
      </c>
      <c r="E15" s="5" t="n">
        <v>102600</v>
      </c>
      <c r="F15" s="5" t="n">
        <v>77400</v>
      </c>
      <c r="G15" s="4" t="s">
        <v>131</v>
      </c>
      <c r="H15" s="4" t="n">
        <v>5</v>
      </c>
      <c r="I15" s="6" t="n">
        <v>0.05</v>
      </c>
      <c r="J15" s="4" t="s">
        <v>174</v>
      </c>
      <c r="K15" s="8" t="s">
        <v>460</v>
      </c>
      <c r="L15" s="8"/>
    </row>
    <row r="16" customFormat="false" ht="15" hidden="false" customHeight="false" outlineLevel="0" collapsed="false">
      <c r="A16" s="4" t="s">
        <v>470</v>
      </c>
      <c r="B16" s="4" t="s">
        <v>250</v>
      </c>
      <c r="C16" s="4" t="s">
        <v>251</v>
      </c>
      <c r="D16" s="5" t="n">
        <v>220000</v>
      </c>
      <c r="E16" s="5" t="n">
        <v>209000</v>
      </c>
      <c r="F16" s="5" t="n">
        <v>11000</v>
      </c>
      <c r="G16" s="4" t="s">
        <v>131</v>
      </c>
      <c r="H16" s="4" t="n">
        <v>5</v>
      </c>
      <c r="I16" s="6" t="n">
        <v>0.05</v>
      </c>
      <c r="J16" s="4" t="s">
        <v>261</v>
      </c>
      <c r="K16" s="8" t="s">
        <v>460</v>
      </c>
      <c r="L16" s="8"/>
    </row>
    <row r="17" customFormat="false" ht="15" hidden="false" customHeight="false" outlineLevel="0" collapsed="false">
      <c r="A17" s="4" t="s">
        <v>471</v>
      </c>
      <c r="B17" s="4" t="s">
        <v>263</v>
      </c>
      <c r="C17" s="4" t="s">
        <v>264</v>
      </c>
      <c r="D17" s="5" t="n">
        <v>360000</v>
      </c>
      <c r="E17" s="5" t="n">
        <v>85500</v>
      </c>
      <c r="F17" s="5" t="n">
        <v>274500</v>
      </c>
      <c r="G17" s="4" t="s">
        <v>131</v>
      </c>
      <c r="H17" s="4" t="n">
        <v>5</v>
      </c>
      <c r="I17" s="6" t="n">
        <v>0.05</v>
      </c>
      <c r="J17" s="4" t="s">
        <v>273</v>
      </c>
      <c r="K17" s="8" t="s">
        <v>460</v>
      </c>
      <c r="L17" s="8"/>
    </row>
    <row r="18" customFormat="false" ht="15" hidden="false" customHeight="false" outlineLevel="0" collapsed="false">
      <c r="A18" s="4" t="s">
        <v>472</v>
      </c>
      <c r="B18" s="4" t="s">
        <v>276</v>
      </c>
      <c r="C18" s="4" t="s">
        <v>277</v>
      </c>
      <c r="D18" s="5" t="n">
        <v>750000</v>
      </c>
      <c r="E18" s="5" t="n">
        <v>118750</v>
      </c>
      <c r="F18" s="5" t="n">
        <v>631250</v>
      </c>
      <c r="G18" s="4" t="s">
        <v>131</v>
      </c>
      <c r="H18" s="4" t="n">
        <v>10</v>
      </c>
      <c r="I18" s="6" t="n">
        <v>0.05</v>
      </c>
      <c r="J18" s="4" t="s">
        <v>135</v>
      </c>
      <c r="K18" s="8" t="s">
        <v>460</v>
      </c>
      <c r="L18" s="8"/>
    </row>
    <row r="19" customFormat="false" ht="15" hidden="false" customHeight="false" outlineLevel="0" collapsed="false">
      <c r="A19" s="4" t="s">
        <v>473</v>
      </c>
      <c r="B19" s="4" t="s">
        <v>288</v>
      </c>
      <c r="C19" s="4" t="s">
        <v>289</v>
      </c>
      <c r="D19" s="5" t="n">
        <v>1500000</v>
      </c>
      <c r="E19" s="5" t="n">
        <v>1100000</v>
      </c>
      <c r="F19" s="5" t="n">
        <v>400000</v>
      </c>
      <c r="G19" s="4" t="s">
        <v>131</v>
      </c>
      <c r="H19" s="4" t="n">
        <v>5</v>
      </c>
      <c r="I19" s="6" t="n">
        <v>0</v>
      </c>
      <c r="J19" s="4" t="s">
        <v>187</v>
      </c>
      <c r="K19" s="8" t="s">
        <v>460</v>
      </c>
      <c r="L19" s="8"/>
    </row>
    <row r="20" customFormat="false" ht="15" hidden="false" customHeight="false" outlineLevel="0" collapsed="false">
      <c r="A20" s="4" t="s">
        <v>474</v>
      </c>
      <c r="B20" s="4"/>
      <c r="C20" s="4"/>
      <c r="D20" s="5" t="n">
        <v>0</v>
      </c>
      <c r="E20" s="5" t="n">
        <v>0</v>
      </c>
      <c r="F20" s="5" t="n">
        <v>0</v>
      </c>
      <c r="G20" s="4"/>
      <c r="H20" s="4" t="n">
        <v>0</v>
      </c>
      <c r="I20" s="6" t="n">
        <v>0</v>
      </c>
      <c r="J20" s="4"/>
      <c r="K20" s="8"/>
      <c r="L20" s="8"/>
    </row>
    <row r="21" customFormat="false" ht="15" hidden="false" customHeight="false" outlineLevel="0" collapsed="false">
      <c r="A21" s="4" t="s">
        <v>475</v>
      </c>
      <c r="B21" s="4"/>
      <c r="C21" s="4"/>
      <c r="D21" s="5" t="n">
        <v>0</v>
      </c>
      <c r="E21" s="5" t="n">
        <v>0</v>
      </c>
      <c r="F21" s="5" t="n">
        <v>0</v>
      </c>
      <c r="G21" s="4"/>
      <c r="H21" s="4" t="n">
        <v>0</v>
      </c>
      <c r="I21" s="6" t="n">
        <v>0</v>
      </c>
      <c r="J21" s="4"/>
      <c r="K21" s="8"/>
      <c r="L21" s="8"/>
    </row>
    <row r="22" customFormat="false" ht="15" hidden="false" customHeight="false" outlineLevel="0" collapsed="false">
      <c r="A22" s="4" t="s">
        <v>476</v>
      </c>
      <c r="B22" s="4"/>
      <c r="C22" s="4"/>
      <c r="D22" s="5" t="n">
        <v>0</v>
      </c>
      <c r="E22" s="5" t="n">
        <v>0</v>
      </c>
      <c r="F22" s="5" t="n">
        <v>0</v>
      </c>
      <c r="G22" s="4"/>
      <c r="H22" s="4" t="n">
        <v>0</v>
      </c>
      <c r="I22" s="6" t="n">
        <v>0</v>
      </c>
      <c r="J22" s="4"/>
      <c r="K22" s="8"/>
      <c r="L22" s="8"/>
    </row>
    <row r="23" customFormat="false" ht="15" hidden="false" customHeight="false" outlineLevel="0" collapsed="false">
      <c r="A23" s="4" t="s">
        <v>477</v>
      </c>
      <c r="B23" s="4"/>
      <c r="C23" s="4"/>
      <c r="D23" s="5" t="n">
        <v>0</v>
      </c>
      <c r="E23" s="5" t="n">
        <v>0</v>
      </c>
      <c r="F23" s="5" t="n">
        <v>0</v>
      </c>
      <c r="G23" s="4"/>
      <c r="H23" s="4" t="n">
        <v>0</v>
      </c>
      <c r="I23" s="6" t="n">
        <v>0</v>
      </c>
      <c r="J23" s="4"/>
      <c r="K23" s="8"/>
      <c r="L23" s="8"/>
    </row>
    <row r="24" customFormat="false" ht="15" hidden="false" customHeight="false" outlineLevel="0" collapsed="false">
      <c r="A24" s="4" t="s">
        <v>478</v>
      </c>
      <c r="B24" s="4"/>
      <c r="C24" s="4"/>
      <c r="D24" s="5" t="n">
        <v>0</v>
      </c>
      <c r="E24" s="5" t="n">
        <v>0</v>
      </c>
      <c r="F24" s="5" t="n">
        <v>0</v>
      </c>
      <c r="G24" s="4"/>
      <c r="H24" s="4" t="n">
        <v>0</v>
      </c>
      <c r="I24" s="6" t="n">
        <v>0</v>
      </c>
      <c r="J24" s="4"/>
      <c r="K24" s="8"/>
      <c r="L24" s="8"/>
    </row>
    <row r="25" customFormat="false" ht="15" hidden="false" customHeight="false" outlineLevel="0" collapsed="false">
      <c r="A25" s="4" t="s">
        <v>479</v>
      </c>
      <c r="B25" s="4"/>
      <c r="C25" s="4"/>
      <c r="D25" s="5" t="n">
        <v>0</v>
      </c>
      <c r="E25" s="5" t="n">
        <v>0</v>
      </c>
      <c r="F25" s="5" t="n">
        <v>0</v>
      </c>
      <c r="G25" s="4"/>
      <c r="H25" s="4" t="n">
        <v>0</v>
      </c>
      <c r="I25" s="6" t="n">
        <v>0</v>
      </c>
      <c r="J25" s="4"/>
      <c r="K25" s="8"/>
      <c r="L25" s="8"/>
    </row>
    <row r="26" customFormat="false" ht="15" hidden="false" customHeight="false" outlineLevel="0" collapsed="false">
      <c r="A26" s="4" t="s">
        <v>480</v>
      </c>
      <c r="B26" s="4"/>
      <c r="C26" s="4"/>
      <c r="D26" s="5" t="n">
        <v>0</v>
      </c>
      <c r="E26" s="5" t="n">
        <v>0</v>
      </c>
      <c r="F26" s="5" t="n">
        <v>0</v>
      </c>
      <c r="G26" s="4"/>
      <c r="H26" s="4" t="n">
        <v>0</v>
      </c>
      <c r="I26" s="6" t="n">
        <v>0</v>
      </c>
      <c r="J26" s="4"/>
      <c r="K26" s="8"/>
      <c r="L26" s="8"/>
    </row>
    <row r="27" customFormat="false" ht="15" hidden="false" customHeight="false" outlineLevel="0" collapsed="false">
      <c r="A27" s="4" t="s">
        <v>481</v>
      </c>
      <c r="B27" s="4"/>
      <c r="C27" s="4"/>
      <c r="D27" s="5" t="n">
        <v>0</v>
      </c>
      <c r="E27" s="5" t="n">
        <v>0</v>
      </c>
      <c r="F27" s="5" t="n">
        <v>0</v>
      </c>
      <c r="G27" s="4"/>
      <c r="H27" s="4" t="n">
        <v>0</v>
      </c>
      <c r="I27" s="6" t="n">
        <v>0</v>
      </c>
      <c r="J27" s="4"/>
      <c r="K27" s="8"/>
      <c r="L27" s="8"/>
    </row>
    <row r="28" customFormat="false" ht="15" hidden="false" customHeight="false" outlineLevel="0" collapsed="false">
      <c r="A28" s="4" t="s">
        <v>482</v>
      </c>
      <c r="B28" s="4"/>
      <c r="C28" s="4"/>
      <c r="D28" s="5" t="n">
        <v>0</v>
      </c>
      <c r="E28" s="5" t="n">
        <v>0</v>
      </c>
      <c r="F28" s="5" t="n">
        <v>0</v>
      </c>
      <c r="G28" s="4"/>
      <c r="H28" s="4" t="n">
        <v>0</v>
      </c>
      <c r="I28" s="6" t="n">
        <v>0</v>
      </c>
      <c r="J28" s="4"/>
      <c r="K28" s="8"/>
      <c r="L28" s="8"/>
    </row>
    <row r="29" customFormat="false" ht="15" hidden="false" customHeight="false" outlineLevel="0" collapsed="false">
      <c r="A29" s="4" t="s">
        <v>483</v>
      </c>
      <c r="B29" s="4"/>
      <c r="C29" s="4"/>
      <c r="D29" s="5" t="n">
        <v>0</v>
      </c>
      <c r="E29" s="5" t="n">
        <v>0</v>
      </c>
      <c r="F29" s="5" t="n">
        <v>0</v>
      </c>
      <c r="G29" s="4"/>
      <c r="H29" s="4" t="n">
        <v>0</v>
      </c>
      <c r="I29" s="6" t="n">
        <v>0</v>
      </c>
      <c r="J29" s="4"/>
      <c r="K29" s="8"/>
      <c r="L29" s="8"/>
    </row>
    <row r="30" customFormat="false" ht="15" hidden="false" customHeight="false" outlineLevel="0" collapsed="false">
      <c r="A30" s="4" t="s">
        <v>484</v>
      </c>
      <c r="B30" s="4"/>
      <c r="C30" s="4"/>
      <c r="D30" s="5" t="n">
        <v>0</v>
      </c>
      <c r="E30" s="5" t="n">
        <v>0</v>
      </c>
      <c r="F30" s="5" t="n">
        <v>0</v>
      </c>
      <c r="G30" s="4"/>
      <c r="H30" s="4" t="n">
        <v>0</v>
      </c>
      <c r="I30" s="6" t="n">
        <v>0</v>
      </c>
      <c r="J30" s="4"/>
      <c r="K30" s="8"/>
      <c r="L30" s="8"/>
    </row>
    <row r="31" customFormat="false" ht="15" hidden="false" customHeight="false" outlineLevel="0" collapsed="false">
      <c r="A31" s="4" t="s">
        <v>485</v>
      </c>
      <c r="B31" s="4"/>
      <c r="C31" s="4"/>
      <c r="D31" s="5" t="n">
        <v>0</v>
      </c>
      <c r="E31" s="5" t="n">
        <v>0</v>
      </c>
      <c r="F31" s="5" t="n">
        <v>0</v>
      </c>
      <c r="G31" s="4"/>
      <c r="H31" s="4" t="n">
        <v>0</v>
      </c>
      <c r="I31" s="6" t="n">
        <v>0</v>
      </c>
      <c r="J31" s="4"/>
      <c r="K31" s="8"/>
      <c r="L31" s="8"/>
    </row>
    <row r="32" customFormat="false" ht="15" hidden="false" customHeight="false" outlineLevel="0" collapsed="false">
      <c r="A32" s="4" t="s">
        <v>486</v>
      </c>
      <c r="B32" s="4"/>
      <c r="C32" s="4"/>
      <c r="D32" s="5" t="n">
        <v>0</v>
      </c>
      <c r="E32" s="5" t="n">
        <v>0</v>
      </c>
      <c r="F32" s="5" t="n">
        <v>0</v>
      </c>
      <c r="G32" s="4"/>
      <c r="H32" s="4" t="n">
        <v>0</v>
      </c>
      <c r="I32" s="6" t="n">
        <v>0</v>
      </c>
      <c r="J32" s="4"/>
      <c r="K32" s="8"/>
      <c r="L32" s="8"/>
    </row>
    <row r="33" customFormat="false" ht="15" hidden="false" customHeight="false" outlineLevel="0" collapsed="false">
      <c r="A33" s="4" t="s">
        <v>487</v>
      </c>
      <c r="B33" s="4"/>
      <c r="C33" s="4"/>
      <c r="D33" s="5" t="n">
        <v>0</v>
      </c>
      <c r="E33" s="5" t="n">
        <v>0</v>
      </c>
      <c r="F33" s="5" t="n">
        <v>0</v>
      </c>
      <c r="G33" s="4"/>
      <c r="H33" s="4" t="n">
        <v>0</v>
      </c>
      <c r="I33" s="6" t="n">
        <v>0</v>
      </c>
      <c r="J33" s="4"/>
      <c r="K33" s="8"/>
      <c r="L33" s="8"/>
    </row>
    <row r="34" customFormat="false" ht="15" hidden="false" customHeight="false" outlineLevel="0" collapsed="false">
      <c r="A34" s="4" t="s">
        <v>488</v>
      </c>
      <c r="B34" s="4"/>
      <c r="C34" s="4"/>
      <c r="D34" s="5" t="n">
        <v>0</v>
      </c>
      <c r="E34" s="5" t="n">
        <v>0</v>
      </c>
      <c r="F34" s="5" t="n">
        <v>0</v>
      </c>
      <c r="G34" s="4"/>
      <c r="H34" s="4" t="n">
        <v>0</v>
      </c>
      <c r="I34" s="6" t="n">
        <v>0</v>
      </c>
      <c r="J34" s="4"/>
      <c r="K34" s="8"/>
      <c r="L34" s="8"/>
    </row>
    <row r="35" customFormat="false" ht="15" hidden="false" customHeight="false" outlineLevel="0" collapsed="false">
      <c r="A35" s="4" t="s">
        <v>489</v>
      </c>
      <c r="B35" s="4"/>
      <c r="C35" s="4"/>
      <c r="D35" s="5" t="n">
        <v>0</v>
      </c>
      <c r="E35" s="5" t="n">
        <v>0</v>
      </c>
      <c r="F35" s="5" t="n">
        <v>0</v>
      </c>
      <c r="G35" s="4"/>
      <c r="H35" s="4" t="n">
        <v>0</v>
      </c>
      <c r="I35" s="6" t="n">
        <v>0</v>
      </c>
      <c r="J35" s="4"/>
      <c r="K35" s="8"/>
      <c r="L35" s="8"/>
    </row>
    <row r="36" customFormat="false" ht="15" hidden="false" customHeight="false" outlineLevel="0" collapsed="false">
      <c r="A36" s="4" t="s">
        <v>490</v>
      </c>
      <c r="B36" s="4"/>
      <c r="C36" s="4"/>
      <c r="D36" s="5" t="n">
        <v>0</v>
      </c>
      <c r="E36" s="5" t="n">
        <v>0</v>
      </c>
      <c r="F36" s="5" t="n">
        <v>0</v>
      </c>
      <c r="G36" s="4"/>
      <c r="H36" s="4" t="n">
        <v>0</v>
      </c>
      <c r="I36" s="6" t="n">
        <v>0</v>
      </c>
      <c r="J36" s="4"/>
      <c r="K36" s="8"/>
      <c r="L36" s="8"/>
    </row>
    <row r="37" customFormat="false" ht="15" hidden="false" customHeight="false" outlineLevel="0" collapsed="false">
      <c r="A37" s="4" t="s">
        <v>491</v>
      </c>
      <c r="B37" s="4"/>
      <c r="C37" s="4"/>
      <c r="D37" s="5" t="n">
        <v>0</v>
      </c>
      <c r="E37" s="5" t="n">
        <v>0</v>
      </c>
      <c r="F37" s="5" t="n">
        <v>0</v>
      </c>
      <c r="G37" s="4"/>
      <c r="H37" s="4" t="n">
        <v>0</v>
      </c>
      <c r="I37" s="6" t="n">
        <v>0</v>
      </c>
      <c r="J37" s="4"/>
      <c r="K37" s="8"/>
      <c r="L37" s="8"/>
    </row>
    <row r="38" customFormat="false" ht="15" hidden="false" customHeight="false" outlineLevel="0" collapsed="false">
      <c r="A38" s="4" t="s">
        <v>492</v>
      </c>
      <c r="B38" s="4"/>
      <c r="C38" s="4"/>
      <c r="D38" s="5" t="n">
        <v>0</v>
      </c>
      <c r="E38" s="5" t="n">
        <v>0</v>
      </c>
      <c r="F38" s="5" t="n">
        <v>0</v>
      </c>
      <c r="G38" s="4"/>
      <c r="H38" s="4" t="n">
        <v>0</v>
      </c>
      <c r="I38" s="6" t="n">
        <v>0</v>
      </c>
      <c r="J38" s="4"/>
      <c r="K38" s="8"/>
      <c r="L38" s="8"/>
    </row>
    <row r="39" customFormat="false" ht="15" hidden="false" customHeight="false" outlineLevel="0" collapsed="false">
      <c r="A39" s="4" t="s">
        <v>493</v>
      </c>
      <c r="B39" s="4"/>
      <c r="C39" s="4"/>
      <c r="D39" s="5" t="n">
        <v>0</v>
      </c>
      <c r="E39" s="5" t="n">
        <v>0</v>
      </c>
      <c r="F39" s="5" t="n">
        <v>0</v>
      </c>
      <c r="G39" s="4"/>
      <c r="H39" s="4" t="n">
        <v>0</v>
      </c>
      <c r="I39" s="6" t="n">
        <v>0</v>
      </c>
      <c r="J39" s="4"/>
      <c r="K39" s="8"/>
      <c r="L39" s="8"/>
    </row>
    <row r="40" customFormat="false" ht="15" hidden="false" customHeight="false" outlineLevel="0" collapsed="false">
      <c r="A40" s="4" t="s">
        <v>494</v>
      </c>
      <c r="B40" s="4"/>
      <c r="C40" s="4"/>
      <c r="D40" s="5" t="n">
        <v>0</v>
      </c>
      <c r="E40" s="5" t="n">
        <v>0</v>
      </c>
      <c r="F40" s="5" t="n">
        <v>0</v>
      </c>
      <c r="G40" s="4"/>
      <c r="H40" s="4" t="n">
        <v>0</v>
      </c>
      <c r="I40" s="6" t="n">
        <v>0</v>
      </c>
      <c r="J40" s="4"/>
      <c r="K40" s="8"/>
      <c r="L40" s="8"/>
    </row>
    <row r="41" customFormat="false" ht="15" hidden="false" customHeight="false" outlineLevel="0" collapsed="false">
      <c r="A41" s="4" t="s">
        <v>495</v>
      </c>
      <c r="B41" s="4"/>
      <c r="C41" s="4"/>
      <c r="D41" s="5" t="n">
        <v>0</v>
      </c>
      <c r="E41" s="5" t="n">
        <v>0</v>
      </c>
      <c r="F41" s="5" t="n">
        <v>0</v>
      </c>
      <c r="G41" s="4"/>
      <c r="H41" s="4" t="n">
        <v>0</v>
      </c>
      <c r="I41" s="6" t="n">
        <v>0</v>
      </c>
      <c r="J41" s="4"/>
      <c r="K41" s="8"/>
      <c r="L41" s="8"/>
    </row>
    <row r="42" customFormat="false" ht="15" hidden="false" customHeight="false" outlineLevel="0" collapsed="false">
      <c r="A42" s="4" t="s">
        <v>496</v>
      </c>
      <c r="B42" s="4"/>
      <c r="C42" s="4"/>
      <c r="D42" s="5" t="n">
        <v>0</v>
      </c>
      <c r="E42" s="5" t="n">
        <v>0</v>
      </c>
      <c r="F42" s="5" t="n">
        <v>0</v>
      </c>
      <c r="G42" s="4"/>
      <c r="H42" s="4" t="n">
        <v>0</v>
      </c>
      <c r="I42" s="6" t="n">
        <v>0</v>
      </c>
      <c r="J42" s="4"/>
      <c r="K42" s="8"/>
      <c r="L42" s="8"/>
    </row>
    <row r="43" customFormat="false" ht="15" hidden="false" customHeight="false" outlineLevel="0" collapsed="false">
      <c r="A43" s="4" t="s">
        <v>497</v>
      </c>
      <c r="B43" s="4"/>
      <c r="C43" s="4"/>
      <c r="D43" s="5" t="n">
        <v>0</v>
      </c>
      <c r="E43" s="5" t="n">
        <v>0</v>
      </c>
      <c r="F43" s="5" t="n">
        <v>0</v>
      </c>
      <c r="G43" s="4"/>
      <c r="H43" s="4" t="n">
        <v>0</v>
      </c>
      <c r="I43" s="6" t="n">
        <v>0</v>
      </c>
      <c r="J43" s="4"/>
      <c r="K43" s="8"/>
      <c r="L43" s="8"/>
    </row>
    <row r="44" customFormat="false" ht="15" hidden="false" customHeight="false" outlineLevel="0" collapsed="false">
      <c r="A44" s="4" t="s">
        <v>498</v>
      </c>
      <c r="B44" s="4"/>
      <c r="C44" s="4"/>
      <c r="D44" s="5" t="n">
        <v>0</v>
      </c>
      <c r="E44" s="5" t="n">
        <v>0</v>
      </c>
      <c r="F44" s="5" t="n">
        <v>0</v>
      </c>
      <c r="G44" s="4"/>
      <c r="H44" s="4" t="n">
        <v>0</v>
      </c>
      <c r="I44" s="6" t="n">
        <v>0</v>
      </c>
      <c r="J44" s="4"/>
      <c r="K44" s="8"/>
      <c r="L44" s="8"/>
    </row>
    <row r="45" customFormat="false" ht="15" hidden="false" customHeight="false" outlineLevel="0" collapsed="false">
      <c r="A45" s="4" t="s">
        <v>499</v>
      </c>
      <c r="B45" s="4"/>
      <c r="C45" s="4"/>
      <c r="D45" s="5" t="n">
        <v>0</v>
      </c>
      <c r="E45" s="5" t="n">
        <v>0</v>
      </c>
      <c r="F45" s="5" t="n">
        <v>0</v>
      </c>
      <c r="G45" s="4"/>
      <c r="H45" s="4" t="n">
        <v>0</v>
      </c>
      <c r="I45" s="6" t="n">
        <v>0</v>
      </c>
      <c r="J45" s="4"/>
      <c r="K45" s="8"/>
      <c r="L45" s="8"/>
    </row>
  </sheetData>
  <mergeCells count="2">
    <mergeCell ref="A1:L1"/>
    <mergeCell ref="A2:L2"/>
  </mergeCells>
  <dataValidations count="1">
    <dataValidation allowBlank="false" errorStyle="stop" operator="between" showDropDown="false" showErrorMessage="false" showInputMessage="false" sqref="K6:K45" type="list">
      <formula1>"正常,异常,待复核"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1" t="s">
        <v>500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8" hidden="false" customHeight="true" outlineLevel="0" collapsed="false">
      <c r="A2" s="2" t="s">
        <v>501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customFormat="false" ht="34" hidden="false" customHeight="true" outlineLevel="0" collapsed="false">
      <c r="A5" s="3" t="s">
        <v>502</v>
      </c>
      <c r="B5" s="3" t="s">
        <v>100</v>
      </c>
      <c r="C5" s="3" t="s">
        <v>456</v>
      </c>
      <c r="D5" s="3" t="s">
        <v>104</v>
      </c>
      <c r="E5" s="3" t="s">
        <v>320</v>
      </c>
      <c r="F5" s="3" t="s">
        <v>503</v>
      </c>
      <c r="G5" s="3" t="s">
        <v>504</v>
      </c>
      <c r="H5" s="3" t="s">
        <v>505</v>
      </c>
      <c r="I5" s="3" t="s">
        <v>506</v>
      </c>
      <c r="J5" s="3" t="s">
        <v>507</v>
      </c>
      <c r="K5" s="3" t="s">
        <v>508</v>
      </c>
      <c r="L5" s="3" t="s">
        <v>509</v>
      </c>
      <c r="M5" s="3" t="s">
        <v>120</v>
      </c>
      <c r="N5" s="3" t="s">
        <v>510</v>
      </c>
    </row>
    <row r="6" customFormat="false" ht="15" hidden="false" customHeight="false" outlineLevel="0" collapsed="false">
      <c r="A6" s="4" t="s">
        <v>511</v>
      </c>
      <c r="B6" s="4" t="s">
        <v>123</v>
      </c>
      <c r="C6" s="4" t="s">
        <v>124</v>
      </c>
      <c r="D6" s="4" t="s">
        <v>127</v>
      </c>
      <c r="E6" s="4" t="s">
        <v>137</v>
      </c>
      <c r="F6" s="4" t="s">
        <v>132</v>
      </c>
      <c r="G6" s="4" t="s">
        <v>134</v>
      </c>
      <c r="H6" s="4" t="s">
        <v>133</v>
      </c>
      <c r="I6" s="8"/>
      <c r="J6" s="8"/>
      <c r="K6" s="8"/>
      <c r="L6" s="8"/>
      <c r="M6" s="8" t="s">
        <v>512</v>
      </c>
      <c r="N6" s="8"/>
    </row>
    <row r="7" customFormat="false" ht="15" hidden="false" customHeight="false" outlineLevel="0" collapsed="false">
      <c r="A7" s="4" t="s">
        <v>513</v>
      </c>
      <c r="B7" s="4" t="s">
        <v>138</v>
      </c>
      <c r="C7" s="4" t="s">
        <v>139</v>
      </c>
      <c r="D7" s="4" t="s">
        <v>141</v>
      </c>
      <c r="E7" s="4" t="s">
        <v>150</v>
      </c>
      <c r="F7" s="4" t="s">
        <v>145</v>
      </c>
      <c r="G7" s="4" t="s">
        <v>147</v>
      </c>
      <c r="H7" s="4" t="s">
        <v>146</v>
      </c>
      <c r="I7" s="8"/>
      <c r="J7" s="8"/>
      <c r="K7" s="8"/>
      <c r="L7" s="8"/>
      <c r="M7" s="8" t="s">
        <v>512</v>
      </c>
      <c r="N7" s="8"/>
    </row>
    <row r="8" customFormat="false" ht="15" hidden="false" customHeight="false" outlineLevel="0" collapsed="false">
      <c r="A8" s="4" t="s">
        <v>514</v>
      </c>
      <c r="B8" s="4" t="s">
        <v>151</v>
      </c>
      <c r="C8" s="4" t="s">
        <v>152</v>
      </c>
      <c r="D8" s="4" t="s">
        <v>154</v>
      </c>
      <c r="E8" s="4" t="s">
        <v>162</v>
      </c>
      <c r="F8" s="4" t="s">
        <v>158</v>
      </c>
      <c r="G8" s="4" t="s">
        <v>160</v>
      </c>
      <c r="H8" s="4" t="s">
        <v>159</v>
      </c>
      <c r="I8" s="8"/>
      <c r="J8" s="8"/>
      <c r="K8" s="8"/>
      <c r="L8" s="8"/>
      <c r="M8" s="8" t="s">
        <v>512</v>
      </c>
      <c r="N8" s="8"/>
    </row>
    <row r="9" customFormat="false" ht="15" hidden="false" customHeight="false" outlineLevel="0" collapsed="false">
      <c r="A9" s="4" t="s">
        <v>515</v>
      </c>
      <c r="B9" s="4" t="s">
        <v>163</v>
      </c>
      <c r="C9" s="4" t="s">
        <v>164</v>
      </c>
      <c r="D9" s="4" t="s">
        <v>167</v>
      </c>
      <c r="E9" s="4" t="s">
        <v>175</v>
      </c>
      <c r="F9" s="4" t="s">
        <v>171</v>
      </c>
      <c r="G9" s="4" t="s">
        <v>173</v>
      </c>
      <c r="H9" s="4" t="s">
        <v>172</v>
      </c>
      <c r="I9" s="8"/>
      <c r="J9" s="8"/>
      <c r="K9" s="8"/>
      <c r="L9" s="8"/>
      <c r="M9" s="8" t="s">
        <v>512</v>
      </c>
      <c r="N9" s="8"/>
    </row>
    <row r="10" customFormat="false" ht="15" hidden="false" customHeight="false" outlineLevel="0" collapsed="false">
      <c r="A10" s="4" t="s">
        <v>516</v>
      </c>
      <c r="B10" s="4" t="s">
        <v>176</v>
      </c>
      <c r="C10" s="4" t="s">
        <v>177</v>
      </c>
      <c r="D10" s="4" t="s">
        <v>180</v>
      </c>
      <c r="E10" s="4" t="s">
        <v>188</v>
      </c>
      <c r="F10" s="4" t="s">
        <v>184</v>
      </c>
      <c r="G10" s="4" t="s">
        <v>186</v>
      </c>
      <c r="H10" s="4" t="s">
        <v>185</v>
      </c>
      <c r="I10" s="8"/>
      <c r="J10" s="8"/>
      <c r="K10" s="8"/>
      <c r="L10" s="8"/>
      <c r="M10" s="8" t="s">
        <v>512</v>
      </c>
      <c r="N10" s="8"/>
    </row>
    <row r="11" customFormat="false" ht="15" hidden="false" customHeight="false" outlineLevel="0" collapsed="false">
      <c r="A11" s="4" t="s">
        <v>517</v>
      </c>
      <c r="B11" s="4" t="s">
        <v>189</v>
      </c>
      <c r="C11" s="4" t="s">
        <v>190</v>
      </c>
      <c r="D11" s="4" t="s">
        <v>193</v>
      </c>
      <c r="E11" s="4" t="s">
        <v>202</v>
      </c>
      <c r="F11" s="4" t="s">
        <v>198</v>
      </c>
      <c r="G11" s="4" t="s">
        <v>200</v>
      </c>
      <c r="H11" s="4" t="s">
        <v>199</v>
      </c>
      <c r="I11" s="8"/>
      <c r="J11" s="8"/>
      <c r="K11" s="8"/>
      <c r="L11" s="8"/>
      <c r="M11" s="8" t="s">
        <v>512</v>
      </c>
      <c r="N11" s="8"/>
    </row>
    <row r="12" customFormat="false" ht="15" hidden="false" customHeight="false" outlineLevel="0" collapsed="false">
      <c r="A12" s="4" t="s">
        <v>518</v>
      </c>
      <c r="B12" s="4" t="s">
        <v>203</v>
      </c>
      <c r="C12" s="4" t="s">
        <v>204</v>
      </c>
      <c r="D12" s="4" t="s">
        <v>206</v>
      </c>
      <c r="E12" s="4" t="s">
        <v>215</v>
      </c>
      <c r="F12" s="4" t="s">
        <v>210</v>
      </c>
      <c r="G12" s="4" t="s">
        <v>212</v>
      </c>
      <c r="H12" s="4" t="s">
        <v>211</v>
      </c>
      <c r="I12" s="8"/>
      <c r="J12" s="8"/>
      <c r="K12" s="8"/>
      <c r="L12" s="8"/>
      <c r="M12" s="8" t="s">
        <v>512</v>
      </c>
      <c r="N12" s="8"/>
    </row>
    <row r="13" customFormat="false" ht="15" hidden="false" customHeight="false" outlineLevel="0" collapsed="false">
      <c r="A13" s="4" t="s">
        <v>519</v>
      </c>
      <c r="B13" s="4" t="s">
        <v>216</v>
      </c>
      <c r="C13" s="4" t="s">
        <v>217</v>
      </c>
      <c r="D13" s="4" t="s">
        <v>220</v>
      </c>
      <c r="E13" s="4" t="s">
        <v>226</v>
      </c>
      <c r="F13" s="4" t="s">
        <v>184</v>
      </c>
      <c r="G13" s="4" t="s">
        <v>224</v>
      </c>
      <c r="H13" s="4" t="s">
        <v>185</v>
      </c>
      <c r="I13" s="8"/>
      <c r="J13" s="8"/>
      <c r="K13" s="8"/>
      <c r="L13" s="8"/>
      <c r="M13" s="8" t="s">
        <v>512</v>
      </c>
      <c r="N13" s="8"/>
    </row>
    <row r="14" customFormat="false" ht="15" hidden="false" customHeight="false" outlineLevel="0" collapsed="false">
      <c r="A14" s="4" t="s">
        <v>520</v>
      </c>
      <c r="B14" s="4" t="s">
        <v>227</v>
      </c>
      <c r="C14" s="4" t="s">
        <v>228</v>
      </c>
      <c r="D14" s="4" t="s">
        <v>230</v>
      </c>
      <c r="E14" s="4" t="s">
        <v>238</v>
      </c>
      <c r="F14" s="4" t="s">
        <v>234</v>
      </c>
      <c r="G14" s="4" t="s">
        <v>236</v>
      </c>
      <c r="H14" s="4" t="s">
        <v>235</v>
      </c>
      <c r="I14" s="8"/>
      <c r="J14" s="8"/>
      <c r="K14" s="8"/>
      <c r="L14" s="8"/>
      <c r="M14" s="8" t="s">
        <v>512</v>
      </c>
      <c r="N14" s="8"/>
    </row>
    <row r="15" customFormat="false" ht="15" hidden="false" customHeight="false" outlineLevel="0" collapsed="false">
      <c r="A15" s="4" t="s">
        <v>521</v>
      </c>
      <c r="B15" s="4" t="s">
        <v>239</v>
      </c>
      <c r="C15" s="4" t="s">
        <v>240</v>
      </c>
      <c r="D15" s="4" t="s">
        <v>243</v>
      </c>
      <c r="E15" s="4" t="s">
        <v>249</v>
      </c>
      <c r="F15" s="4" t="s">
        <v>171</v>
      </c>
      <c r="G15" s="4" t="s">
        <v>248</v>
      </c>
      <c r="H15" s="4" t="s">
        <v>247</v>
      </c>
      <c r="I15" s="8"/>
      <c r="J15" s="8"/>
      <c r="K15" s="8"/>
      <c r="L15" s="8"/>
      <c r="M15" s="8" t="s">
        <v>512</v>
      </c>
      <c r="N15" s="8"/>
    </row>
    <row r="16" customFormat="false" ht="15" hidden="false" customHeight="false" outlineLevel="0" collapsed="false">
      <c r="A16" s="4" t="s">
        <v>522</v>
      </c>
      <c r="B16" s="4" t="s">
        <v>250</v>
      </c>
      <c r="C16" s="4" t="s">
        <v>251</v>
      </c>
      <c r="D16" s="4" t="s">
        <v>254</v>
      </c>
      <c r="E16" s="4" t="s">
        <v>262</v>
      </c>
      <c r="F16" s="4" t="s">
        <v>258</v>
      </c>
      <c r="G16" s="4" t="s">
        <v>260</v>
      </c>
      <c r="H16" s="4" t="s">
        <v>259</v>
      </c>
      <c r="I16" s="8"/>
      <c r="J16" s="8"/>
      <c r="K16" s="8"/>
      <c r="L16" s="8"/>
      <c r="M16" s="8" t="s">
        <v>512</v>
      </c>
      <c r="N16" s="8"/>
    </row>
    <row r="17" customFormat="false" ht="15" hidden="false" customHeight="false" outlineLevel="0" collapsed="false">
      <c r="A17" s="4" t="s">
        <v>523</v>
      </c>
      <c r="B17" s="4" t="s">
        <v>263</v>
      </c>
      <c r="C17" s="4" t="s">
        <v>264</v>
      </c>
      <c r="D17" s="4" t="s">
        <v>266</v>
      </c>
      <c r="E17" s="4" t="s">
        <v>275</v>
      </c>
      <c r="F17" s="4" t="s">
        <v>270</v>
      </c>
      <c r="G17" s="4" t="s">
        <v>272</v>
      </c>
      <c r="H17" s="4" t="s">
        <v>271</v>
      </c>
      <c r="I17" s="8"/>
      <c r="J17" s="8"/>
      <c r="K17" s="8"/>
      <c r="L17" s="8"/>
      <c r="M17" s="8" t="s">
        <v>512</v>
      </c>
      <c r="N17" s="8"/>
    </row>
    <row r="18" customFormat="false" ht="15" hidden="false" customHeight="false" outlineLevel="0" collapsed="false">
      <c r="A18" s="4" t="s">
        <v>524</v>
      </c>
      <c r="B18" s="4" t="s">
        <v>276</v>
      </c>
      <c r="C18" s="4" t="s">
        <v>277</v>
      </c>
      <c r="D18" s="4" t="s">
        <v>279</v>
      </c>
      <c r="E18" s="4" t="s">
        <v>287</v>
      </c>
      <c r="F18" s="4" t="s">
        <v>283</v>
      </c>
      <c r="G18" s="4" t="s">
        <v>285</v>
      </c>
      <c r="H18" s="4" t="s">
        <v>284</v>
      </c>
      <c r="I18" s="8"/>
      <c r="J18" s="8"/>
      <c r="K18" s="8"/>
      <c r="L18" s="8"/>
      <c r="M18" s="8" t="s">
        <v>512</v>
      </c>
      <c r="N18" s="8"/>
    </row>
    <row r="19" customFormat="false" ht="15" hidden="false" customHeight="false" outlineLevel="0" collapsed="false">
      <c r="A19" s="4" t="s">
        <v>525</v>
      </c>
      <c r="B19" s="4" t="s">
        <v>288</v>
      </c>
      <c r="C19" s="4" t="s">
        <v>289</v>
      </c>
      <c r="D19" s="4" t="s">
        <v>220</v>
      </c>
      <c r="E19" s="4" t="s">
        <v>295</v>
      </c>
      <c r="F19" s="4" t="s">
        <v>184</v>
      </c>
      <c r="G19" s="4" t="s">
        <v>147</v>
      </c>
      <c r="H19" s="4" t="s">
        <v>185</v>
      </c>
      <c r="I19" s="8"/>
      <c r="J19" s="8"/>
      <c r="K19" s="8"/>
      <c r="L19" s="8"/>
      <c r="M19" s="8" t="s">
        <v>512</v>
      </c>
      <c r="N19" s="8"/>
    </row>
    <row r="20" customFormat="false" ht="15" hidden="false" customHeight="false" outlineLevel="0" collapsed="false">
      <c r="A20" s="4" t="s">
        <v>526</v>
      </c>
      <c r="B20" s="4" t="s">
        <v>296</v>
      </c>
      <c r="C20" s="4" t="s">
        <v>297</v>
      </c>
      <c r="D20" s="4" t="s">
        <v>300</v>
      </c>
      <c r="E20" s="4" t="s">
        <v>308</v>
      </c>
      <c r="F20" s="4" t="s">
        <v>132</v>
      </c>
      <c r="G20" s="4" t="s">
        <v>305</v>
      </c>
      <c r="H20" s="4" t="s">
        <v>133</v>
      </c>
      <c r="I20" s="8"/>
      <c r="J20" s="8"/>
      <c r="K20" s="8"/>
      <c r="L20" s="8"/>
      <c r="M20" s="8" t="s">
        <v>512</v>
      </c>
      <c r="N20" s="8"/>
    </row>
    <row r="21" customFormat="false" ht="15" hidden="false" customHeight="false" outlineLevel="0" collapsed="false">
      <c r="A21" s="4" t="s">
        <v>527</v>
      </c>
      <c r="B21" s="4"/>
      <c r="C21" s="4"/>
      <c r="D21" s="4"/>
      <c r="E21" s="4"/>
      <c r="F21" s="4"/>
      <c r="G21" s="4"/>
      <c r="H21" s="4"/>
      <c r="I21" s="8"/>
      <c r="J21" s="8"/>
      <c r="K21" s="8"/>
      <c r="L21" s="8"/>
      <c r="M21" s="8"/>
      <c r="N21" s="8"/>
    </row>
    <row r="22" customFormat="false" ht="15" hidden="false" customHeight="false" outlineLevel="0" collapsed="false">
      <c r="A22" s="4" t="s">
        <v>528</v>
      </c>
      <c r="B22" s="4"/>
      <c r="C22" s="4"/>
      <c r="D22" s="4"/>
      <c r="E22" s="4"/>
      <c r="F22" s="4"/>
      <c r="G22" s="4"/>
      <c r="H22" s="4"/>
      <c r="I22" s="8"/>
      <c r="J22" s="8"/>
      <c r="K22" s="8"/>
      <c r="L22" s="8"/>
      <c r="M22" s="8"/>
      <c r="N22" s="8"/>
    </row>
    <row r="23" customFormat="false" ht="15" hidden="false" customHeight="false" outlineLevel="0" collapsed="false">
      <c r="A23" s="4" t="s">
        <v>529</v>
      </c>
      <c r="B23" s="4"/>
      <c r="C23" s="4"/>
      <c r="D23" s="4"/>
      <c r="E23" s="4"/>
      <c r="F23" s="4"/>
      <c r="G23" s="4"/>
      <c r="H23" s="4"/>
      <c r="I23" s="8"/>
      <c r="J23" s="8"/>
      <c r="K23" s="8"/>
      <c r="L23" s="8"/>
      <c r="M23" s="8"/>
      <c r="N23" s="8"/>
    </row>
    <row r="24" customFormat="false" ht="15" hidden="false" customHeight="false" outlineLevel="0" collapsed="false">
      <c r="A24" s="4" t="s">
        <v>530</v>
      </c>
      <c r="B24" s="4"/>
      <c r="C24" s="4"/>
      <c r="D24" s="4"/>
      <c r="E24" s="4"/>
      <c r="F24" s="4"/>
      <c r="G24" s="4"/>
      <c r="H24" s="4"/>
      <c r="I24" s="8"/>
      <c r="J24" s="8"/>
      <c r="K24" s="8"/>
      <c r="L24" s="8"/>
      <c r="M24" s="8"/>
      <c r="N24" s="8"/>
    </row>
    <row r="25" customFormat="false" ht="15" hidden="false" customHeight="false" outlineLevel="0" collapsed="false">
      <c r="A25" s="4" t="s">
        <v>531</v>
      </c>
      <c r="B25" s="4"/>
      <c r="C25" s="4"/>
      <c r="D25" s="4"/>
      <c r="E25" s="4"/>
      <c r="F25" s="4"/>
      <c r="G25" s="4"/>
      <c r="H25" s="4"/>
      <c r="I25" s="8"/>
      <c r="J25" s="8"/>
      <c r="K25" s="8"/>
      <c r="L25" s="8"/>
      <c r="M25" s="8"/>
      <c r="N25" s="8"/>
    </row>
    <row r="26" customFormat="false" ht="15" hidden="false" customHeight="false" outlineLevel="0" collapsed="false">
      <c r="A26" s="4" t="s">
        <v>532</v>
      </c>
      <c r="B26" s="4"/>
      <c r="C26" s="4"/>
      <c r="D26" s="4"/>
      <c r="E26" s="4"/>
      <c r="F26" s="4"/>
      <c r="G26" s="4"/>
      <c r="H26" s="4"/>
      <c r="I26" s="8"/>
      <c r="J26" s="8"/>
      <c r="K26" s="8"/>
      <c r="L26" s="8"/>
      <c r="M26" s="8"/>
      <c r="N26" s="8"/>
    </row>
    <row r="27" customFormat="false" ht="15" hidden="false" customHeight="false" outlineLevel="0" collapsed="false">
      <c r="A27" s="4" t="s">
        <v>533</v>
      </c>
      <c r="B27" s="4"/>
      <c r="C27" s="4"/>
      <c r="D27" s="4"/>
      <c r="E27" s="4"/>
      <c r="F27" s="4"/>
      <c r="G27" s="4"/>
      <c r="H27" s="4"/>
      <c r="I27" s="8"/>
      <c r="J27" s="8"/>
      <c r="K27" s="8"/>
      <c r="L27" s="8"/>
      <c r="M27" s="8"/>
      <c r="N27" s="8"/>
    </row>
    <row r="28" customFormat="false" ht="15" hidden="false" customHeight="false" outlineLevel="0" collapsed="false">
      <c r="A28" s="4" t="s">
        <v>534</v>
      </c>
      <c r="B28" s="4"/>
      <c r="C28" s="4"/>
      <c r="D28" s="4"/>
      <c r="E28" s="4"/>
      <c r="F28" s="4"/>
      <c r="G28" s="4"/>
      <c r="H28" s="4"/>
      <c r="I28" s="8"/>
      <c r="J28" s="8"/>
      <c r="K28" s="8"/>
      <c r="L28" s="8"/>
      <c r="M28" s="8"/>
      <c r="N28" s="8"/>
    </row>
    <row r="29" customFormat="false" ht="15" hidden="false" customHeight="false" outlineLevel="0" collapsed="false">
      <c r="A29" s="4" t="s">
        <v>535</v>
      </c>
      <c r="B29" s="4"/>
      <c r="C29" s="4"/>
      <c r="D29" s="4"/>
      <c r="E29" s="4"/>
      <c r="F29" s="4"/>
      <c r="G29" s="4"/>
      <c r="H29" s="4"/>
      <c r="I29" s="8"/>
      <c r="J29" s="8"/>
      <c r="K29" s="8"/>
      <c r="L29" s="8"/>
      <c r="M29" s="8"/>
      <c r="N29" s="8"/>
    </row>
    <row r="30" customFormat="false" ht="15" hidden="false" customHeight="false" outlineLevel="0" collapsed="false">
      <c r="A30" s="4" t="s">
        <v>536</v>
      </c>
      <c r="B30" s="4"/>
      <c r="C30" s="4"/>
      <c r="D30" s="4"/>
      <c r="E30" s="4"/>
      <c r="F30" s="4"/>
      <c r="G30" s="4"/>
      <c r="H30" s="4"/>
      <c r="I30" s="8"/>
      <c r="J30" s="8"/>
      <c r="K30" s="8"/>
      <c r="L30" s="8"/>
      <c r="M30" s="8"/>
      <c r="N30" s="8"/>
    </row>
    <row r="31" customFormat="false" ht="15" hidden="false" customHeight="false" outlineLevel="0" collapsed="false">
      <c r="A31" s="4" t="s">
        <v>537</v>
      </c>
      <c r="B31" s="4"/>
      <c r="C31" s="4"/>
      <c r="D31" s="4"/>
      <c r="E31" s="4"/>
      <c r="F31" s="4"/>
      <c r="G31" s="4"/>
      <c r="H31" s="4"/>
      <c r="I31" s="8"/>
      <c r="J31" s="8"/>
      <c r="K31" s="8"/>
      <c r="L31" s="8"/>
      <c r="M31" s="8"/>
      <c r="N31" s="8"/>
    </row>
    <row r="32" customFormat="false" ht="15" hidden="false" customHeight="false" outlineLevel="0" collapsed="false">
      <c r="A32" s="4" t="s">
        <v>538</v>
      </c>
      <c r="B32" s="4"/>
      <c r="C32" s="4"/>
      <c r="D32" s="4"/>
      <c r="E32" s="4"/>
      <c r="F32" s="4"/>
      <c r="G32" s="4"/>
      <c r="H32" s="4"/>
      <c r="I32" s="8"/>
      <c r="J32" s="8"/>
      <c r="K32" s="8"/>
      <c r="L32" s="8"/>
      <c r="M32" s="8"/>
      <c r="N32" s="8"/>
    </row>
    <row r="33" customFormat="false" ht="15" hidden="false" customHeight="false" outlineLevel="0" collapsed="false">
      <c r="A33" s="4" t="s">
        <v>539</v>
      </c>
      <c r="B33" s="4"/>
      <c r="C33" s="4"/>
      <c r="D33" s="4"/>
      <c r="E33" s="4"/>
      <c r="F33" s="4"/>
      <c r="G33" s="4"/>
      <c r="H33" s="4"/>
      <c r="I33" s="8"/>
      <c r="J33" s="8"/>
      <c r="K33" s="8"/>
      <c r="L33" s="8"/>
      <c r="M33" s="8"/>
      <c r="N33" s="8"/>
    </row>
    <row r="34" customFormat="false" ht="15" hidden="false" customHeight="false" outlineLevel="0" collapsed="false">
      <c r="A34" s="4" t="s">
        <v>540</v>
      </c>
      <c r="B34" s="4"/>
      <c r="C34" s="4"/>
      <c r="D34" s="4"/>
      <c r="E34" s="4"/>
      <c r="F34" s="4"/>
      <c r="G34" s="4"/>
      <c r="H34" s="4"/>
      <c r="I34" s="8"/>
      <c r="J34" s="8"/>
      <c r="K34" s="8"/>
      <c r="L34" s="8"/>
      <c r="M34" s="8"/>
      <c r="N34" s="8"/>
    </row>
    <row r="35" customFormat="false" ht="15" hidden="false" customHeight="false" outlineLevel="0" collapsed="false">
      <c r="A35" s="4" t="s">
        <v>541</v>
      </c>
      <c r="B35" s="4"/>
      <c r="C35" s="4"/>
      <c r="D35" s="4"/>
      <c r="E35" s="4"/>
      <c r="F35" s="4"/>
      <c r="G35" s="4"/>
      <c r="H35" s="4"/>
      <c r="I35" s="8"/>
      <c r="J35" s="8"/>
      <c r="K35" s="8"/>
      <c r="L35" s="8"/>
      <c r="M35" s="8"/>
      <c r="N35" s="8"/>
    </row>
    <row r="36" customFormat="false" ht="15" hidden="false" customHeight="false" outlineLevel="0" collapsed="false">
      <c r="A36" s="4" t="s">
        <v>542</v>
      </c>
      <c r="B36" s="4"/>
      <c r="C36" s="4"/>
      <c r="D36" s="4"/>
      <c r="E36" s="4"/>
      <c r="F36" s="4"/>
      <c r="G36" s="4"/>
      <c r="H36" s="4"/>
      <c r="I36" s="8"/>
      <c r="J36" s="8"/>
      <c r="K36" s="8"/>
      <c r="L36" s="8"/>
      <c r="M36" s="8"/>
      <c r="N36" s="8"/>
    </row>
    <row r="37" customFormat="false" ht="15" hidden="false" customHeight="false" outlineLevel="0" collapsed="false">
      <c r="A37" s="4" t="s">
        <v>543</v>
      </c>
      <c r="B37" s="4"/>
      <c r="C37" s="4"/>
      <c r="D37" s="4"/>
      <c r="E37" s="4"/>
      <c r="F37" s="4"/>
      <c r="G37" s="4"/>
      <c r="H37" s="4"/>
      <c r="I37" s="8"/>
      <c r="J37" s="8"/>
      <c r="K37" s="8"/>
      <c r="L37" s="8"/>
      <c r="M37" s="8"/>
      <c r="N37" s="8"/>
    </row>
    <row r="38" customFormat="false" ht="15" hidden="false" customHeight="false" outlineLevel="0" collapsed="false">
      <c r="A38" s="4" t="s">
        <v>544</v>
      </c>
      <c r="B38" s="4"/>
      <c r="C38" s="4"/>
      <c r="D38" s="4"/>
      <c r="E38" s="4"/>
      <c r="F38" s="4"/>
      <c r="G38" s="4"/>
      <c r="H38" s="4"/>
      <c r="I38" s="8"/>
      <c r="J38" s="8"/>
      <c r="K38" s="8"/>
      <c r="L38" s="8"/>
      <c r="M38" s="8"/>
      <c r="N38" s="8"/>
    </row>
    <row r="39" customFormat="false" ht="15" hidden="false" customHeight="false" outlineLevel="0" collapsed="false">
      <c r="A39" s="4" t="s">
        <v>545</v>
      </c>
      <c r="B39" s="4"/>
      <c r="C39" s="4"/>
      <c r="D39" s="4"/>
      <c r="E39" s="4"/>
      <c r="F39" s="4"/>
      <c r="G39" s="4"/>
      <c r="H39" s="4"/>
      <c r="I39" s="8"/>
      <c r="J39" s="8"/>
      <c r="K39" s="8"/>
      <c r="L39" s="8"/>
      <c r="M39" s="8"/>
      <c r="N39" s="8"/>
    </row>
    <row r="40" customFormat="false" ht="15" hidden="false" customHeight="false" outlineLevel="0" collapsed="false">
      <c r="A40" s="4" t="s">
        <v>546</v>
      </c>
      <c r="B40" s="4"/>
      <c r="C40" s="4"/>
      <c r="D40" s="4"/>
      <c r="E40" s="4"/>
      <c r="F40" s="4"/>
      <c r="G40" s="4"/>
      <c r="H40" s="4"/>
      <c r="I40" s="8"/>
      <c r="J40" s="8"/>
      <c r="K40" s="8"/>
      <c r="L40" s="8"/>
      <c r="M40" s="8"/>
      <c r="N40" s="8"/>
    </row>
    <row r="41" customFormat="false" ht="15" hidden="false" customHeight="false" outlineLevel="0" collapsed="false">
      <c r="A41" s="4" t="s">
        <v>547</v>
      </c>
      <c r="B41" s="4"/>
      <c r="C41" s="4"/>
      <c r="D41" s="4"/>
      <c r="E41" s="4"/>
      <c r="F41" s="4"/>
      <c r="G41" s="4"/>
      <c r="H41" s="4"/>
      <c r="I41" s="8"/>
      <c r="J41" s="8"/>
      <c r="K41" s="8"/>
      <c r="L41" s="8"/>
      <c r="M41" s="8"/>
      <c r="N41" s="8"/>
    </row>
    <row r="42" customFormat="false" ht="15" hidden="false" customHeight="false" outlineLevel="0" collapsed="false">
      <c r="A42" s="4" t="s">
        <v>548</v>
      </c>
      <c r="B42" s="4"/>
      <c r="C42" s="4"/>
      <c r="D42" s="4"/>
      <c r="E42" s="4"/>
      <c r="F42" s="4"/>
      <c r="G42" s="4"/>
      <c r="H42" s="4"/>
      <c r="I42" s="8"/>
      <c r="J42" s="8"/>
      <c r="K42" s="8"/>
      <c r="L42" s="8"/>
      <c r="M42" s="8"/>
      <c r="N42" s="8"/>
    </row>
    <row r="43" customFormat="false" ht="15" hidden="false" customHeight="false" outlineLevel="0" collapsed="false">
      <c r="A43" s="4" t="s">
        <v>549</v>
      </c>
      <c r="B43" s="4"/>
      <c r="C43" s="4"/>
      <c r="D43" s="4"/>
      <c r="E43" s="4"/>
      <c r="F43" s="4"/>
      <c r="G43" s="4"/>
      <c r="H43" s="4"/>
      <c r="I43" s="8"/>
      <c r="J43" s="8"/>
      <c r="K43" s="8"/>
      <c r="L43" s="8"/>
      <c r="M43" s="8"/>
      <c r="N43" s="8"/>
    </row>
    <row r="44" customFormat="false" ht="15" hidden="false" customHeight="false" outlineLevel="0" collapsed="false">
      <c r="A44" s="4" t="s">
        <v>550</v>
      </c>
      <c r="B44" s="4"/>
      <c r="C44" s="4"/>
      <c r="D44" s="4"/>
      <c r="E44" s="4"/>
      <c r="F44" s="4"/>
      <c r="G44" s="4"/>
      <c r="H44" s="4"/>
      <c r="I44" s="8"/>
      <c r="J44" s="8"/>
      <c r="K44" s="8"/>
      <c r="L44" s="8"/>
      <c r="M44" s="8"/>
      <c r="N44" s="8"/>
    </row>
    <row r="45" customFormat="false" ht="15" hidden="false" customHeight="false" outlineLevel="0" collapsed="false">
      <c r="A45" s="4" t="s">
        <v>551</v>
      </c>
      <c r="B45" s="4"/>
      <c r="C45" s="4"/>
      <c r="D45" s="4"/>
      <c r="E45" s="4"/>
      <c r="F45" s="4"/>
      <c r="G45" s="4"/>
      <c r="H45" s="4"/>
      <c r="I45" s="8"/>
      <c r="J45" s="8"/>
      <c r="K45" s="8"/>
      <c r="L45" s="8"/>
      <c r="M45" s="8"/>
      <c r="N45" s="8"/>
    </row>
    <row r="46" customFormat="false" ht="15" hidden="false" customHeight="false" outlineLevel="0" collapsed="false">
      <c r="A46" s="4" t="s">
        <v>552</v>
      </c>
      <c r="B46" s="4"/>
      <c r="C46" s="4"/>
      <c r="D46" s="4"/>
      <c r="E46" s="4"/>
      <c r="F46" s="4"/>
      <c r="G46" s="4"/>
      <c r="H46" s="4"/>
      <c r="I46" s="8"/>
      <c r="J46" s="8"/>
      <c r="K46" s="8"/>
      <c r="L46" s="8"/>
      <c r="M46" s="8"/>
      <c r="N46" s="8"/>
    </row>
    <row r="47" customFormat="false" ht="15" hidden="false" customHeight="false" outlineLevel="0" collapsed="false">
      <c r="A47" s="4" t="s">
        <v>553</v>
      </c>
      <c r="B47" s="4"/>
      <c r="C47" s="4"/>
      <c r="D47" s="4"/>
      <c r="E47" s="4"/>
      <c r="F47" s="4"/>
      <c r="G47" s="4"/>
      <c r="H47" s="4"/>
      <c r="I47" s="8"/>
      <c r="J47" s="8"/>
      <c r="K47" s="8"/>
      <c r="L47" s="8"/>
      <c r="M47" s="8"/>
      <c r="N47" s="8"/>
    </row>
    <row r="48" customFormat="false" ht="15" hidden="false" customHeight="false" outlineLevel="0" collapsed="false">
      <c r="A48" s="4" t="s">
        <v>554</v>
      </c>
      <c r="B48" s="4"/>
      <c r="C48" s="4"/>
      <c r="D48" s="4"/>
      <c r="E48" s="4"/>
      <c r="F48" s="4"/>
      <c r="G48" s="4"/>
      <c r="H48" s="4"/>
      <c r="I48" s="8"/>
      <c r="J48" s="8"/>
      <c r="K48" s="8"/>
      <c r="L48" s="8"/>
      <c r="M48" s="8"/>
      <c r="N48" s="8"/>
    </row>
    <row r="49" customFormat="false" ht="15" hidden="false" customHeight="false" outlineLevel="0" collapsed="false">
      <c r="A49" s="4" t="s">
        <v>555</v>
      </c>
      <c r="B49" s="4"/>
      <c r="C49" s="4"/>
      <c r="D49" s="4"/>
      <c r="E49" s="4"/>
      <c r="F49" s="4"/>
      <c r="G49" s="4"/>
      <c r="H49" s="4"/>
      <c r="I49" s="8"/>
      <c r="J49" s="8"/>
      <c r="K49" s="8"/>
      <c r="L49" s="8"/>
      <c r="M49" s="8"/>
      <c r="N49" s="8"/>
    </row>
    <row r="50" customFormat="false" ht="15" hidden="false" customHeight="false" outlineLevel="0" collapsed="false">
      <c r="A50" s="4" t="s">
        <v>556</v>
      </c>
      <c r="B50" s="4"/>
      <c r="C50" s="4"/>
      <c r="D50" s="4"/>
      <c r="E50" s="4"/>
      <c r="F50" s="4"/>
      <c r="G50" s="4"/>
      <c r="H50" s="4"/>
      <c r="I50" s="8"/>
      <c r="J50" s="8"/>
      <c r="K50" s="8"/>
      <c r="L50" s="8"/>
      <c r="M50" s="8"/>
      <c r="N50" s="8"/>
    </row>
    <row r="51" customFormat="false" ht="15" hidden="false" customHeight="false" outlineLevel="0" collapsed="false">
      <c r="A51" s="4" t="s">
        <v>557</v>
      </c>
      <c r="B51" s="4"/>
      <c r="C51" s="4"/>
      <c r="D51" s="4"/>
      <c r="E51" s="4"/>
      <c r="F51" s="4"/>
      <c r="G51" s="4"/>
      <c r="H51" s="4"/>
      <c r="I51" s="8"/>
      <c r="J51" s="8"/>
      <c r="K51" s="8"/>
      <c r="L51" s="8"/>
      <c r="M51" s="8"/>
      <c r="N51" s="8"/>
    </row>
    <row r="52" customFormat="false" ht="15" hidden="false" customHeight="false" outlineLevel="0" collapsed="false">
      <c r="A52" s="4" t="s">
        <v>558</v>
      </c>
      <c r="B52" s="4"/>
      <c r="C52" s="4"/>
      <c r="D52" s="4"/>
      <c r="E52" s="4"/>
      <c r="F52" s="4"/>
      <c r="G52" s="4"/>
      <c r="H52" s="4"/>
      <c r="I52" s="8"/>
      <c r="J52" s="8"/>
      <c r="K52" s="8"/>
      <c r="L52" s="8"/>
      <c r="M52" s="8"/>
      <c r="N52" s="8"/>
    </row>
    <row r="53" customFormat="false" ht="15" hidden="false" customHeight="false" outlineLevel="0" collapsed="false">
      <c r="A53" s="4" t="s">
        <v>559</v>
      </c>
      <c r="B53" s="4"/>
      <c r="C53" s="4"/>
      <c r="D53" s="4"/>
      <c r="E53" s="4"/>
      <c r="F53" s="4"/>
      <c r="G53" s="4"/>
      <c r="H53" s="4"/>
      <c r="I53" s="8"/>
      <c r="J53" s="8"/>
      <c r="K53" s="8"/>
      <c r="L53" s="8"/>
      <c r="M53" s="8"/>
      <c r="N53" s="8"/>
    </row>
    <row r="54" customFormat="false" ht="15" hidden="false" customHeight="false" outlineLevel="0" collapsed="false">
      <c r="A54" s="4" t="s">
        <v>560</v>
      </c>
      <c r="B54" s="4"/>
      <c r="C54" s="4"/>
      <c r="D54" s="4"/>
      <c r="E54" s="4"/>
      <c r="F54" s="4"/>
      <c r="G54" s="4"/>
      <c r="H54" s="4"/>
      <c r="I54" s="8"/>
      <c r="J54" s="8"/>
      <c r="K54" s="8"/>
      <c r="L54" s="8"/>
      <c r="M54" s="8"/>
      <c r="N54" s="8"/>
    </row>
    <row r="55" customFormat="false" ht="15" hidden="false" customHeight="false" outlineLevel="0" collapsed="false">
      <c r="A55" s="4" t="s">
        <v>561</v>
      </c>
      <c r="B55" s="4"/>
      <c r="C55" s="4"/>
      <c r="D55" s="4"/>
      <c r="E55" s="4"/>
      <c r="F55" s="4"/>
      <c r="G55" s="4"/>
      <c r="H55" s="4"/>
      <c r="I55" s="8"/>
      <c r="J55" s="8"/>
      <c r="K55" s="8"/>
      <c r="L55" s="8"/>
      <c r="M55" s="8"/>
      <c r="N55" s="8"/>
    </row>
  </sheetData>
  <mergeCells count="2">
    <mergeCell ref="A1:N1"/>
    <mergeCell ref="A2:N2"/>
  </mergeCells>
  <dataValidations count="1">
    <dataValidation allowBlank="false" errorStyle="stop" operator="between" showDropDown="false" showErrorMessage="false" showInputMessage="false" sqref="M6:M55" type="list">
      <formula1>"未盘,一致,差异,待复核"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5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46"/>
    <col collapsed="false" customWidth="true" hidden="false" outlineLevel="0" max="9" min="8" style="0" width="14"/>
    <col collapsed="false" customWidth="true" hidden="false" outlineLevel="0" max="10" min="10" style="0" width="30"/>
    <col collapsed="false" customWidth="true" hidden="false" outlineLevel="0" max="11" min="11" style="0" width="34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38"/>
  </cols>
  <sheetData>
    <row r="1" customFormat="false" ht="30" hidden="false" customHeight="true" outlineLevel="0" collapsed="false">
      <c r="A1" s="1" t="s">
        <v>562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8" hidden="false" customHeight="true" outlineLevel="0" collapsed="false">
      <c r="A2" s="2" t="s">
        <v>563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customFormat="false" ht="34" hidden="false" customHeight="true" outlineLevel="0" collapsed="false">
      <c r="A5" s="3" t="s">
        <v>564</v>
      </c>
      <c r="B5" s="3" t="s">
        <v>100</v>
      </c>
      <c r="C5" s="3" t="s">
        <v>456</v>
      </c>
      <c r="D5" s="3" t="s">
        <v>565</v>
      </c>
      <c r="E5" s="3" t="s">
        <v>318</v>
      </c>
      <c r="F5" s="3" t="s">
        <v>566</v>
      </c>
      <c r="G5" s="3" t="s">
        <v>567</v>
      </c>
      <c r="H5" s="3" t="s">
        <v>405</v>
      </c>
      <c r="I5" s="3" t="s">
        <v>568</v>
      </c>
      <c r="J5" s="3" t="s">
        <v>569</v>
      </c>
      <c r="K5" s="3" t="s">
        <v>570</v>
      </c>
      <c r="L5" s="3" t="s">
        <v>571</v>
      </c>
      <c r="M5" s="3" t="s">
        <v>120</v>
      </c>
      <c r="N5" s="3" t="s">
        <v>572</v>
      </c>
    </row>
    <row r="6" customFormat="false" ht="15" hidden="false" customHeight="false" outlineLevel="0" collapsed="false">
      <c r="A6" s="4" t="s">
        <v>573</v>
      </c>
      <c r="B6" s="4" t="s">
        <v>203</v>
      </c>
      <c r="C6" s="4" t="s">
        <v>204</v>
      </c>
      <c r="D6" s="4" t="s">
        <v>574</v>
      </c>
      <c r="E6" s="8" t="s">
        <v>210</v>
      </c>
      <c r="F6" s="8" t="s">
        <v>575</v>
      </c>
      <c r="G6" s="8" t="s">
        <v>576</v>
      </c>
      <c r="H6" s="8" t="s">
        <v>577</v>
      </c>
      <c r="I6" s="9" t="n">
        <v>46280</v>
      </c>
      <c r="J6" s="8" t="s">
        <v>578</v>
      </c>
      <c r="K6" s="8" t="s">
        <v>579</v>
      </c>
      <c r="L6" s="8" t="s">
        <v>37</v>
      </c>
      <c r="M6" s="8" t="s">
        <v>580</v>
      </c>
      <c r="N6" s="8"/>
    </row>
    <row r="7" customFormat="false" ht="15" hidden="false" customHeight="false" outlineLevel="0" collapsed="false">
      <c r="A7" s="4" t="s">
        <v>581</v>
      </c>
      <c r="B7" s="4" t="s">
        <v>296</v>
      </c>
      <c r="C7" s="4" t="s">
        <v>297</v>
      </c>
      <c r="D7" s="4" t="s">
        <v>307</v>
      </c>
      <c r="E7" s="8" t="s">
        <v>132</v>
      </c>
      <c r="F7" s="8" t="s">
        <v>582</v>
      </c>
      <c r="G7" s="8" t="s">
        <v>583</v>
      </c>
      <c r="H7" s="8" t="s">
        <v>584</v>
      </c>
      <c r="I7" s="9" t="n">
        <v>46277</v>
      </c>
      <c r="J7" s="8" t="s">
        <v>585</v>
      </c>
      <c r="K7" s="8" t="s">
        <v>586</v>
      </c>
      <c r="L7" s="8" t="s">
        <v>93</v>
      </c>
      <c r="M7" s="8" t="s">
        <v>580</v>
      </c>
      <c r="N7" s="8"/>
    </row>
    <row r="8" customFormat="false" ht="15" hidden="false" customHeight="false" outlineLevel="0" collapsed="false">
      <c r="A8" s="4" t="s">
        <v>587</v>
      </c>
      <c r="B8" s="4"/>
      <c r="C8" s="4"/>
      <c r="D8" s="4"/>
      <c r="E8" s="8"/>
      <c r="F8" s="8"/>
      <c r="G8" s="8"/>
      <c r="H8" s="8"/>
      <c r="I8" s="9"/>
      <c r="J8" s="8"/>
      <c r="K8" s="8"/>
      <c r="L8" s="8"/>
      <c r="M8" s="8"/>
      <c r="N8" s="8"/>
    </row>
    <row r="9" customFormat="false" ht="15" hidden="false" customHeight="false" outlineLevel="0" collapsed="false">
      <c r="A9" s="4" t="s">
        <v>588</v>
      </c>
      <c r="B9" s="4"/>
      <c r="C9" s="4"/>
      <c r="D9" s="4"/>
      <c r="E9" s="8"/>
      <c r="F9" s="8"/>
      <c r="G9" s="8"/>
      <c r="H9" s="8"/>
      <c r="I9" s="9"/>
      <c r="J9" s="8"/>
      <c r="K9" s="8"/>
      <c r="L9" s="8"/>
      <c r="M9" s="8"/>
      <c r="N9" s="8"/>
    </row>
    <row r="10" customFormat="false" ht="15" hidden="false" customHeight="false" outlineLevel="0" collapsed="false">
      <c r="A10" s="4" t="s">
        <v>589</v>
      </c>
      <c r="B10" s="4"/>
      <c r="C10" s="4"/>
      <c r="D10" s="4"/>
      <c r="E10" s="8"/>
      <c r="F10" s="8"/>
      <c r="G10" s="8"/>
      <c r="H10" s="8"/>
      <c r="I10" s="9"/>
      <c r="J10" s="8"/>
      <c r="K10" s="8"/>
      <c r="L10" s="8"/>
      <c r="M10" s="8"/>
      <c r="N10" s="8"/>
    </row>
    <row r="11" customFormat="false" ht="15" hidden="false" customHeight="false" outlineLevel="0" collapsed="false">
      <c r="A11" s="4" t="s">
        <v>590</v>
      </c>
      <c r="B11" s="4"/>
      <c r="C11" s="4"/>
      <c r="D11" s="4"/>
      <c r="E11" s="8"/>
      <c r="F11" s="8"/>
      <c r="G11" s="8"/>
      <c r="H11" s="8"/>
      <c r="I11" s="9"/>
      <c r="J11" s="8"/>
      <c r="K11" s="8"/>
      <c r="L11" s="8"/>
      <c r="M11" s="8"/>
      <c r="N11" s="8"/>
    </row>
    <row r="12" customFormat="false" ht="15" hidden="false" customHeight="false" outlineLevel="0" collapsed="false">
      <c r="A12" s="4" t="s">
        <v>591</v>
      </c>
      <c r="B12" s="4"/>
      <c r="C12" s="4"/>
      <c r="D12" s="4"/>
      <c r="E12" s="8"/>
      <c r="F12" s="8"/>
      <c r="G12" s="8"/>
      <c r="H12" s="8"/>
      <c r="I12" s="9"/>
      <c r="J12" s="8"/>
      <c r="K12" s="8"/>
      <c r="L12" s="8"/>
      <c r="M12" s="8"/>
      <c r="N12" s="8"/>
    </row>
    <row r="13" customFormat="false" ht="15" hidden="false" customHeight="false" outlineLevel="0" collapsed="false">
      <c r="A13" s="4" t="s">
        <v>592</v>
      </c>
      <c r="B13" s="4"/>
      <c r="C13" s="4"/>
      <c r="D13" s="4"/>
      <c r="E13" s="8"/>
      <c r="F13" s="8"/>
      <c r="G13" s="8"/>
      <c r="H13" s="8"/>
      <c r="I13" s="9"/>
      <c r="J13" s="8"/>
      <c r="K13" s="8"/>
      <c r="L13" s="8"/>
      <c r="M13" s="8"/>
      <c r="N13" s="8"/>
    </row>
    <row r="14" customFormat="false" ht="15" hidden="false" customHeight="false" outlineLevel="0" collapsed="false">
      <c r="A14" s="4" t="s">
        <v>593</v>
      </c>
      <c r="B14" s="4"/>
      <c r="C14" s="4"/>
      <c r="D14" s="4"/>
      <c r="E14" s="8"/>
      <c r="F14" s="8"/>
      <c r="G14" s="8"/>
      <c r="H14" s="8"/>
      <c r="I14" s="9"/>
      <c r="J14" s="8"/>
      <c r="K14" s="8"/>
      <c r="L14" s="8"/>
      <c r="M14" s="8"/>
      <c r="N14" s="8"/>
    </row>
    <row r="15" customFormat="false" ht="15" hidden="false" customHeight="false" outlineLevel="0" collapsed="false">
      <c r="A15" s="4" t="s">
        <v>594</v>
      </c>
      <c r="B15" s="4"/>
      <c r="C15" s="4"/>
      <c r="D15" s="4"/>
      <c r="E15" s="8"/>
      <c r="F15" s="8"/>
      <c r="G15" s="8"/>
      <c r="H15" s="8"/>
      <c r="I15" s="9"/>
      <c r="J15" s="8"/>
      <c r="K15" s="8"/>
      <c r="L15" s="8"/>
      <c r="M15" s="8"/>
      <c r="N15" s="8"/>
    </row>
    <row r="16" customFormat="false" ht="15" hidden="false" customHeight="false" outlineLevel="0" collapsed="false">
      <c r="A16" s="4" t="s">
        <v>595</v>
      </c>
      <c r="B16" s="4"/>
      <c r="C16" s="4"/>
      <c r="D16" s="4"/>
      <c r="E16" s="8"/>
      <c r="F16" s="8"/>
      <c r="G16" s="8"/>
      <c r="H16" s="8"/>
      <c r="I16" s="9"/>
      <c r="J16" s="8"/>
      <c r="K16" s="8"/>
      <c r="L16" s="8"/>
      <c r="M16" s="8"/>
      <c r="N16" s="8"/>
    </row>
    <row r="17" customFormat="false" ht="15" hidden="false" customHeight="false" outlineLevel="0" collapsed="false">
      <c r="A17" s="4" t="s">
        <v>596</v>
      </c>
      <c r="B17" s="4"/>
      <c r="C17" s="4"/>
      <c r="D17" s="4"/>
      <c r="E17" s="8"/>
      <c r="F17" s="8"/>
      <c r="G17" s="8"/>
      <c r="H17" s="8"/>
      <c r="I17" s="9"/>
      <c r="J17" s="8"/>
      <c r="K17" s="8"/>
      <c r="L17" s="8"/>
      <c r="M17" s="8"/>
      <c r="N17" s="8"/>
    </row>
    <row r="18" customFormat="false" ht="15" hidden="false" customHeight="false" outlineLevel="0" collapsed="false">
      <c r="A18" s="4" t="s">
        <v>597</v>
      </c>
      <c r="B18" s="4"/>
      <c r="C18" s="4"/>
      <c r="D18" s="4"/>
      <c r="E18" s="8"/>
      <c r="F18" s="8"/>
      <c r="G18" s="8"/>
      <c r="H18" s="8"/>
      <c r="I18" s="9"/>
      <c r="J18" s="8"/>
      <c r="K18" s="8"/>
      <c r="L18" s="8"/>
      <c r="M18" s="8"/>
      <c r="N18" s="8"/>
    </row>
    <row r="19" customFormat="false" ht="15" hidden="false" customHeight="false" outlineLevel="0" collapsed="false">
      <c r="A19" s="4" t="s">
        <v>598</v>
      </c>
      <c r="B19" s="4"/>
      <c r="C19" s="4"/>
      <c r="D19" s="4"/>
      <c r="E19" s="8"/>
      <c r="F19" s="8"/>
      <c r="G19" s="8"/>
      <c r="H19" s="8"/>
      <c r="I19" s="9"/>
      <c r="J19" s="8"/>
      <c r="K19" s="8"/>
      <c r="L19" s="8"/>
      <c r="M19" s="8"/>
      <c r="N19" s="8"/>
    </row>
    <row r="20" customFormat="false" ht="15" hidden="false" customHeight="false" outlineLevel="0" collapsed="false">
      <c r="A20" s="4" t="s">
        <v>599</v>
      </c>
      <c r="B20" s="4"/>
      <c r="C20" s="4"/>
      <c r="D20" s="4"/>
      <c r="E20" s="8"/>
      <c r="F20" s="8"/>
      <c r="G20" s="8"/>
      <c r="H20" s="8"/>
      <c r="I20" s="9"/>
      <c r="J20" s="8"/>
      <c r="K20" s="8"/>
      <c r="L20" s="8"/>
      <c r="M20" s="8"/>
      <c r="N20" s="8"/>
    </row>
    <row r="21" customFormat="false" ht="15" hidden="false" customHeight="false" outlineLevel="0" collapsed="false">
      <c r="A21" s="4" t="s">
        <v>600</v>
      </c>
      <c r="B21" s="4"/>
      <c r="C21" s="4"/>
      <c r="D21" s="4"/>
      <c r="E21" s="8"/>
      <c r="F21" s="8"/>
      <c r="G21" s="8"/>
      <c r="H21" s="8"/>
      <c r="I21" s="9"/>
      <c r="J21" s="8"/>
      <c r="K21" s="8"/>
      <c r="L21" s="8"/>
      <c r="M21" s="8"/>
      <c r="N21" s="8"/>
    </row>
    <row r="22" customFormat="false" ht="15" hidden="false" customHeight="false" outlineLevel="0" collapsed="false">
      <c r="A22" s="4" t="s">
        <v>601</v>
      </c>
      <c r="B22" s="4"/>
      <c r="C22" s="4"/>
      <c r="D22" s="4"/>
      <c r="E22" s="8"/>
      <c r="F22" s="8"/>
      <c r="G22" s="8"/>
      <c r="H22" s="8"/>
      <c r="I22" s="9"/>
      <c r="J22" s="8"/>
      <c r="K22" s="8"/>
      <c r="L22" s="8"/>
      <c r="M22" s="8"/>
      <c r="N22" s="8"/>
    </row>
    <row r="23" customFormat="false" ht="15" hidden="false" customHeight="false" outlineLevel="0" collapsed="false">
      <c r="A23" s="4" t="s">
        <v>602</v>
      </c>
      <c r="B23" s="4"/>
      <c r="C23" s="4"/>
      <c r="D23" s="4"/>
      <c r="E23" s="8"/>
      <c r="F23" s="8"/>
      <c r="G23" s="8"/>
      <c r="H23" s="8"/>
      <c r="I23" s="9"/>
      <c r="J23" s="8"/>
      <c r="K23" s="8"/>
      <c r="L23" s="8"/>
      <c r="M23" s="8"/>
      <c r="N23" s="8"/>
    </row>
    <row r="24" customFormat="false" ht="15" hidden="false" customHeight="false" outlineLevel="0" collapsed="false">
      <c r="A24" s="4" t="s">
        <v>603</v>
      </c>
      <c r="B24" s="4"/>
      <c r="C24" s="4"/>
      <c r="D24" s="4"/>
      <c r="E24" s="8"/>
      <c r="F24" s="8"/>
      <c r="G24" s="8"/>
      <c r="H24" s="8"/>
      <c r="I24" s="9"/>
      <c r="J24" s="8"/>
      <c r="K24" s="8"/>
      <c r="L24" s="8"/>
      <c r="M24" s="8"/>
      <c r="N24" s="8"/>
    </row>
    <row r="25" customFormat="false" ht="15" hidden="false" customHeight="false" outlineLevel="0" collapsed="false">
      <c r="A25" s="4" t="s">
        <v>604</v>
      </c>
      <c r="B25" s="4"/>
      <c r="C25" s="4"/>
      <c r="D25" s="4"/>
      <c r="E25" s="8"/>
      <c r="F25" s="8"/>
      <c r="G25" s="8"/>
      <c r="H25" s="8"/>
      <c r="I25" s="9"/>
      <c r="J25" s="8"/>
      <c r="K25" s="8"/>
      <c r="L25" s="8"/>
      <c r="M25" s="8"/>
      <c r="N25" s="8"/>
    </row>
    <row r="26" customFormat="false" ht="15" hidden="false" customHeight="false" outlineLevel="0" collapsed="false">
      <c r="A26" s="4" t="s">
        <v>605</v>
      </c>
      <c r="B26" s="4"/>
      <c r="C26" s="4"/>
      <c r="D26" s="4"/>
      <c r="E26" s="8"/>
      <c r="F26" s="8"/>
      <c r="G26" s="8"/>
      <c r="H26" s="8"/>
      <c r="I26" s="9"/>
      <c r="J26" s="8"/>
      <c r="K26" s="8"/>
      <c r="L26" s="8"/>
      <c r="M26" s="8"/>
      <c r="N26" s="8"/>
    </row>
    <row r="27" customFormat="false" ht="15" hidden="false" customHeight="false" outlineLevel="0" collapsed="false">
      <c r="A27" s="4" t="s">
        <v>606</v>
      </c>
      <c r="B27" s="4"/>
      <c r="C27" s="4"/>
      <c r="D27" s="4"/>
      <c r="E27" s="8"/>
      <c r="F27" s="8"/>
      <c r="G27" s="8"/>
      <c r="H27" s="8"/>
      <c r="I27" s="9"/>
      <c r="J27" s="8"/>
      <c r="K27" s="8"/>
      <c r="L27" s="8"/>
      <c r="M27" s="8"/>
      <c r="N27" s="8"/>
    </row>
    <row r="28" customFormat="false" ht="15" hidden="false" customHeight="false" outlineLevel="0" collapsed="false">
      <c r="A28" s="4" t="s">
        <v>607</v>
      </c>
      <c r="B28" s="4"/>
      <c r="C28" s="4"/>
      <c r="D28" s="4"/>
      <c r="E28" s="8"/>
      <c r="F28" s="8"/>
      <c r="G28" s="8"/>
      <c r="H28" s="8"/>
      <c r="I28" s="9"/>
      <c r="J28" s="8"/>
      <c r="K28" s="8"/>
      <c r="L28" s="8"/>
      <c r="M28" s="8"/>
      <c r="N28" s="8"/>
    </row>
    <row r="29" customFormat="false" ht="15" hidden="false" customHeight="false" outlineLevel="0" collapsed="false">
      <c r="A29" s="4" t="s">
        <v>608</v>
      </c>
      <c r="B29" s="4"/>
      <c r="C29" s="4"/>
      <c r="D29" s="4"/>
      <c r="E29" s="8"/>
      <c r="F29" s="8"/>
      <c r="G29" s="8"/>
      <c r="H29" s="8"/>
      <c r="I29" s="9"/>
      <c r="J29" s="8"/>
      <c r="K29" s="8"/>
      <c r="L29" s="8"/>
      <c r="M29" s="8"/>
      <c r="N29" s="8"/>
    </row>
    <row r="30" customFormat="false" ht="15" hidden="false" customHeight="false" outlineLevel="0" collapsed="false">
      <c r="A30" s="4" t="s">
        <v>609</v>
      </c>
      <c r="B30" s="4"/>
      <c r="C30" s="4"/>
      <c r="D30" s="4"/>
      <c r="E30" s="8"/>
      <c r="F30" s="8"/>
      <c r="G30" s="8"/>
      <c r="H30" s="8"/>
      <c r="I30" s="9"/>
      <c r="J30" s="8"/>
      <c r="K30" s="8"/>
      <c r="L30" s="8"/>
      <c r="M30" s="8"/>
      <c r="N30" s="8"/>
    </row>
    <row r="31" customFormat="false" ht="15" hidden="false" customHeight="false" outlineLevel="0" collapsed="false">
      <c r="A31" s="4" t="s">
        <v>610</v>
      </c>
      <c r="B31" s="4"/>
      <c r="C31" s="4"/>
      <c r="D31" s="4"/>
      <c r="E31" s="8"/>
      <c r="F31" s="8"/>
      <c r="G31" s="8"/>
      <c r="H31" s="8"/>
      <c r="I31" s="9"/>
      <c r="J31" s="8"/>
      <c r="K31" s="8"/>
      <c r="L31" s="8"/>
      <c r="M31" s="8"/>
      <c r="N31" s="8"/>
    </row>
    <row r="32" customFormat="false" ht="15" hidden="false" customHeight="false" outlineLevel="0" collapsed="false">
      <c r="A32" s="4" t="s">
        <v>611</v>
      </c>
      <c r="B32" s="4"/>
      <c r="C32" s="4"/>
      <c r="D32" s="4"/>
      <c r="E32" s="8"/>
      <c r="F32" s="8"/>
      <c r="G32" s="8"/>
      <c r="H32" s="8"/>
      <c r="I32" s="9"/>
      <c r="J32" s="8"/>
      <c r="K32" s="8"/>
      <c r="L32" s="8"/>
      <c r="M32" s="8"/>
      <c r="N32" s="8"/>
    </row>
    <row r="33" customFormat="false" ht="15" hidden="false" customHeight="false" outlineLevel="0" collapsed="false">
      <c r="A33" s="4" t="s">
        <v>612</v>
      </c>
      <c r="B33" s="4"/>
      <c r="C33" s="4"/>
      <c r="D33" s="4"/>
      <c r="E33" s="8"/>
      <c r="F33" s="8"/>
      <c r="G33" s="8"/>
      <c r="H33" s="8"/>
      <c r="I33" s="9"/>
      <c r="J33" s="8"/>
      <c r="K33" s="8"/>
      <c r="L33" s="8"/>
      <c r="M33" s="8"/>
      <c r="N33" s="8"/>
    </row>
    <row r="34" customFormat="false" ht="15" hidden="false" customHeight="false" outlineLevel="0" collapsed="false">
      <c r="A34" s="4" t="s">
        <v>613</v>
      </c>
      <c r="B34" s="4"/>
      <c r="C34" s="4"/>
      <c r="D34" s="4"/>
      <c r="E34" s="8"/>
      <c r="F34" s="8"/>
      <c r="G34" s="8"/>
      <c r="H34" s="8"/>
      <c r="I34" s="9"/>
      <c r="J34" s="8"/>
      <c r="K34" s="8"/>
      <c r="L34" s="8"/>
      <c r="M34" s="8"/>
      <c r="N34" s="8"/>
    </row>
    <row r="35" customFormat="false" ht="15" hidden="false" customHeight="false" outlineLevel="0" collapsed="false">
      <c r="A35" s="4" t="s">
        <v>614</v>
      </c>
      <c r="B35" s="4"/>
      <c r="C35" s="4"/>
      <c r="D35" s="4"/>
      <c r="E35" s="8"/>
      <c r="F35" s="8"/>
      <c r="G35" s="8"/>
      <c r="H35" s="8"/>
      <c r="I35" s="9"/>
      <c r="J35" s="8"/>
      <c r="K35" s="8"/>
      <c r="L35" s="8"/>
      <c r="M35" s="8"/>
      <c r="N35" s="8"/>
    </row>
    <row r="36" customFormat="false" ht="15" hidden="false" customHeight="false" outlineLevel="0" collapsed="false">
      <c r="A36" s="4" t="s">
        <v>615</v>
      </c>
      <c r="B36" s="4"/>
      <c r="C36" s="4"/>
      <c r="D36" s="4"/>
      <c r="E36" s="8"/>
      <c r="F36" s="8"/>
      <c r="G36" s="8"/>
      <c r="H36" s="8"/>
      <c r="I36" s="9"/>
      <c r="J36" s="8"/>
      <c r="K36" s="8"/>
      <c r="L36" s="8"/>
      <c r="M36" s="8"/>
      <c r="N36" s="8"/>
    </row>
    <row r="37" customFormat="false" ht="15" hidden="false" customHeight="false" outlineLevel="0" collapsed="false">
      <c r="A37" s="4" t="s">
        <v>616</v>
      </c>
      <c r="B37" s="4"/>
      <c r="C37" s="4"/>
      <c r="D37" s="4"/>
      <c r="E37" s="8"/>
      <c r="F37" s="8"/>
      <c r="G37" s="8"/>
      <c r="H37" s="8"/>
      <c r="I37" s="9"/>
      <c r="J37" s="8"/>
      <c r="K37" s="8"/>
      <c r="L37" s="8"/>
      <c r="M37" s="8"/>
      <c r="N37" s="8"/>
    </row>
    <row r="38" customFormat="false" ht="15" hidden="false" customHeight="false" outlineLevel="0" collapsed="false">
      <c r="A38" s="4" t="s">
        <v>617</v>
      </c>
      <c r="B38" s="4"/>
      <c r="C38" s="4"/>
      <c r="D38" s="4"/>
      <c r="E38" s="8"/>
      <c r="F38" s="8"/>
      <c r="G38" s="8"/>
      <c r="H38" s="8"/>
      <c r="I38" s="9"/>
      <c r="J38" s="8"/>
      <c r="K38" s="8"/>
      <c r="L38" s="8"/>
      <c r="M38" s="8"/>
      <c r="N38" s="8"/>
    </row>
    <row r="39" customFormat="false" ht="15" hidden="false" customHeight="false" outlineLevel="0" collapsed="false">
      <c r="A39" s="4" t="s">
        <v>618</v>
      </c>
      <c r="B39" s="4"/>
      <c r="C39" s="4"/>
      <c r="D39" s="4"/>
      <c r="E39" s="8"/>
      <c r="F39" s="8"/>
      <c r="G39" s="8"/>
      <c r="H39" s="8"/>
      <c r="I39" s="9"/>
      <c r="J39" s="8"/>
      <c r="K39" s="8"/>
      <c r="L39" s="8"/>
      <c r="M39" s="8"/>
      <c r="N39" s="8"/>
    </row>
    <row r="40" customFormat="false" ht="15" hidden="false" customHeight="false" outlineLevel="0" collapsed="false">
      <c r="A40" s="4" t="s">
        <v>619</v>
      </c>
      <c r="B40" s="4"/>
      <c r="C40" s="4"/>
      <c r="D40" s="4"/>
      <c r="E40" s="8"/>
      <c r="F40" s="8"/>
      <c r="G40" s="8"/>
      <c r="H40" s="8"/>
      <c r="I40" s="9"/>
      <c r="J40" s="8"/>
      <c r="K40" s="8"/>
      <c r="L40" s="8"/>
      <c r="M40" s="8"/>
      <c r="N40" s="8"/>
    </row>
    <row r="41" customFormat="false" ht="15" hidden="false" customHeight="false" outlineLevel="0" collapsed="false">
      <c r="A41" s="4" t="s">
        <v>620</v>
      </c>
      <c r="B41" s="4"/>
      <c r="C41" s="4"/>
      <c r="D41" s="4"/>
      <c r="E41" s="8"/>
      <c r="F41" s="8"/>
      <c r="G41" s="8"/>
      <c r="H41" s="8"/>
      <c r="I41" s="9"/>
      <c r="J41" s="8"/>
      <c r="K41" s="8"/>
      <c r="L41" s="8"/>
      <c r="M41" s="8"/>
      <c r="N41" s="8"/>
    </row>
    <row r="42" customFormat="false" ht="15" hidden="false" customHeight="false" outlineLevel="0" collapsed="false">
      <c r="A42" s="4" t="s">
        <v>621</v>
      </c>
      <c r="B42" s="4"/>
      <c r="C42" s="4"/>
      <c r="D42" s="4"/>
      <c r="E42" s="8"/>
      <c r="F42" s="8"/>
      <c r="G42" s="8"/>
      <c r="H42" s="8"/>
      <c r="I42" s="9"/>
      <c r="J42" s="8"/>
      <c r="K42" s="8"/>
      <c r="L42" s="8"/>
      <c r="M42" s="8"/>
      <c r="N42" s="8"/>
    </row>
    <row r="43" customFormat="false" ht="15" hidden="false" customHeight="false" outlineLevel="0" collapsed="false">
      <c r="A43" s="4" t="s">
        <v>622</v>
      </c>
      <c r="B43" s="4"/>
      <c r="C43" s="4"/>
      <c r="D43" s="4"/>
      <c r="E43" s="8"/>
      <c r="F43" s="8"/>
      <c r="G43" s="8"/>
      <c r="H43" s="8"/>
      <c r="I43" s="9"/>
      <c r="J43" s="8"/>
      <c r="K43" s="8"/>
      <c r="L43" s="8"/>
      <c r="M43" s="8"/>
      <c r="N43" s="8"/>
    </row>
    <row r="44" customFormat="false" ht="15" hidden="false" customHeight="false" outlineLevel="0" collapsed="false">
      <c r="A44" s="4" t="s">
        <v>623</v>
      </c>
      <c r="B44" s="4"/>
      <c r="C44" s="4"/>
      <c r="D44" s="4"/>
      <c r="E44" s="8"/>
      <c r="F44" s="8"/>
      <c r="G44" s="8"/>
      <c r="H44" s="8"/>
      <c r="I44" s="9"/>
      <c r="J44" s="8"/>
      <c r="K44" s="8"/>
      <c r="L44" s="8"/>
      <c r="M44" s="8"/>
      <c r="N44" s="8"/>
    </row>
    <row r="45" customFormat="false" ht="15" hidden="false" customHeight="false" outlineLevel="0" collapsed="false">
      <c r="A45" s="4" t="s">
        <v>624</v>
      </c>
      <c r="B45" s="4"/>
      <c r="C45" s="4"/>
      <c r="D45" s="4"/>
      <c r="E45" s="8"/>
      <c r="F45" s="8"/>
      <c r="G45" s="8"/>
      <c r="H45" s="8"/>
      <c r="I45" s="9"/>
      <c r="J45" s="8"/>
      <c r="K45" s="8"/>
      <c r="L45" s="8"/>
      <c r="M45" s="8"/>
      <c r="N45" s="8"/>
    </row>
    <row r="46" customFormat="false" ht="15" hidden="false" customHeight="false" outlineLevel="0" collapsed="false">
      <c r="A46" s="4" t="s">
        <v>625</v>
      </c>
      <c r="B46" s="4"/>
      <c r="C46" s="4"/>
      <c r="D46" s="4"/>
      <c r="E46" s="8"/>
      <c r="F46" s="8"/>
      <c r="G46" s="8"/>
      <c r="H46" s="8"/>
      <c r="I46" s="9"/>
      <c r="J46" s="8"/>
      <c r="K46" s="8"/>
      <c r="L46" s="8"/>
      <c r="M46" s="8"/>
      <c r="N46" s="8"/>
    </row>
    <row r="47" customFormat="false" ht="15" hidden="false" customHeight="false" outlineLevel="0" collapsed="false">
      <c r="A47" s="4" t="s">
        <v>626</v>
      </c>
      <c r="B47" s="4"/>
      <c r="C47" s="4"/>
      <c r="D47" s="4"/>
      <c r="E47" s="8"/>
      <c r="F47" s="8"/>
      <c r="G47" s="8"/>
      <c r="H47" s="8"/>
      <c r="I47" s="9"/>
      <c r="J47" s="8"/>
      <c r="K47" s="8"/>
      <c r="L47" s="8"/>
      <c r="M47" s="8"/>
      <c r="N47" s="8"/>
    </row>
    <row r="48" customFormat="false" ht="15" hidden="false" customHeight="false" outlineLevel="0" collapsed="false">
      <c r="A48" s="4" t="s">
        <v>627</v>
      </c>
      <c r="B48" s="4"/>
      <c r="C48" s="4"/>
      <c r="D48" s="4"/>
      <c r="E48" s="8"/>
      <c r="F48" s="8"/>
      <c r="G48" s="8"/>
      <c r="H48" s="8"/>
      <c r="I48" s="9"/>
      <c r="J48" s="8"/>
      <c r="K48" s="8"/>
      <c r="L48" s="8"/>
      <c r="M48" s="8"/>
      <c r="N48" s="8"/>
    </row>
    <row r="49" customFormat="false" ht="15" hidden="false" customHeight="false" outlineLevel="0" collapsed="false">
      <c r="A49" s="4" t="s">
        <v>628</v>
      </c>
      <c r="B49" s="4"/>
      <c r="C49" s="4"/>
      <c r="D49" s="4"/>
      <c r="E49" s="8"/>
      <c r="F49" s="8"/>
      <c r="G49" s="8"/>
      <c r="H49" s="8"/>
      <c r="I49" s="9"/>
      <c r="J49" s="8"/>
      <c r="K49" s="8"/>
      <c r="L49" s="8"/>
      <c r="M49" s="8"/>
      <c r="N49" s="8"/>
    </row>
    <row r="50" customFormat="false" ht="15" hidden="false" customHeight="false" outlineLevel="0" collapsed="false">
      <c r="A50" s="4" t="s">
        <v>629</v>
      </c>
      <c r="B50" s="4"/>
      <c r="C50" s="4"/>
      <c r="D50" s="4"/>
      <c r="E50" s="8"/>
      <c r="F50" s="8"/>
      <c r="G50" s="8"/>
      <c r="H50" s="8"/>
      <c r="I50" s="9"/>
      <c r="J50" s="8"/>
      <c r="K50" s="8"/>
      <c r="L50" s="8"/>
      <c r="M50" s="8"/>
      <c r="N50" s="8"/>
    </row>
    <row r="51" customFormat="false" ht="15" hidden="false" customHeight="false" outlineLevel="0" collapsed="false">
      <c r="A51" s="4" t="s">
        <v>630</v>
      </c>
      <c r="B51" s="4"/>
      <c r="C51" s="4"/>
      <c r="D51" s="4"/>
      <c r="E51" s="8"/>
      <c r="F51" s="8"/>
      <c r="G51" s="8"/>
      <c r="H51" s="8"/>
      <c r="I51" s="9"/>
      <c r="J51" s="8"/>
      <c r="K51" s="8"/>
      <c r="L51" s="8"/>
      <c r="M51" s="8"/>
      <c r="N51" s="8"/>
    </row>
    <row r="52" customFormat="false" ht="15" hidden="false" customHeight="false" outlineLevel="0" collapsed="false">
      <c r="A52" s="4" t="s">
        <v>631</v>
      </c>
      <c r="B52" s="4"/>
      <c r="C52" s="4"/>
      <c r="D52" s="4"/>
      <c r="E52" s="8"/>
      <c r="F52" s="8"/>
      <c r="G52" s="8"/>
      <c r="H52" s="8"/>
      <c r="I52" s="9"/>
      <c r="J52" s="8"/>
      <c r="K52" s="8"/>
      <c r="L52" s="8"/>
      <c r="M52" s="8"/>
      <c r="N52" s="8"/>
    </row>
    <row r="53" customFormat="false" ht="15" hidden="false" customHeight="false" outlineLevel="0" collapsed="false">
      <c r="A53" s="4" t="s">
        <v>632</v>
      </c>
      <c r="B53" s="4"/>
      <c r="C53" s="4"/>
      <c r="D53" s="4"/>
      <c r="E53" s="8"/>
      <c r="F53" s="8"/>
      <c r="G53" s="8"/>
      <c r="H53" s="8"/>
      <c r="I53" s="9"/>
      <c r="J53" s="8"/>
      <c r="K53" s="8"/>
      <c r="L53" s="8"/>
      <c r="M53" s="8"/>
      <c r="N53" s="8"/>
    </row>
    <row r="54" customFormat="false" ht="15" hidden="false" customHeight="false" outlineLevel="0" collapsed="false">
      <c r="A54" s="4" t="s">
        <v>633</v>
      </c>
      <c r="B54" s="4"/>
      <c r="C54" s="4"/>
      <c r="D54" s="4"/>
      <c r="E54" s="8"/>
      <c r="F54" s="8"/>
      <c r="G54" s="8"/>
      <c r="H54" s="8"/>
      <c r="I54" s="9"/>
      <c r="J54" s="8"/>
      <c r="K54" s="8"/>
      <c r="L54" s="8"/>
      <c r="M54" s="8"/>
      <c r="N54" s="8"/>
    </row>
    <row r="55" customFormat="false" ht="15" hidden="false" customHeight="false" outlineLevel="0" collapsed="false">
      <c r="A55" s="4" t="s">
        <v>634</v>
      </c>
      <c r="B55" s="4"/>
      <c r="C55" s="4"/>
      <c r="D55" s="4"/>
      <c r="E55" s="8"/>
      <c r="F55" s="8"/>
      <c r="G55" s="8"/>
      <c r="H55" s="8"/>
      <c r="I55" s="9"/>
      <c r="J55" s="8"/>
      <c r="K55" s="8"/>
      <c r="L55" s="8"/>
      <c r="M55" s="8"/>
      <c r="N55" s="8"/>
    </row>
  </sheetData>
  <mergeCells count="2">
    <mergeCell ref="A1:N1"/>
    <mergeCell ref="A2:N2"/>
  </mergeCells>
  <dataValidations count="1">
    <dataValidation allowBlank="false" errorStyle="stop" operator="between" showDropDown="false" showErrorMessage="false" showInputMessage="false" sqref="M6:M55" type="list">
      <formula1>"Open,In Progress,Resolved,Closed,Accepted Risk"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15"/>
    <col collapsed="false" customWidth="true" hidden="false" outlineLevel="0" max="9" min="9" style="0" width="32"/>
    <col collapsed="false" customWidth="true" hidden="false" outlineLevel="0" max="10" min="10" style="0" width="15"/>
    <col collapsed="false" customWidth="true" hidden="false" outlineLevel="0" max="11" min="11" style="0" width="36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4" min="14" style="0" width="13"/>
  </cols>
  <sheetData>
    <row r="1" customFormat="false" ht="30" hidden="false" customHeight="true" outlineLevel="0" collapsed="false">
      <c r="A1" s="1" t="s">
        <v>635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8" hidden="false" customHeight="true" outlineLevel="0" collapsed="false">
      <c r="A2" s="2" t="s">
        <v>636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customFormat="false" ht="34" hidden="false" customHeight="true" outlineLevel="0" collapsed="false">
      <c r="A5" s="3" t="s">
        <v>637</v>
      </c>
      <c r="B5" s="3" t="s">
        <v>100</v>
      </c>
      <c r="C5" s="3" t="s">
        <v>456</v>
      </c>
      <c r="D5" s="3" t="s">
        <v>108</v>
      </c>
      <c r="E5" s="3" t="s">
        <v>317</v>
      </c>
      <c r="F5" s="3" t="s">
        <v>318</v>
      </c>
      <c r="G5" s="3" t="s">
        <v>118</v>
      </c>
      <c r="H5" s="3" t="s">
        <v>638</v>
      </c>
      <c r="I5" s="3" t="s">
        <v>639</v>
      </c>
      <c r="J5" s="3" t="s">
        <v>640</v>
      </c>
      <c r="K5" s="3" t="s">
        <v>641</v>
      </c>
      <c r="L5" s="3" t="s">
        <v>642</v>
      </c>
      <c r="M5" s="3" t="s">
        <v>643</v>
      </c>
      <c r="N5" s="3" t="s">
        <v>120</v>
      </c>
    </row>
    <row r="6" customFormat="false" ht="15" hidden="false" customHeight="false" outlineLevel="0" collapsed="false">
      <c r="A6" s="4" t="s">
        <v>644</v>
      </c>
      <c r="B6" s="4" t="s">
        <v>138</v>
      </c>
      <c r="C6" s="4" t="s">
        <v>139</v>
      </c>
      <c r="D6" s="5" t="n">
        <v>3200000</v>
      </c>
      <c r="E6" s="5" t="n">
        <v>1530667</v>
      </c>
      <c r="F6" s="4" t="s">
        <v>145</v>
      </c>
      <c r="G6" s="4" t="s">
        <v>147</v>
      </c>
      <c r="H6" s="7"/>
      <c r="I6" s="8" t="s">
        <v>149</v>
      </c>
      <c r="J6" s="8"/>
      <c r="K6" s="8"/>
      <c r="L6" s="8"/>
      <c r="M6" s="8"/>
      <c r="N6" s="8" t="s">
        <v>645</v>
      </c>
    </row>
    <row r="7" customFormat="false" ht="15" hidden="false" customHeight="false" outlineLevel="0" collapsed="false">
      <c r="A7" s="4" t="s">
        <v>646</v>
      </c>
      <c r="B7" s="4" t="s">
        <v>227</v>
      </c>
      <c r="C7" s="4" t="s">
        <v>228</v>
      </c>
      <c r="D7" s="5" t="n">
        <v>2400000</v>
      </c>
      <c r="E7" s="5" t="n">
        <v>120000</v>
      </c>
      <c r="F7" s="4" t="s">
        <v>234</v>
      </c>
      <c r="G7" s="4" t="s">
        <v>236</v>
      </c>
      <c r="H7" s="7"/>
      <c r="I7" s="8" t="s">
        <v>149</v>
      </c>
      <c r="J7" s="8"/>
      <c r="K7" s="8"/>
      <c r="L7" s="8"/>
      <c r="M7" s="8"/>
      <c r="N7" s="8" t="s">
        <v>645</v>
      </c>
    </row>
    <row r="8" customFormat="false" ht="15" hidden="false" customHeight="false" outlineLevel="0" collapsed="false">
      <c r="A8" s="4" t="s">
        <v>647</v>
      </c>
      <c r="B8" s="4"/>
      <c r="C8" s="4"/>
      <c r="D8" s="5" t="n">
        <v>0</v>
      </c>
      <c r="E8" s="5" t="n">
        <v>0</v>
      </c>
      <c r="F8" s="4"/>
      <c r="G8" s="4"/>
      <c r="H8" s="7"/>
      <c r="I8" s="8"/>
      <c r="J8" s="8"/>
      <c r="K8" s="8"/>
      <c r="L8" s="8"/>
      <c r="M8" s="8"/>
      <c r="N8" s="8"/>
    </row>
    <row r="9" customFormat="false" ht="15" hidden="false" customHeight="false" outlineLevel="0" collapsed="false">
      <c r="A9" s="4" t="s">
        <v>648</v>
      </c>
      <c r="B9" s="4"/>
      <c r="C9" s="4"/>
      <c r="D9" s="5" t="n">
        <v>0</v>
      </c>
      <c r="E9" s="5" t="n">
        <v>0</v>
      </c>
      <c r="F9" s="4"/>
      <c r="G9" s="4"/>
      <c r="H9" s="7"/>
      <c r="I9" s="8"/>
      <c r="J9" s="8"/>
      <c r="K9" s="8"/>
      <c r="L9" s="8"/>
      <c r="M9" s="8"/>
      <c r="N9" s="8"/>
    </row>
    <row r="10" customFormat="false" ht="15" hidden="false" customHeight="false" outlineLevel="0" collapsed="false">
      <c r="A10" s="4" t="s">
        <v>649</v>
      </c>
      <c r="B10" s="4"/>
      <c r="C10" s="4"/>
      <c r="D10" s="5" t="n">
        <v>0</v>
      </c>
      <c r="E10" s="5" t="n">
        <v>0</v>
      </c>
      <c r="F10" s="4"/>
      <c r="G10" s="4"/>
      <c r="H10" s="7"/>
      <c r="I10" s="8"/>
      <c r="J10" s="8"/>
      <c r="K10" s="8"/>
      <c r="L10" s="8"/>
      <c r="M10" s="8"/>
      <c r="N10" s="8"/>
    </row>
    <row r="11" customFormat="false" ht="15" hidden="false" customHeight="false" outlineLevel="0" collapsed="false">
      <c r="A11" s="4" t="s">
        <v>650</v>
      </c>
      <c r="B11" s="4"/>
      <c r="C11" s="4"/>
      <c r="D11" s="5" t="n">
        <v>0</v>
      </c>
      <c r="E11" s="5" t="n">
        <v>0</v>
      </c>
      <c r="F11" s="4"/>
      <c r="G11" s="4"/>
      <c r="H11" s="7"/>
      <c r="I11" s="8"/>
      <c r="J11" s="8"/>
      <c r="K11" s="8"/>
      <c r="L11" s="8"/>
      <c r="M11" s="8"/>
      <c r="N11" s="8"/>
    </row>
    <row r="12" customFormat="false" ht="15" hidden="false" customHeight="false" outlineLevel="0" collapsed="false">
      <c r="A12" s="4" t="s">
        <v>651</v>
      </c>
      <c r="B12" s="4"/>
      <c r="C12" s="4"/>
      <c r="D12" s="5" t="n">
        <v>0</v>
      </c>
      <c r="E12" s="5" t="n">
        <v>0</v>
      </c>
      <c r="F12" s="4"/>
      <c r="G12" s="4"/>
      <c r="H12" s="7"/>
      <c r="I12" s="8"/>
      <c r="J12" s="8"/>
      <c r="K12" s="8"/>
      <c r="L12" s="8"/>
      <c r="M12" s="8"/>
      <c r="N12" s="8"/>
    </row>
    <row r="13" customFormat="false" ht="15" hidden="false" customHeight="false" outlineLevel="0" collapsed="false">
      <c r="A13" s="4" t="s">
        <v>652</v>
      </c>
      <c r="B13" s="4"/>
      <c r="C13" s="4"/>
      <c r="D13" s="5" t="n">
        <v>0</v>
      </c>
      <c r="E13" s="5" t="n">
        <v>0</v>
      </c>
      <c r="F13" s="4"/>
      <c r="G13" s="4"/>
      <c r="H13" s="7"/>
      <c r="I13" s="8"/>
      <c r="J13" s="8"/>
      <c r="K13" s="8"/>
      <c r="L13" s="8"/>
      <c r="M13" s="8"/>
      <c r="N13" s="8"/>
    </row>
    <row r="14" customFormat="false" ht="15" hidden="false" customHeight="false" outlineLevel="0" collapsed="false">
      <c r="A14" s="4" t="s">
        <v>653</v>
      </c>
      <c r="B14" s="4"/>
      <c r="C14" s="4"/>
      <c r="D14" s="5" t="n">
        <v>0</v>
      </c>
      <c r="E14" s="5" t="n">
        <v>0</v>
      </c>
      <c r="F14" s="4"/>
      <c r="G14" s="4"/>
      <c r="H14" s="7"/>
      <c r="I14" s="8"/>
      <c r="J14" s="8"/>
      <c r="K14" s="8"/>
      <c r="L14" s="8"/>
      <c r="M14" s="8"/>
      <c r="N14" s="8"/>
    </row>
    <row r="15" customFormat="false" ht="15" hidden="false" customHeight="false" outlineLevel="0" collapsed="false">
      <c r="A15" s="4" t="s">
        <v>654</v>
      </c>
      <c r="B15" s="4"/>
      <c r="C15" s="4"/>
      <c r="D15" s="5" t="n">
        <v>0</v>
      </c>
      <c r="E15" s="5" t="n">
        <v>0</v>
      </c>
      <c r="F15" s="4"/>
      <c r="G15" s="4"/>
      <c r="H15" s="7"/>
      <c r="I15" s="8"/>
      <c r="J15" s="8"/>
      <c r="K15" s="8"/>
      <c r="L15" s="8"/>
      <c r="M15" s="8"/>
      <c r="N15" s="8"/>
    </row>
    <row r="16" customFormat="false" ht="15" hidden="false" customHeight="false" outlineLevel="0" collapsed="false">
      <c r="A16" s="4" t="s">
        <v>655</v>
      </c>
      <c r="B16" s="4"/>
      <c r="C16" s="4"/>
      <c r="D16" s="5" t="n">
        <v>0</v>
      </c>
      <c r="E16" s="5" t="n">
        <v>0</v>
      </c>
      <c r="F16" s="4"/>
      <c r="G16" s="4"/>
      <c r="H16" s="7"/>
      <c r="I16" s="8"/>
      <c r="J16" s="8"/>
      <c r="K16" s="8"/>
      <c r="L16" s="8"/>
      <c r="M16" s="8"/>
      <c r="N16" s="8"/>
    </row>
    <row r="17" customFormat="false" ht="15" hidden="false" customHeight="false" outlineLevel="0" collapsed="false">
      <c r="A17" s="4" t="s">
        <v>656</v>
      </c>
      <c r="B17" s="4"/>
      <c r="C17" s="4"/>
      <c r="D17" s="5" t="n">
        <v>0</v>
      </c>
      <c r="E17" s="5" t="n">
        <v>0</v>
      </c>
      <c r="F17" s="4"/>
      <c r="G17" s="4"/>
      <c r="H17" s="7"/>
      <c r="I17" s="8"/>
      <c r="J17" s="8"/>
      <c r="K17" s="8"/>
      <c r="L17" s="8"/>
      <c r="M17" s="8"/>
      <c r="N17" s="8"/>
    </row>
    <row r="18" customFormat="false" ht="15" hidden="false" customHeight="false" outlineLevel="0" collapsed="false">
      <c r="A18" s="4" t="s">
        <v>657</v>
      </c>
      <c r="B18" s="4"/>
      <c r="C18" s="4"/>
      <c r="D18" s="5" t="n">
        <v>0</v>
      </c>
      <c r="E18" s="5" t="n">
        <v>0</v>
      </c>
      <c r="F18" s="4"/>
      <c r="G18" s="4"/>
      <c r="H18" s="7"/>
      <c r="I18" s="8"/>
      <c r="J18" s="8"/>
      <c r="K18" s="8"/>
      <c r="L18" s="8"/>
      <c r="M18" s="8"/>
      <c r="N18" s="8"/>
    </row>
    <row r="19" customFormat="false" ht="15" hidden="false" customHeight="false" outlineLevel="0" collapsed="false">
      <c r="A19" s="4" t="s">
        <v>658</v>
      </c>
      <c r="B19" s="4"/>
      <c r="C19" s="4"/>
      <c r="D19" s="5" t="n">
        <v>0</v>
      </c>
      <c r="E19" s="5" t="n">
        <v>0</v>
      </c>
      <c r="F19" s="4"/>
      <c r="G19" s="4"/>
      <c r="H19" s="7"/>
      <c r="I19" s="8"/>
      <c r="J19" s="8"/>
      <c r="K19" s="8"/>
      <c r="L19" s="8"/>
      <c r="M19" s="8"/>
      <c r="N19" s="8"/>
    </row>
    <row r="20" customFormat="false" ht="15" hidden="false" customHeight="false" outlineLevel="0" collapsed="false">
      <c r="A20" s="4" t="s">
        <v>659</v>
      </c>
      <c r="B20" s="4"/>
      <c r="C20" s="4"/>
      <c r="D20" s="5" t="n">
        <v>0</v>
      </c>
      <c r="E20" s="5" t="n">
        <v>0</v>
      </c>
      <c r="F20" s="4"/>
      <c r="G20" s="4"/>
      <c r="H20" s="7"/>
      <c r="I20" s="8"/>
      <c r="J20" s="8"/>
      <c r="K20" s="8"/>
      <c r="L20" s="8"/>
      <c r="M20" s="8"/>
      <c r="N20" s="8"/>
    </row>
    <row r="21" customFormat="false" ht="15" hidden="false" customHeight="false" outlineLevel="0" collapsed="false">
      <c r="A21" s="4" t="s">
        <v>660</v>
      </c>
      <c r="B21" s="4"/>
      <c r="C21" s="4"/>
      <c r="D21" s="5" t="n">
        <v>0</v>
      </c>
      <c r="E21" s="5" t="n">
        <v>0</v>
      </c>
      <c r="F21" s="4"/>
      <c r="G21" s="4"/>
      <c r="H21" s="7"/>
      <c r="I21" s="8"/>
      <c r="J21" s="8"/>
      <c r="K21" s="8"/>
      <c r="L21" s="8"/>
      <c r="M21" s="8"/>
      <c r="N21" s="8"/>
    </row>
    <row r="22" customFormat="false" ht="15" hidden="false" customHeight="false" outlineLevel="0" collapsed="false">
      <c r="A22" s="4" t="s">
        <v>661</v>
      </c>
      <c r="B22" s="4"/>
      <c r="C22" s="4"/>
      <c r="D22" s="5" t="n">
        <v>0</v>
      </c>
      <c r="E22" s="5" t="n">
        <v>0</v>
      </c>
      <c r="F22" s="4"/>
      <c r="G22" s="4"/>
      <c r="H22" s="7"/>
      <c r="I22" s="8"/>
      <c r="J22" s="8"/>
      <c r="K22" s="8"/>
      <c r="L22" s="8"/>
      <c r="M22" s="8"/>
      <c r="N22" s="8"/>
    </row>
    <row r="23" customFormat="false" ht="15" hidden="false" customHeight="false" outlineLevel="0" collapsed="false">
      <c r="A23" s="4" t="s">
        <v>662</v>
      </c>
      <c r="B23" s="4"/>
      <c r="C23" s="4"/>
      <c r="D23" s="5" t="n">
        <v>0</v>
      </c>
      <c r="E23" s="5" t="n">
        <v>0</v>
      </c>
      <c r="F23" s="4"/>
      <c r="G23" s="4"/>
      <c r="H23" s="7"/>
      <c r="I23" s="8"/>
      <c r="J23" s="8"/>
      <c r="K23" s="8"/>
      <c r="L23" s="8"/>
      <c r="M23" s="8"/>
      <c r="N23" s="8"/>
    </row>
    <row r="24" customFormat="false" ht="15" hidden="false" customHeight="false" outlineLevel="0" collapsed="false">
      <c r="A24" s="4" t="s">
        <v>663</v>
      </c>
      <c r="B24" s="4"/>
      <c r="C24" s="4"/>
      <c r="D24" s="5" t="n">
        <v>0</v>
      </c>
      <c r="E24" s="5" t="n">
        <v>0</v>
      </c>
      <c r="F24" s="4"/>
      <c r="G24" s="4"/>
      <c r="H24" s="7"/>
      <c r="I24" s="8"/>
      <c r="J24" s="8"/>
      <c r="K24" s="8"/>
      <c r="L24" s="8"/>
      <c r="M24" s="8"/>
      <c r="N24" s="8"/>
    </row>
    <row r="25" customFormat="false" ht="15" hidden="false" customHeight="false" outlineLevel="0" collapsed="false">
      <c r="A25" s="4" t="s">
        <v>664</v>
      </c>
      <c r="B25" s="4"/>
      <c r="C25" s="4"/>
      <c r="D25" s="5" t="n">
        <v>0</v>
      </c>
      <c r="E25" s="5" t="n">
        <v>0</v>
      </c>
      <c r="F25" s="4"/>
      <c r="G25" s="4"/>
      <c r="H25" s="7"/>
      <c r="I25" s="8"/>
      <c r="J25" s="8"/>
      <c r="K25" s="8"/>
      <c r="L25" s="8"/>
      <c r="M25" s="8"/>
      <c r="N25" s="8"/>
    </row>
    <row r="26" customFormat="false" ht="15" hidden="false" customHeight="false" outlineLevel="0" collapsed="false">
      <c r="A26" s="4" t="s">
        <v>665</v>
      </c>
      <c r="B26" s="4"/>
      <c r="C26" s="4"/>
      <c r="D26" s="5" t="n">
        <v>0</v>
      </c>
      <c r="E26" s="5" t="n">
        <v>0</v>
      </c>
      <c r="F26" s="4"/>
      <c r="G26" s="4"/>
      <c r="H26" s="7"/>
      <c r="I26" s="8"/>
      <c r="J26" s="8"/>
      <c r="K26" s="8"/>
      <c r="L26" s="8"/>
      <c r="M26" s="8"/>
      <c r="N26" s="8"/>
    </row>
    <row r="27" customFormat="false" ht="15" hidden="false" customHeight="false" outlineLevel="0" collapsed="false">
      <c r="A27" s="4" t="s">
        <v>666</v>
      </c>
      <c r="B27" s="4"/>
      <c r="C27" s="4"/>
      <c r="D27" s="5" t="n">
        <v>0</v>
      </c>
      <c r="E27" s="5" t="n">
        <v>0</v>
      </c>
      <c r="F27" s="4"/>
      <c r="G27" s="4"/>
      <c r="H27" s="7"/>
      <c r="I27" s="8"/>
      <c r="J27" s="8"/>
      <c r="K27" s="8"/>
      <c r="L27" s="8"/>
      <c r="M27" s="8"/>
      <c r="N27" s="8"/>
    </row>
    <row r="28" customFormat="false" ht="15" hidden="false" customHeight="false" outlineLevel="0" collapsed="false">
      <c r="A28" s="4" t="s">
        <v>667</v>
      </c>
      <c r="B28" s="4"/>
      <c r="C28" s="4"/>
      <c r="D28" s="5" t="n">
        <v>0</v>
      </c>
      <c r="E28" s="5" t="n">
        <v>0</v>
      </c>
      <c r="F28" s="4"/>
      <c r="G28" s="4"/>
      <c r="H28" s="7"/>
      <c r="I28" s="8"/>
      <c r="J28" s="8"/>
      <c r="K28" s="8"/>
      <c r="L28" s="8"/>
      <c r="M28" s="8"/>
      <c r="N28" s="8"/>
    </row>
    <row r="29" customFormat="false" ht="15" hidden="false" customHeight="false" outlineLevel="0" collapsed="false">
      <c r="A29" s="4" t="s">
        <v>668</v>
      </c>
      <c r="B29" s="4"/>
      <c r="C29" s="4"/>
      <c r="D29" s="5" t="n">
        <v>0</v>
      </c>
      <c r="E29" s="5" t="n">
        <v>0</v>
      </c>
      <c r="F29" s="4"/>
      <c r="G29" s="4"/>
      <c r="H29" s="7"/>
      <c r="I29" s="8"/>
      <c r="J29" s="8"/>
      <c r="K29" s="8"/>
      <c r="L29" s="8"/>
      <c r="M29" s="8"/>
      <c r="N29" s="8"/>
    </row>
    <row r="30" customFormat="false" ht="15" hidden="false" customHeight="false" outlineLevel="0" collapsed="false">
      <c r="A30" s="4" t="s">
        <v>669</v>
      </c>
      <c r="B30" s="4"/>
      <c r="C30" s="4"/>
      <c r="D30" s="5" t="n">
        <v>0</v>
      </c>
      <c r="E30" s="5" t="n">
        <v>0</v>
      </c>
      <c r="F30" s="4"/>
      <c r="G30" s="4"/>
      <c r="H30" s="7"/>
      <c r="I30" s="8"/>
      <c r="J30" s="8"/>
      <c r="K30" s="8"/>
      <c r="L30" s="8"/>
      <c r="M30" s="8"/>
      <c r="N30" s="8"/>
    </row>
    <row r="31" customFormat="false" ht="15" hidden="false" customHeight="false" outlineLevel="0" collapsed="false">
      <c r="A31" s="4" t="s">
        <v>670</v>
      </c>
      <c r="B31" s="4"/>
      <c r="C31" s="4"/>
      <c r="D31" s="5" t="n">
        <v>0</v>
      </c>
      <c r="E31" s="5" t="n">
        <v>0</v>
      </c>
      <c r="F31" s="4"/>
      <c r="G31" s="4"/>
      <c r="H31" s="7"/>
      <c r="I31" s="8"/>
      <c r="J31" s="8"/>
      <c r="K31" s="8"/>
      <c r="L31" s="8"/>
      <c r="M31" s="8"/>
      <c r="N31" s="8"/>
    </row>
    <row r="32" customFormat="false" ht="15" hidden="false" customHeight="false" outlineLevel="0" collapsed="false">
      <c r="A32" s="4" t="s">
        <v>671</v>
      </c>
      <c r="B32" s="4"/>
      <c r="C32" s="4"/>
      <c r="D32" s="5" t="n">
        <v>0</v>
      </c>
      <c r="E32" s="5" t="n">
        <v>0</v>
      </c>
      <c r="F32" s="4"/>
      <c r="G32" s="4"/>
      <c r="H32" s="7"/>
      <c r="I32" s="8"/>
      <c r="J32" s="8"/>
      <c r="K32" s="8"/>
      <c r="L32" s="8"/>
      <c r="M32" s="8"/>
      <c r="N32" s="8"/>
    </row>
    <row r="33" customFormat="false" ht="15" hidden="false" customHeight="false" outlineLevel="0" collapsed="false">
      <c r="A33" s="4" t="s">
        <v>672</v>
      </c>
      <c r="B33" s="4"/>
      <c r="C33" s="4"/>
      <c r="D33" s="5" t="n">
        <v>0</v>
      </c>
      <c r="E33" s="5" t="n">
        <v>0</v>
      </c>
      <c r="F33" s="4"/>
      <c r="G33" s="4"/>
      <c r="H33" s="7"/>
      <c r="I33" s="8"/>
      <c r="J33" s="8"/>
      <c r="K33" s="8"/>
      <c r="L33" s="8"/>
      <c r="M33" s="8"/>
      <c r="N33" s="8"/>
    </row>
    <row r="34" customFormat="false" ht="15" hidden="false" customHeight="false" outlineLevel="0" collapsed="false">
      <c r="A34" s="4" t="s">
        <v>673</v>
      </c>
      <c r="B34" s="4"/>
      <c r="C34" s="4"/>
      <c r="D34" s="5" t="n">
        <v>0</v>
      </c>
      <c r="E34" s="5" t="n">
        <v>0</v>
      </c>
      <c r="F34" s="4"/>
      <c r="G34" s="4"/>
      <c r="H34" s="7"/>
      <c r="I34" s="8"/>
      <c r="J34" s="8"/>
      <c r="K34" s="8"/>
      <c r="L34" s="8"/>
      <c r="M34" s="8"/>
      <c r="N34" s="8"/>
    </row>
    <row r="35" customFormat="false" ht="15" hidden="false" customHeight="false" outlineLevel="0" collapsed="false">
      <c r="A35" s="4" t="s">
        <v>674</v>
      </c>
      <c r="B35" s="4"/>
      <c r="C35" s="4"/>
      <c r="D35" s="5" t="n">
        <v>0</v>
      </c>
      <c r="E35" s="5" t="n">
        <v>0</v>
      </c>
      <c r="F35" s="4"/>
      <c r="G35" s="4"/>
      <c r="H35" s="7"/>
      <c r="I35" s="8"/>
      <c r="J35" s="8"/>
      <c r="K35" s="8"/>
      <c r="L35" s="8"/>
      <c r="M35" s="8"/>
      <c r="N35" s="8"/>
    </row>
    <row r="36" customFormat="false" ht="15" hidden="false" customHeight="false" outlineLevel="0" collapsed="false">
      <c r="A36" s="4" t="s">
        <v>675</v>
      </c>
      <c r="B36" s="4"/>
      <c r="C36" s="4"/>
      <c r="D36" s="5" t="n">
        <v>0</v>
      </c>
      <c r="E36" s="5" t="n">
        <v>0</v>
      </c>
      <c r="F36" s="4"/>
      <c r="G36" s="4"/>
      <c r="H36" s="7"/>
      <c r="I36" s="8"/>
      <c r="J36" s="8"/>
      <c r="K36" s="8"/>
      <c r="L36" s="8"/>
      <c r="M36" s="8"/>
      <c r="N36" s="8"/>
    </row>
    <row r="37" customFormat="false" ht="15" hidden="false" customHeight="false" outlineLevel="0" collapsed="false">
      <c r="A37" s="4" t="s">
        <v>676</v>
      </c>
      <c r="B37" s="4"/>
      <c r="C37" s="4"/>
      <c r="D37" s="5" t="n">
        <v>0</v>
      </c>
      <c r="E37" s="5" t="n">
        <v>0</v>
      </c>
      <c r="F37" s="4"/>
      <c r="G37" s="4"/>
      <c r="H37" s="7"/>
      <c r="I37" s="8"/>
      <c r="J37" s="8"/>
      <c r="K37" s="8"/>
      <c r="L37" s="8"/>
      <c r="M37" s="8"/>
      <c r="N37" s="8"/>
    </row>
    <row r="38" customFormat="false" ht="15" hidden="false" customHeight="false" outlineLevel="0" collapsed="false">
      <c r="A38" s="4" t="s">
        <v>677</v>
      </c>
      <c r="B38" s="4"/>
      <c r="C38" s="4"/>
      <c r="D38" s="5" t="n">
        <v>0</v>
      </c>
      <c r="E38" s="5" t="n">
        <v>0</v>
      </c>
      <c r="F38" s="4"/>
      <c r="G38" s="4"/>
      <c r="H38" s="7"/>
      <c r="I38" s="8"/>
      <c r="J38" s="8"/>
      <c r="K38" s="8"/>
      <c r="L38" s="8"/>
      <c r="M38" s="8"/>
      <c r="N38" s="8"/>
    </row>
    <row r="39" customFormat="false" ht="15" hidden="false" customHeight="false" outlineLevel="0" collapsed="false">
      <c r="A39" s="4" t="s">
        <v>678</v>
      </c>
      <c r="B39" s="4"/>
      <c r="C39" s="4"/>
      <c r="D39" s="5" t="n">
        <v>0</v>
      </c>
      <c r="E39" s="5" t="n">
        <v>0</v>
      </c>
      <c r="F39" s="4"/>
      <c r="G39" s="4"/>
      <c r="H39" s="7"/>
      <c r="I39" s="8"/>
      <c r="J39" s="8"/>
      <c r="K39" s="8"/>
      <c r="L39" s="8"/>
      <c r="M39" s="8"/>
      <c r="N39" s="8"/>
    </row>
    <row r="40" customFormat="false" ht="15" hidden="false" customHeight="false" outlineLevel="0" collapsed="false">
      <c r="A40" s="4" t="s">
        <v>679</v>
      </c>
      <c r="B40" s="4"/>
      <c r="C40" s="4"/>
      <c r="D40" s="5" t="n">
        <v>0</v>
      </c>
      <c r="E40" s="5" t="n">
        <v>0</v>
      </c>
      <c r="F40" s="4"/>
      <c r="G40" s="4"/>
      <c r="H40" s="7"/>
      <c r="I40" s="8"/>
      <c r="J40" s="8"/>
      <c r="K40" s="8"/>
      <c r="L40" s="8"/>
      <c r="M40" s="8"/>
      <c r="N40" s="8"/>
    </row>
    <row r="41" customFormat="false" ht="15" hidden="false" customHeight="false" outlineLevel="0" collapsed="false">
      <c r="A41" s="4" t="s">
        <v>680</v>
      </c>
      <c r="B41" s="4"/>
      <c r="C41" s="4"/>
      <c r="D41" s="5" t="n">
        <v>0</v>
      </c>
      <c r="E41" s="5" t="n">
        <v>0</v>
      </c>
      <c r="F41" s="4"/>
      <c r="G41" s="4"/>
      <c r="H41" s="7"/>
      <c r="I41" s="8"/>
      <c r="J41" s="8"/>
      <c r="K41" s="8"/>
      <c r="L41" s="8"/>
      <c r="M41" s="8"/>
      <c r="N41" s="8"/>
    </row>
    <row r="42" customFormat="false" ht="15" hidden="false" customHeight="false" outlineLevel="0" collapsed="false">
      <c r="A42" s="4" t="s">
        <v>681</v>
      </c>
      <c r="B42" s="4"/>
      <c r="C42" s="4"/>
      <c r="D42" s="5" t="n">
        <v>0</v>
      </c>
      <c r="E42" s="5" t="n">
        <v>0</v>
      </c>
      <c r="F42" s="4"/>
      <c r="G42" s="4"/>
      <c r="H42" s="7"/>
      <c r="I42" s="8"/>
      <c r="J42" s="8"/>
      <c r="K42" s="8"/>
      <c r="L42" s="8"/>
      <c r="M42" s="8"/>
      <c r="N42" s="8"/>
    </row>
    <row r="43" customFormat="false" ht="15" hidden="false" customHeight="false" outlineLevel="0" collapsed="false">
      <c r="A43" s="4" t="s">
        <v>682</v>
      </c>
      <c r="B43" s="4"/>
      <c r="C43" s="4"/>
      <c r="D43" s="5" t="n">
        <v>0</v>
      </c>
      <c r="E43" s="5" t="n">
        <v>0</v>
      </c>
      <c r="F43" s="4"/>
      <c r="G43" s="4"/>
      <c r="H43" s="7"/>
      <c r="I43" s="8"/>
      <c r="J43" s="8"/>
      <c r="K43" s="8"/>
      <c r="L43" s="8"/>
      <c r="M43" s="8"/>
      <c r="N43" s="8"/>
    </row>
    <row r="44" customFormat="false" ht="15" hidden="false" customHeight="false" outlineLevel="0" collapsed="false">
      <c r="A44" s="4" t="s">
        <v>683</v>
      </c>
      <c r="B44" s="4"/>
      <c r="C44" s="4"/>
      <c r="D44" s="5" t="n">
        <v>0</v>
      </c>
      <c r="E44" s="5" t="n">
        <v>0</v>
      </c>
      <c r="F44" s="4"/>
      <c r="G44" s="4"/>
      <c r="H44" s="7"/>
      <c r="I44" s="8"/>
      <c r="J44" s="8"/>
      <c r="K44" s="8"/>
      <c r="L44" s="8"/>
      <c r="M44" s="8"/>
      <c r="N44" s="8"/>
    </row>
    <row r="45" customFormat="false" ht="15" hidden="false" customHeight="false" outlineLevel="0" collapsed="false">
      <c r="A45" s="4" t="s">
        <v>684</v>
      </c>
      <c r="B45" s="4"/>
      <c r="C45" s="4"/>
      <c r="D45" s="5" t="n">
        <v>0</v>
      </c>
      <c r="E45" s="5" t="n">
        <v>0</v>
      </c>
      <c r="F45" s="4"/>
      <c r="G45" s="4"/>
      <c r="H45" s="7"/>
      <c r="I45" s="8"/>
      <c r="J45" s="8"/>
      <c r="K45" s="8"/>
      <c r="L45" s="8"/>
      <c r="M45" s="8"/>
      <c r="N45" s="8"/>
    </row>
  </sheetData>
  <mergeCells count="2">
    <mergeCell ref="A1:N1"/>
    <mergeCell ref="A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8" min="7" style="0" width="15"/>
    <col collapsed="false" customWidth="true" hidden="false" outlineLevel="0" max="10" min="9" style="0" width="12"/>
    <col collapsed="false" customWidth="true" hidden="false" outlineLevel="0" max="11" min="11" style="0" width="34"/>
    <col collapsed="false" customWidth="true" hidden="false" outlineLevel="0" max="12" min="12" style="0" width="40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1" t="s">
        <v>685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8" hidden="false" customHeight="true" outlineLevel="0" collapsed="false">
      <c r="A2" s="2" t="s">
        <v>686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customFormat="false" ht="34" hidden="false" customHeight="true" outlineLevel="0" collapsed="false">
      <c r="A5" s="3" t="s">
        <v>687</v>
      </c>
      <c r="B5" s="3" t="s">
        <v>688</v>
      </c>
      <c r="C5" s="3" t="s">
        <v>643</v>
      </c>
      <c r="D5" s="3" t="s">
        <v>689</v>
      </c>
      <c r="E5" s="3" t="s">
        <v>690</v>
      </c>
      <c r="F5" s="3" t="s">
        <v>691</v>
      </c>
      <c r="G5" s="3" t="s">
        <v>692</v>
      </c>
      <c r="H5" s="3" t="s">
        <v>693</v>
      </c>
      <c r="I5" s="3" t="s">
        <v>694</v>
      </c>
      <c r="J5" s="3" t="s">
        <v>695</v>
      </c>
      <c r="K5" s="3" t="s">
        <v>696</v>
      </c>
      <c r="L5" s="3" t="s">
        <v>697</v>
      </c>
      <c r="M5" s="3" t="s">
        <v>698</v>
      </c>
      <c r="N5" s="3" t="s">
        <v>699</v>
      </c>
    </row>
    <row r="6" customFormat="false" ht="15" hidden="false" customHeight="false" outlineLevel="0" collapsed="false">
      <c r="A6" s="4" t="s">
        <v>700</v>
      </c>
      <c r="B6" s="8"/>
      <c r="C6" s="8"/>
      <c r="D6" s="8"/>
      <c r="E6" s="10" t="n">
        <v>0</v>
      </c>
      <c r="F6" s="10" t="n">
        <v>0</v>
      </c>
      <c r="G6" s="10" t="n">
        <v>0</v>
      </c>
      <c r="H6" s="10" t="n">
        <v>0</v>
      </c>
      <c r="I6" s="8"/>
      <c r="J6" s="11"/>
      <c r="K6" s="8"/>
      <c r="L6" s="8"/>
      <c r="M6" s="8" t="s">
        <v>355</v>
      </c>
      <c r="N6" s="8"/>
    </row>
    <row r="7" customFormat="false" ht="15" hidden="false" customHeight="false" outlineLevel="0" collapsed="false">
      <c r="A7" s="4" t="s">
        <v>701</v>
      </c>
      <c r="B7" s="8"/>
      <c r="C7" s="8"/>
      <c r="D7" s="8"/>
      <c r="E7" s="10" t="n">
        <v>0</v>
      </c>
      <c r="F7" s="10" t="n">
        <v>0</v>
      </c>
      <c r="G7" s="10" t="n">
        <v>0</v>
      </c>
      <c r="H7" s="10" t="n">
        <v>0</v>
      </c>
      <c r="I7" s="8"/>
      <c r="J7" s="11"/>
      <c r="K7" s="8"/>
      <c r="L7" s="8"/>
      <c r="M7" s="8" t="s">
        <v>355</v>
      </c>
      <c r="N7" s="8"/>
    </row>
    <row r="8" customFormat="false" ht="15" hidden="false" customHeight="false" outlineLevel="0" collapsed="false">
      <c r="A8" s="4" t="s">
        <v>702</v>
      </c>
      <c r="B8" s="8"/>
      <c r="C8" s="8"/>
      <c r="D8" s="8"/>
      <c r="E8" s="10" t="n">
        <v>0</v>
      </c>
      <c r="F8" s="10" t="n">
        <v>0</v>
      </c>
      <c r="G8" s="10" t="n">
        <v>0</v>
      </c>
      <c r="H8" s="10" t="n">
        <v>0</v>
      </c>
      <c r="I8" s="8"/>
      <c r="J8" s="11"/>
      <c r="K8" s="8"/>
      <c r="L8" s="8"/>
      <c r="M8" s="8" t="s">
        <v>355</v>
      </c>
      <c r="N8" s="8"/>
    </row>
    <row r="9" customFormat="false" ht="15" hidden="false" customHeight="false" outlineLevel="0" collapsed="false">
      <c r="A9" s="4" t="s">
        <v>703</v>
      </c>
      <c r="B9" s="8"/>
      <c r="C9" s="8"/>
      <c r="D9" s="8"/>
      <c r="E9" s="10" t="n">
        <v>0</v>
      </c>
      <c r="F9" s="10" t="n">
        <v>0</v>
      </c>
      <c r="G9" s="10" t="n">
        <v>0</v>
      </c>
      <c r="H9" s="10" t="n">
        <v>0</v>
      </c>
      <c r="I9" s="8"/>
      <c r="J9" s="11"/>
      <c r="K9" s="8"/>
      <c r="L9" s="8"/>
      <c r="M9" s="8" t="s">
        <v>355</v>
      </c>
      <c r="N9" s="8"/>
    </row>
    <row r="10" customFormat="false" ht="15" hidden="false" customHeight="false" outlineLevel="0" collapsed="false">
      <c r="A10" s="4" t="s">
        <v>704</v>
      </c>
      <c r="B10" s="8"/>
      <c r="C10" s="8"/>
      <c r="D10" s="8"/>
      <c r="E10" s="10" t="n">
        <v>0</v>
      </c>
      <c r="F10" s="10" t="n">
        <v>0</v>
      </c>
      <c r="G10" s="10" t="n">
        <v>0</v>
      </c>
      <c r="H10" s="10" t="n">
        <v>0</v>
      </c>
      <c r="I10" s="8"/>
      <c r="J10" s="11"/>
      <c r="K10" s="8"/>
      <c r="L10" s="8"/>
      <c r="M10" s="8" t="s">
        <v>355</v>
      </c>
      <c r="N10" s="8"/>
    </row>
    <row r="11" customFormat="false" ht="15" hidden="false" customHeight="false" outlineLevel="0" collapsed="false">
      <c r="A11" s="4" t="s">
        <v>705</v>
      </c>
      <c r="B11" s="8"/>
      <c r="C11" s="8"/>
      <c r="D11" s="8"/>
      <c r="E11" s="10" t="n">
        <v>0</v>
      </c>
      <c r="F11" s="10" t="n">
        <v>0</v>
      </c>
      <c r="G11" s="10" t="n">
        <v>0</v>
      </c>
      <c r="H11" s="10" t="n">
        <v>0</v>
      </c>
      <c r="I11" s="8"/>
      <c r="J11" s="11"/>
      <c r="K11" s="8"/>
      <c r="L11" s="8"/>
      <c r="M11" s="8" t="s">
        <v>355</v>
      </c>
      <c r="N11" s="8"/>
    </row>
    <row r="12" customFormat="false" ht="15" hidden="false" customHeight="false" outlineLevel="0" collapsed="false">
      <c r="A12" s="4" t="s">
        <v>706</v>
      </c>
      <c r="B12" s="8"/>
      <c r="C12" s="8"/>
      <c r="D12" s="8"/>
      <c r="E12" s="10" t="n">
        <v>0</v>
      </c>
      <c r="F12" s="10" t="n">
        <v>0</v>
      </c>
      <c r="G12" s="10" t="n">
        <v>0</v>
      </c>
      <c r="H12" s="10" t="n">
        <v>0</v>
      </c>
      <c r="I12" s="8"/>
      <c r="J12" s="11"/>
      <c r="K12" s="8"/>
      <c r="L12" s="8"/>
      <c r="M12" s="8" t="s">
        <v>355</v>
      </c>
      <c r="N12" s="8"/>
    </row>
    <row r="13" customFormat="false" ht="15" hidden="false" customHeight="false" outlineLevel="0" collapsed="false">
      <c r="A13" s="4" t="s">
        <v>707</v>
      </c>
      <c r="B13" s="8"/>
      <c r="C13" s="8"/>
      <c r="D13" s="8"/>
      <c r="E13" s="10" t="n">
        <v>0</v>
      </c>
      <c r="F13" s="10" t="n">
        <v>0</v>
      </c>
      <c r="G13" s="10" t="n">
        <v>0</v>
      </c>
      <c r="H13" s="10" t="n">
        <v>0</v>
      </c>
      <c r="I13" s="8"/>
      <c r="J13" s="11"/>
      <c r="K13" s="8"/>
      <c r="L13" s="8"/>
      <c r="M13" s="8" t="s">
        <v>355</v>
      </c>
      <c r="N13" s="8"/>
    </row>
    <row r="14" customFormat="false" ht="15" hidden="false" customHeight="false" outlineLevel="0" collapsed="false">
      <c r="A14" s="4" t="s">
        <v>708</v>
      </c>
      <c r="B14" s="8"/>
      <c r="C14" s="8"/>
      <c r="D14" s="8"/>
      <c r="E14" s="10" t="n">
        <v>0</v>
      </c>
      <c r="F14" s="10" t="n">
        <v>0</v>
      </c>
      <c r="G14" s="10" t="n">
        <v>0</v>
      </c>
      <c r="H14" s="10" t="n">
        <v>0</v>
      </c>
      <c r="I14" s="8"/>
      <c r="J14" s="11"/>
      <c r="K14" s="8"/>
      <c r="L14" s="8"/>
      <c r="M14" s="8" t="s">
        <v>355</v>
      </c>
      <c r="N14" s="8"/>
    </row>
    <row r="15" customFormat="false" ht="15" hidden="false" customHeight="false" outlineLevel="0" collapsed="false">
      <c r="A15" s="4" t="s">
        <v>709</v>
      </c>
      <c r="B15" s="8"/>
      <c r="C15" s="8"/>
      <c r="D15" s="8"/>
      <c r="E15" s="10" t="n">
        <v>0</v>
      </c>
      <c r="F15" s="10" t="n">
        <v>0</v>
      </c>
      <c r="G15" s="10" t="n">
        <v>0</v>
      </c>
      <c r="H15" s="10" t="n">
        <v>0</v>
      </c>
      <c r="I15" s="8"/>
      <c r="J15" s="11"/>
      <c r="K15" s="8"/>
      <c r="L15" s="8"/>
      <c r="M15" s="8" t="s">
        <v>355</v>
      </c>
      <c r="N15" s="8"/>
    </row>
    <row r="16" customFormat="false" ht="15" hidden="false" customHeight="false" outlineLevel="0" collapsed="false">
      <c r="A16" s="4" t="s">
        <v>710</v>
      </c>
      <c r="B16" s="8"/>
      <c r="C16" s="8"/>
      <c r="D16" s="8"/>
      <c r="E16" s="10" t="n">
        <v>0</v>
      </c>
      <c r="F16" s="10" t="n">
        <v>0</v>
      </c>
      <c r="G16" s="10" t="n">
        <v>0</v>
      </c>
      <c r="H16" s="10" t="n">
        <v>0</v>
      </c>
      <c r="I16" s="8"/>
      <c r="J16" s="11"/>
      <c r="K16" s="8"/>
      <c r="L16" s="8"/>
      <c r="M16" s="8" t="s">
        <v>355</v>
      </c>
      <c r="N16" s="8"/>
    </row>
    <row r="17" customFormat="false" ht="15" hidden="false" customHeight="false" outlineLevel="0" collapsed="false">
      <c r="A17" s="4" t="s">
        <v>711</v>
      </c>
      <c r="B17" s="8"/>
      <c r="C17" s="8"/>
      <c r="D17" s="8"/>
      <c r="E17" s="10" t="n">
        <v>0</v>
      </c>
      <c r="F17" s="10" t="n">
        <v>0</v>
      </c>
      <c r="G17" s="10" t="n">
        <v>0</v>
      </c>
      <c r="H17" s="10" t="n">
        <v>0</v>
      </c>
      <c r="I17" s="8"/>
      <c r="J17" s="11"/>
      <c r="K17" s="8"/>
      <c r="L17" s="8"/>
      <c r="M17" s="8" t="s">
        <v>355</v>
      </c>
      <c r="N17" s="8"/>
    </row>
    <row r="18" customFormat="false" ht="15" hidden="false" customHeight="false" outlineLevel="0" collapsed="false">
      <c r="A18" s="4" t="s">
        <v>712</v>
      </c>
      <c r="B18" s="8"/>
      <c r="C18" s="8"/>
      <c r="D18" s="8"/>
      <c r="E18" s="10" t="n">
        <v>0</v>
      </c>
      <c r="F18" s="10" t="n">
        <v>0</v>
      </c>
      <c r="G18" s="10" t="n">
        <v>0</v>
      </c>
      <c r="H18" s="10" t="n">
        <v>0</v>
      </c>
      <c r="I18" s="8"/>
      <c r="J18" s="11"/>
      <c r="K18" s="8"/>
      <c r="L18" s="8"/>
      <c r="M18" s="8" t="s">
        <v>355</v>
      </c>
      <c r="N18" s="8"/>
    </row>
    <row r="19" customFormat="false" ht="15" hidden="false" customHeight="false" outlineLevel="0" collapsed="false">
      <c r="A19" s="4" t="s">
        <v>713</v>
      </c>
      <c r="B19" s="8"/>
      <c r="C19" s="8"/>
      <c r="D19" s="8"/>
      <c r="E19" s="10" t="n">
        <v>0</v>
      </c>
      <c r="F19" s="10" t="n">
        <v>0</v>
      </c>
      <c r="G19" s="10" t="n">
        <v>0</v>
      </c>
      <c r="H19" s="10" t="n">
        <v>0</v>
      </c>
      <c r="I19" s="8"/>
      <c r="J19" s="11"/>
      <c r="K19" s="8"/>
      <c r="L19" s="8"/>
      <c r="M19" s="8" t="s">
        <v>355</v>
      </c>
      <c r="N19" s="8"/>
    </row>
    <row r="20" customFormat="false" ht="15" hidden="false" customHeight="false" outlineLevel="0" collapsed="false">
      <c r="A20" s="4" t="s">
        <v>714</v>
      </c>
      <c r="B20" s="8"/>
      <c r="C20" s="8"/>
      <c r="D20" s="8"/>
      <c r="E20" s="10" t="n">
        <v>0</v>
      </c>
      <c r="F20" s="10" t="n">
        <v>0</v>
      </c>
      <c r="G20" s="10" t="n">
        <v>0</v>
      </c>
      <c r="H20" s="10" t="n">
        <v>0</v>
      </c>
      <c r="I20" s="8"/>
      <c r="J20" s="11"/>
      <c r="K20" s="8"/>
      <c r="L20" s="8"/>
      <c r="M20" s="8" t="s">
        <v>355</v>
      </c>
      <c r="N20" s="8"/>
    </row>
    <row r="21" customFormat="false" ht="15" hidden="false" customHeight="false" outlineLevel="0" collapsed="false">
      <c r="A21" s="4" t="s">
        <v>715</v>
      </c>
      <c r="B21" s="8"/>
      <c r="C21" s="8"/>
      <c r="D21" s="8"/>
      <c r="E21" s="10" t="n">
        <v>0</v>
      </c>
      <c r="F21" s="10" t="n">
        <v>0</v>
      </c>
      <c r="G21" s="10" t="n">
        <v>0</v>
      </c>
      <c r="H21" s="10" t="n">
        <v>0</v>
      </c>
      <c r="I21" s="8"/>
      <c r="J21" s="11"/>
      <c r="K21" s="8"/>
      <c r="L21" s="8"/>
      <c r="M21" s="8" t="s">
        <v>355</v>
      </c>
      <c r="N21" s="8"/>
    </row>
    <row r="22" customFormat="false" ht="15" hidden="false" customHeight="false" outlineLevel="0" collapsed="false">
      <c r="A22" s="4" t="s">
        <v>716</v>
      </c>
      <c r="B22" s="8"/>
      <c r="C22" s="8"/>
      <c r="D22" s="8"/>
      <c r="E22" s="10" t="n">
        <v>0</v>
      </c>
      <c r="F22" s="10" t="n">
        <v>0</v>
      </c>
      <c r="G22" s="10" t="n">
        <v>0</v>
      </c>
      <c r="H22" s="10" t="n">
        <v>0</v>
      </c>
      <c r="I22" s="8"/>
      <c r="J22" s="11"/>
      <c r="K22" s="8"/>
      <c r="L22" s="8"/>
      <c r="M22" s="8" t="s">
        <v>355</v>
      </c>
      <c r="N22" s="8"/>
    </row>
    <row r="23" customFormat="false" ht="15" hidden="false" customHeight="false" outlineLevel="0" collapsed="false">
      <c r="A23" s="4" t="s">
        <v>717</v>
      </c>
      <c r="B23" s="8"/>
      <c r="C23" s="8"/>
      <c r="D23" s="8"/>
      <c r="E23" s="10" t="n">
        <v>0</v>
      </c>
      <c r="F23" s="10" t="n">
        <v>0</v>
      </c>
      <c r="G23" s="10" t="n">
        <v>0</v>
      </c>
      <c r="H23" s="10" t="n">
        <v>0</v>
      </c>
      <c r="I23" s="8"/>
      <c r="J23" s="11"/>
      <c r="K23" s="8"/>
      <c r="L23" s="8"/>
      <c r="M23" s="8" t="s">
        <v>355</v>
      </c>
      <c r="N23" s="8"/>
    </row>
    <row r="24" customFormat="false" ht="15" hidden="false" customHeight="false" outlineLevel="0" collapsed="false">
      <c r="A24" s="4" t="s">
        <v>718</v>
      </c>
      <c r="B24" s="8"/>
      <c r="C24" s="8"/>
      <c r="D24" s="8"/>
      <c r="E24" s="10" t="n">
        <v>0</v>
      </c>
      <c r="F24" s="10" t="n">
        <v>0</v>
      </c>
      <c r="G24" s="10" t="n">
        <v>0</v>
      </c>
      <c r="H24" s="10" t="n">
        <v>0</v>
      </c>
      <c r="I24" s="8"/>
      <c r="J24" s="11"/>
      <c r="K24" s="8"/>
      <c r="L24" s="8"/>
      <c r="M24" s="8" t="s">
        <v>355</v>
      </c>
      <c r="N24" s="8"/>
    </row>
    <row r="25" customFormat="false" ht="15" hidden="false" customHeight="false" outlineLevel="0" collapsed="false">
      <c r="A25" s="4" t="s">
        <v>719</v>
      </c>
      <c r="B25" s="8"/>
      <c r="C25" s="8"/>
      <c r="D25" s="8"/>
      <c r="E25" s="10" t="n">
        <v>0</v>
      </c>
      <c r="F25" s="10" t="n">
        <v>0</v>
      </c>
      <c r="G25" s="10" t="n">
        <v>0</v>
      </c>
      <c r="H25" s="10" t="n">
        <v>0</v>
      </c>
      <c r="I25" s="8"/>
      <c r="J25" s="11"/>
      <c r="K25" s="8"/>
      <c r="L25" s="8"/>
      <c r="M25" s="8" t="s">
        <v>355</v>
      </c>
      <c r="N25" s="8"/>
    </row>
    <row r="26" customFormat="false" ht="15" hidden="false" customHeight="false" outlineLevel="0" collapsed="false">
      <c r="A26" s="4" t="s">
        <v>720</v>
      </c>
      <c r="B26" s="8"/>
      <c r="C26" s="8"/>
      <c r="D26" s="8"/>
      <c r="E26" s="10" t="n">
        <v>0</v>
      </c>
      <c r="F26" s="10" t="n">
        <v>0</v>
      </c>
      <c r="G26" s="10" t="n">
        <v>0</v>
      </c>
      <c r="H26" s="10" t="n">
        <v>0</v>
      </c>
      <c r="I26" s="8"/>
      <c r="J26" s="11"/>
      <c r="K26" s="8"/>
      <c r="L26" s="8"/>
      <c r="M26" s="8" t="s">
        <v>355</v>
      </c>
      <c r="N26" s="8"/>
    </row>
    <row r="27" customFormat="false" ht="15" hidden="false" customHeight="false" outlineLevel="0" collapsed="false">
      <c r="A27" s="4" t="s">
        <v>721</v>
      </c>
      <c r="B27" s="8"/>
      <c r="C27" s="8"/>
      <c r="D27" s="8"/>
      <c r="E27" s="10" t="n">
        <v>0</v>
      </c>
      <c r="F27" s="10" t="n">
        <v>0</v>
      </c>
      <c r="G27" s="10" t="n">
        <v>0</v>
      </c>
      <c r="H27" s="10" t="n">
        <v>0</v>
      </c>
      <c r="I27" s="8"/>
      <c r="J27" s="11"/>
      <c r="K27" s="8"/>
      <c r="L27" s="8"/>
      <c r="M27" s="8" t="s">
        <v>355</v>
      </c>
      <c r="N27" s="8"/>
    </row>
    <row r="28" customFormat="false" ht="15" hidden="false" customHeight="false" outlineLevel="0" collapsed="false">
      <c r="A28" s="4" t="s">
        <v>722</v>
      </c>
      <c r="B28" s="8"/>
      <c r="C28" s="8"/>
      <c r="D28" s="8"/>
      <c r="E28" s="10" t="n">
        <v>0</v>
      </c>
      <c r="F28" s="10" t="n">
        <v>0</v>
      </c>
      <c r="G28" s="10" t="n">
        <v>0</v>
      </c>
      <c r="H28" s="10" t="n">
        <v>0</v>
      </c>
      <c r="I28" s="8"/>
      <c r="J28" s="11"/>
      <c r="K28" s="8"/>
      <c r="L28" s="8"/>
      <c r="M28" s="8" t="s">
        <v>355</v>
      </c>
      <c r="N28" s="8"/>
    </row>
    <row r="29" customFormat="false" ht="15" hidden="false" customHeight="false" outlineLevel="0" collapsed="false">
      <c r="A29" s="4" t="s">
        <v>723</v>
      </c>
      <c r="B29" s="8"/>
      <c r="C29" s="8"/>
      <c r="D29" s="8"/>
      <c r="E29" s="10" t="n">
        <v>0</v>
      </c>
      <c r="F29" s="10" t="n">
        <v>0</v>
      </c>
      <c r="G29" s="10" t="n">
        <v>0</v>
      </c>
      <c r="H29" s="10" t="n">
        <v>0</v>
      </c>
      <c r="I29" s="8"/>
      <c r="J29" s="11"/>
      <c r="K29" s="8"/>
      <c r="L29" s="8"/>
      <c r="M29" s="8" t="s">
        <v>355</v>
      </c>
      <c r="N29" s="8"/>
    </row>
    <row r="30" customFormat="false" ht="15" hidden="false" customHeight="false" outlineLevel="0" collapsed="false">
      <c r="A30" s="4" t="s">
        <v>724</v>
      </c>
      <c r="B30" s="8"/>
      <c r="C30" s="8"/>
      <c r="D30" s="8"/>
      <c r="E30" s="10" t="n">
        <v>0</v>
      </c>
      <c r="F30" s="10" t="n">
        <v>0</v>
      </c>
      <c r="G30" s="10" t="n">
        <v>0</v>
      </c>
      <c r="H30" s="10" t="n">
        <v>0</v>
      </c>
      <c r="I30" s="8"/>
      <c r="J30" s="11"/>
      <c r="K30" s="8"/>
      <c r="L30" s="8"/>
      <c r="M30" s="8" t="s">
        <v>355</v>
      </c>
      <c r="N30" s="8"/>
    </row>
    <row r="31" customFormat="false" ht="15" hidden="false" customHeight="false" outlineLevel="0" collapsed="false">
      <c r="A31" s="4" t="s">
        <v>725</v>
      </c>
      <c r="B31" s="8"/>
      <c r="C31" s="8"/>
      <c r="D31" s="8"/>
      <c r="E31" s="10" t="n">
        <v>0</v>
      </c>
      <c r="F31" s="10" t="n">
        <v>0</v>
      </c>
      <c r="G31" s="10" t="n">
        <v>0</v>
      </c>
      <c r="H31" s="10" t="n">
        <v>0</v>
      </c>
      <c r="I31" s="8"/>
      <c r="J31" s="11"/>
      <c r="K31" s="8"/>
      <c r="L31" s="8"/>
      <c r="M31" s="8" t="s">
        <v>355</v>
      </c>
      <c r="N31" s="8"/>
    </row>
    <row r="32" customFormat="false" ht="15" hidden="false" customHeight="false" outlineLevel="0" collapsed="false">
      <c r="A32" s="4" t="s">
        <v>726</v>
      </c>
      <c r="B32" s="8"/>
      <c r="C32" s="8"/>
      <c r="D32" s="8"/>
      <c r="E32" s="10" t="n">
        <v>0</v>
      </c>
      <c r="F32" s="10" t="n">
        <v>0</v>
      </c>
      <c r="G32" s="10" t="n">
        <v>0</v>
      </c>
      <c r="H32" s="10" t="n">
        <v>0</v>
      </c>
      <c r="I32" s="8"/>
      <c r="J32" s="11"/>
      <c r="K32" s="8"/>
      <c r="L32" s="8"/>
      <c r="M32" s="8" t="s">
        <v>355</v>
      </c>
      <c r="N32" s="8"/>
    </row>
    <row r="33" customFormat="false" ht="15" hidden="false" customHeight="false" outlineLevel="0" collapsed="false">
      <c r="A33" s="4" t="s">
        <v>727</v>
      </c>
      <c r="B33" s="8"/>
      <c r="C33" s="8"/>
      <c r="D33" s="8"/>
      <c r="E33" s="10" t="n">
        <v>0</v>
      </c>
      <c r="F33" s="10" t="n">
        <v>0</v>
      </c>
      <c r="G33" s="10" t="n">
        <v>0</v>
      </c>
      <c r="H33" s="10" t="n">
        <v>0</v>
      </c>
      <c r="I33" s="8"/>
      <c r="J33" s="11"/>
      <c r="K33" s="8"/>
      <c r="L33" s="8"/>
      <c r="M33" s="8" t="s">
        <v>355</v>
      </c>
      <c r="N33" s="8"/>
    </row>
    <row r="34" customFormat="false" ht="15" hidden="false" customHeight="false" outlineLevel="0" collapsed="false">
      <c r="A34" s="4" t="s">
        <v>728</v>
      </c>
      <c r="B34" s="8"/>
      <c r="C34" s="8"/>
      <c r="D34" s="8"/>
      <c r="E34" s="10" t="n">
        <v>0</v>
      </c>
      <c r="F34" s="10" t="n">
        <v>0</v>
      </c>
      <c r="G34" s="10" t="n">
        <v>0</v>
      </c>
      <c r="H34" s="10" t="n">
        <v>0</v>
      </c>
      <c r="I34" s="8"/>
      <c r="J34" s="11"/>
      <c r="K34" s="8"/>
      <c r="L34" s="8"/>
      <c r="M34" s="8" t="s">
        <v>355</v>
      </c>
      <c r="N34" s="8"/>
    </row>
    <row r="35" customFormat="false" ht="15" hidden="false" customHeight="false" outlineLevel="0" collapsed="false">
      <c r="A35" s="4" t="s">
        <v>729</v>
      </c>
      <c r="B35" s="8"/>
      <c r="C35" s="8"/>
      <c r="D35" s="8"/>
      <c r="E35" s="10" t="n">
        <v>0</v>
      </c>
      <c r="F35" s="10" t="n">
        <v>0</v>
      </c>
      <c r="G35" s="10" t="n">
        <v>0</v>
      </c>
      <c r="H35" s="10" t="n">
        <v>0</v>
      </c>
      <c r="I35" s="8"/>
      <c r="J35" s="11"/>
      <c r="K35" s="8"/>
      <c r="L35" s="8"/>
      <c r="M35" s="8" t="s">
        <v>355</v>
      </c>
      <c r="N35" s="8"/>
    </row>
    <row r="36" customFormat="false" ht="15" hidden="false" customHeight="false" outlineLevel="0" collapsed="false">
      <c r="A36" s="4" t="s">
        <v>730</v>
      </c>
      <c r="B36" s="8"/>
      <c r="C36" s="8"/>
      <c r="D36" s="8"/>
      <c r="E36" s="10" t="n">
        <v>0</v>
      </c>
      <c r="F36" s="10" t="n">
        <v>0</v>
      </c>
      <c r="G36" s="10" t="n">
        <v>0</v>
      </c>
      <c r="H36" s="10" t="n">
        <v>0</v>
      </c>
      <c r="I36" s="8"/>
      <c r="J36" s="11"/>
      <c r="K36" s="8"/>
      <c r="L36" s="8"/>
      <c r="M36" s="8" t="s">
        <v>355</v>
      </c>
      <c r="N36" s="8"/>
    </row>
    <row r="37" customFormat="false" ht="15" hidden="false" customHeight="false" outlineLevel="0" collapsed="false">
      <c r="A37" s="4" t="s">
        <v>731</v>
      </c>
      <c r="B37" s="8"/>
      <c r="C37" s="8"/>
      <c r="D37" s="8"/>
      <c r="E37" s="10" t="n">
        <v>0</v>
      </c>
      <c r="F37" s="10" t="n">
        <v>0</v>
      </c>
      <c r="G37" s="10" t="n">
        <v>0</v>
      </c>
      <c r="H37" s="10" t="n">
        <v>0</v>
      </c>
      <c r="I37" s="8"/>
      <c r="J37" s="11"/>
      <c r="K37" s="8"/>
      <c r="L37" s="8"/>
      <c r="M37" s="8" t="s">
        <v>355</v>
      </c>
      <c r="N37" s="8"/>
    </row>
    <row r="38" customFormat="false" ht="15" hidden="false" customHeight="false" outlineLevel="0" collapsed="false">
      <c r="A38" s="4" t="s">
        <v>732</v>
      </c>
      <c r="B38" s="8"/>
      <c r="C38" s="8"/>
      <c r="D38" s="8"/>
      <c r="E38" s="10" t="n">
        <v>0</v>
      </c>
      <c r="F38" s="10" t="n">
        <v>0</v>
      </c>
      <c r="G38" s="10" t="n">
        <v>0</v>
      </c>
      <c r="H38" s="10" t="n">
        <v>0</v>
      </c>
      <c r="I38" s="8"/>
      <c r="J38" s="11"/>
      <c r="K38" s="8"/>
      <c r="L38" s="8"/>
      <c r="M38" s="8" t="s">
        <v>355</v>
      </c>
      <c r="N38" s="8"/>
    </row>
    <row r="39" customFormat="false" ht="15" hidden="false" customHeight="false" outlineLevel="0" collapsed="false">
      <c r="A39" s="4" t="s">
        <v>733</v>
      </c>
      <c r="B39" s="8"/>
      <c r="C39" s="8"/>
      <c r="D39" s="8"/>
      <c r="E39" s="10" t="n">
        <v>0</v>
      </c>
      <c r="F39" s="10" t="n">
        <v>0</v>
      </c>
      <c r="G39" s="10" t="n">
        <v>0</v>
      </c>
      <c r="H39" s="10" t="n">
        <v>0</v>
      </c>
      <c r="I39" s="8"/>
      <c r="J39" s="11"/>
      <c r="K39" s="8"/>
      <c r="L39" s="8"/>
      <c r="M39" s="8" t="s">
        <v>355</v>
      </c>
      <c r="N39" s="8"/>
    </row>
    <row r="40" customFormat="false" ht="15" hidden="false" customHeight="false" outlineLevel="0" collapsed="false">
      <c r="A40" s="4" t="s">
        <v>734</v>
      </c>
      <c r="B40" s="8"/>
      <c r="C40" s="8"/>
      <c r="D40" s="8"/>
      <c r="E40" s="10" t="n">
        <v>0</v>
      </c>
      <c r="F40" s="10" t="n">
        <v>0</v>
      </c>
      <c r="G40" s="10" t="n">
        <v>0</v>
      </c>
      <c r="H40" s="10" t="n">
        <v>0</v>
      </c>
      <c r="I40" s="8"/>
      <c r="J40" s="11"/>
      <c r="K40" s="8"/>
      <c r="L40" s="8"/>
      <c r="M40" s="8" t="s">
        <v>355</v>
      </c>
      <c r="N40" s="8"/>
    </row>
    <row r="41" customFormat="false" ht="15" hidden="false" customHeight="false" outlineLevel="0" collapsed="false">
      <c r="A41" s="4" t="s">
        <v>735</v>
      </c>
      <c r="B41" s="8"/>
      <c r="C41" s="8"/>
      <c r="D41" s="8"/>
      <c r="E41" s="10" t="n">
        <v>0</v>
      </c>
      <c r="F41" s="10" t="n">
        <v>0</v>
      </c>
      <c r="G41" s="10" t="n">
        <v>0</v>
      </c>
      <c r="H41" s="10" t="n">
        <v>0</v>
      </c>
      <c r="I41" s="8"/>
      <c r="J41" s="11"/>
      <c r="K41" s="8"/>
      <c r="L41" s="8"/>
      <c r="M41" s="8" t="s">
        <v>355</v>
      </c>
      <c r="N41" s="8"/>
    </row>
    <row r="42" customFormat="false" ht="15" hidden="false" customHeight="false" outlineLevel="0" collapsed="false">
      <c r="A42" s="4" t="s">
        <v>736</v>
      </c>
      <c r="B42" s="8"/>
      <c r="C42" s="8"/>
      <c r="D42" s="8"/>
      <c r="E42" s="10" t="n">
        <v>0</v>
      </c>
      <c r="F42" s="10" t="n">
        <v>0</v>
      </c>
      <c r="G42" s="10" t="n">
        <v>0</v>
      </c>
      <c r="H42" s="10" t="n">
        <v>0</v>
      </c>
      <c r="I42" s="8"/>
      <c r="J42" s="11"/>
      <c r="K42" s="8"/>
      <c r="L42" s="8"/>
      <c r="M42" s="8" t="s">
        <v>355</v>
      </c>
      <c r="N42" s="8"/>
    </row>
    <row r="43" customFormat="false" ht="15" hidden="false" customHeight="false" outlineLevel="0" collapsed="false">
      <c r="A43" s="4" t="s">
        <v>737</v>
      </c>
      <c r="B43" s="8"/>
      <c r="C43" s="8"/>
      <c r="D43" s="8"/>
      <c r="E43" s="10" t="n">
        <v>0</v>
      </c>
      <c r="F43" s="10" t="n">
        <v>0</v>
      </c>
      <c r="G43" s="10" t="n">
        <v>0</v>
      </c>
      <c r="H43" s="10" t="n">
        <v>0</v>
      </c>
      <c r="I43" s="8"/>
      <c r="J43" s="11"/>
      <c r="K43" s="8"/>
      <c r="L43" s="8"/>
      <c r="M43" s="8" t="s">
        <v>355</v>
      </c>
      <c r="N43" s="8"/>
    </row>
    <row r="44" customFormat="false" ht="15" hidden="false" customHeight="false" outlineLevel="0" collapsed="false">
      <c r="A44" s="4" t="s">
        <v>738</v>
      </c>
      <c r="B44" s="8"/>
      <c r="C44" s="8"/>
      <c r="D44" s="8"/>
      <c r="E44" s="10" t="n">
        <v>0</v>
      </c>
      <c r="F44" s="10" t="n">
        <v>0</v>
      </c>
      <c r="G44" s="10" t="n">
        <v>0</v>
      </c>
      <c r="H44" s="10" t="n">
        <v>0</v>
      </c>
      <c r="I44" s="8"/>
      <c r="J44" s="11"/>
      <c r="K44" s="8"/>
      <c r="L44" s="8"/>
      <c r="M44" s="8" t="s">
        <v>355</v>
      </c>
      <c r="N44" s="8"/>
    </row>
    <row r="45" customFormat="false" ht="15" hidden="false" customHeight="false" outlineLevel="0" collapsed="false">
      <c r="A45" s="4" t="s">
        <v>739</v>
      </c>
      <c r="B45" s="8"/>
      <c r="C45" s="8"/>
      <c r="D45" s="8"/>
      <c r="E45" s="10" t="n">
        <v>0</v>
      </c>
      <c r="F45" s="10" t="n">
        <v>0</v>
      </c>
      <c r="G45" s="10" t="n">
        <v>0</v>
      </c>
      <c r="H45" s="10" t="n">
        <v>0</v>
      </c>
      <c r="I45" s="8"/>
      <c r="J45" s="11"/>
      <c r="K45" s="8"/>
      <c r="L45" s="8"/>
      <c r="M45" s="8" t="s">
        <v>355</v>
      </c>
      <c r="N45" s="8"/>
    </row>
  </sheetData>
  <mergeCells count="2">
    <mergeCell ref="A1:N1"/>
    <mergeCell ref="A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5" min="3" style="0" width="24"/>
    <col collapsed="false" customWidth="true" hidden="false" outlineLevel="0" max="7" min="6" style="0" width="22"/>
    <col collapsed="false" customWidth="true" hidden="false" outlineLevel="0" max="9" min="8" style="0" width="14"/>
    <col collapsed="false" customWidth="true" hidden="false" outlineLevel="0" max="10" min="10" style="0" width="30"/>
    <col collapsed="false" customWidth="true" hidden="false" outlineLevel="0" max="11" min="11" style="0" width="42"/>
    <col collapsed="false" customWidth="true" hidden="false" outlineLevel="0" max="12" min="12" style="0" width="13"/>
    <col collapsed="false" customWidth="true" hidden="false" outlineLevel="0" max="13" min="13" style="0" width="38"/>
  </cols>
  <sheetData>
    <row r="1" customFormat="false" ht="30" hidden="false" customHeight="true" outlineLevel="0" collapsed="false">
      <c r="A1" s="1" t="s">
        <v>740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741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742</v>
      </c>
      <c r="B5" s="3" t="s">
        <v>100</v>
      </c>
      <c r="C5" s="3" t="s">
        <v>456</v>
      </c>
      <c r="D5" s="3" t="s">
        <v>743</v>
      </c>
      <c r="E5" s="3" t="s">
        <v>744</v>
      </c>
      <c r="F5" s="3" t="s">
        <v>745</v>
      </c>
      <c r="G5" s="3" t="s">
        <v>746</v>
      </c>
      <c r="H5" s="3" t="s">
        <v>747</v>
      </c>
      <c r="I5" s="3" t="s">
        <v>748</v>
      </c>
      <c r="J5" s="3" t="s">
        <v>749</v>
      </c>
      <c r="K5" s="3" t="s">
        <v>750</v>
      </c>
      <c r="L5" s="3" t="s">
        <v>120</v>
      </c>
      <c r="M5" s="3" t="s">
        <v>751</v>
      </c>
    </row>
    <row r="6" customFormat="false" ht="15" hidden="false" customHeight="false" outlineLevel="0" collapsed="false">
      <c r="A6" s="4" t="s">
        <v>752</v>
      </c>
      <c r="B6" s="8"/>
      <c r="C6" s="8"/>
      <c r="D6" s="8"/>
      <c r="E6" s="8"/>
      <c r="F6" s="8"/>
      <c r="G6" s="8"/>
      <c r="H6" s="8"/>
      <c r="I6" s="8"/>
      <c r="J6" s="8"/>
      <c r="K6" s="8"/>
      <c r="L6" s="8" t="s">
        <v>753</v>
      </c>
      <c r="M6" s="8"/>
    </row>
    <row r="7" customFormat="false" ht="15" hidden="false" customHeight="false" outlineLevel="0" collapsed="false">
      <c r="A7" s="4" t="s">
        <v>754</v>
      </c>
      <c r="B7" s="8"/>
      <c r="C7" s="8"/>
      <c r="D7" s="8"/>
      <c r="E7" s="8"/>
      <c r="F7" s="8"/>
      <c r="G7" s="8"/>
      <c r="H7" s="8"/>
      <c r="I7" s="8"/>
      <c r="J7" s="8"/>
      <c r="K7" s="8"/>
      <c r="L7" s="8" t="s">
        <v>753</v>
      </c>
      <c r="M7" s="8"/>
    </row>
    <row r="8" customFormat="false" ht="15" hidden="false" customHeight="false" outlineLevel="0" collapsed="false">
      <c r="A8" s="4" t="s">
        <v>755</v>
      </c>
      <c r="B8" s="8"/>
      <c r="C8" s="8"/>
      <c r="D8" s="8"/>
      <c r="E8" s="8"/>
      <c r="F8" s="8"/>
      <c r="G8" s="8"/>
      <c r="H8" s="8"/>
      <c r="I8" s="8"/>
      <c r="J8" s="8"/>
      <c r="K8" s="8"/>
      <c r="L8" s="8" t="s">
        <v>753</v>
      </c>
      <c r="M8" s="8"/>
    </row>
    <row r="9" customFormat="false" ht="15" hidden="false" customHeight="false" outlineLevel="0" collapsed="false">
      <c r="A9" s="4" t="s">
        <v>756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753</v>
      </c>
      <c r="M9" s="8"/>
    </row>
    <row r="10" customFormat="false" ht="15" hidden="false" customHeight="false" outlineLevel="0" collapsed="false">
      <c r="A10" s="4" t="s">
        <v>757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 t="s">
        <v>753</v>
      </c>
      <c r="M10" s="8"/>
    </row>
    <row r="11" customFormat="false" ht="15" hidden="false" customHeight="false" outlineLevel="0" collapsed="false">
      <c r="A11" s="4" t="s">
        <v>758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 t="s">
        <v>753</v>
      </c>
      <c r="M11" s="8"/>
    </row>
    <row r="12" customFormat="false" ht="15" hidden="false" customHeight="false" outlineLevel="0" collapsed="false">
      <c r="A12" s="4" t="s">
        <v>759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 t="s">
        <v>753</v>
      </c>
      <c r="M12" s="8"/>
    </row>
    <row r="13" customFormat="false" ht="15" hidden="false" customHeight="false" outlineLevel="0" collapsed="false">
      <c r="A13" s="4" t="s">
        <v>760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 t="s">
        <v>753</v>
      </c>
      <c r="M13" s="8"/>
    </row>
    <row r="14" customFormat="false" ht="15" hidden="false" customHeight="false" outlineLevel="0" collapsed="false">
      <c r="A14" s="4" t="s">
        <v>761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 t="s">
        <v>753</v>
      </c>
      <c r="M14" s="8"/>
    </row>
    <row r="15" customFormat="false" ht="15" hidden="false" customHeight="false" outlineLevel="0" collapsed="false">
      <c r="A15" s="4" t="s">
        <v>762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 t="s">
        <v>753</v>
      </c>
      <c r="M15" s="8"/>
    </row>
    <row r="16" customFormat="false" ht="15" hidden="false" customHeight="false" outlineLevel="0" collapsed="false">
      <c r="A16" s="4" t="s">
        <v>763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 t="s">
        <v>753</v>
      </c>
      <c r="M16" s="8"/>
    </row>
    <row r="17" customFormat="false" ht="15" hidden="false" customHeight="false" outlineLevel="0" collapsed="false">
      <c r="A17" s="4" t="s">
        <v>764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 t="s">
        <v>753</v>
      </c>
      <c r="M17" s="8"/>
    </row>
    <row r="18" customFormat="false" ht="15" hidden="false" customHeight="false" outlineLevel="0" collapsed="false">
      <c r="A18" s="4" t="s">
        <v>765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 t="s">
        <v>753</v>
      </c>
      <c r="M18" s="8"/>
    </row>
    <row r="19" customFormat="false" ht="15" hidden="false" customHeight="false" outlineLevel="0" collapsed="false">
      <c r="A19" s="4" t="s">
        <v>766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 t="s">
        <v>753</v>
      </c>
      <c r="M19" s="8"/>
    </row>
    <row r="20" customFormat="false" ht="15" hidden="false" customHeight="false" outlineLevel="0" collapsed="false">
      <c r="A20" s="4" t="s">
        <v>767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 t="s">
        <v>753</v>
      </c>
      <c r="M20" s="8"/>
    </row>
    <row r="21" customFormat="false" ht="15" hidden="false" customHeight="false" outlineLevel="0" collapsed="false">
      <c r="A21" s="4" t="s">
        <v>768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 t="s">
        <v>753</v>
      </c>
      <c r="M21" s="8"/>
    </row>
    <row r="22" customFormat="false" ht="15" hidden="false" customHeight="false" outlineLevel="0" collapsed="false">
      <c r="A22" s="4" t="s">
        <v>769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 t="s">
        <v>753</v>
      </c>
      <c r="M22" s="8"/>
    </row>
    <row r="23" customFormat="false" ht="15" hidden="false" customHeight="false" outlineLevel="0" collapsed="false">
      <c r="A23" s="4" t="s">
        <v>770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 t="s">
        <v>753</v>
      </c>
      <c r="M23" s="8"/>
    </row>
    <row r="24" customFormat="false" ht="15" hidden="false" customHeight="false" outlineLevel="0" collapsed="false">
      <c r="A24" s="4" t="s">
        <v>771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 t="s">
        <v>753</v>
      </c>
      <c r="M24" s="8"/>
    </row>
    <row r="25" customFormat="false" ht="15" hidden="false" customHeight="false" outlineLevel="0" collapsed="false">
      <c r="A25" s="4" t="s">
        <v>772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 t="s">
        <v>753</v>
      </c>
      <c r="M25" s="8"/>
    </row>
    <row r="26" customFormat="false" ht="15" hidden="false" customHeight="false" outlineLevel="0" collapsed="false">
      <c r="A26" s="4" t="s">
        <v>773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 t="s">
        <v>753</v>
      </c>
      <c r="M26" s="8"/>
    </row>
    <row r="27" customFormat="false" ht="15" hidden="false" customHeight="false" outlineLevel="0" collapsed="false">
      <c r="A27" s="4" t="s">
        <v>774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 t="s">
        <v>753</v>
      </c>
      <c r="M27" s="8"/>
    </row>
    <row r="28" customFormat="false" ht="15" hidden="false" customHeight="false" outlineLevel="0" collapsed="false">
      <c r="A28" s="4" t="s">
        <v>775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 t="s">
        <v>753</v>
      </c>
      <c r="M28" s="8"/>
    </row>
    <row r="29" customFormat="false" ht="15" hidden="false" customHeight="false" outlineLevel="0" collapsed="false">
      <c r="A29" s="4" t="s">
        <v>776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 t="s">
        <v>753</v>
      </c>
      <c r="M29" s="8"/>
    </row>
    <row r="30" customFormat="false" ht="15" hidden="false" customHeight="false" outlineLevel="0" collapsed="false">
      <c r="A30" s="4" t="s">
        <v>777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 t="s">
        <v>753</v>
      </c>
      <c r="M30" s="8"/>
    </row>
    <row r="31" customFormat="false" ht="15" hidden="false" customHeight="false" outlineLevel="0" collapsed="false">
      <c r="A31" s="4" t="s">
        <v>778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 t="s">
        <v>753</v>
      </c>
      <c r="M31" s="8"/>
    </row>
    <row r="32" customFormat="false" ht="15" hidden="false" customHeight="false" outlineLevel="0" collapsed="false">
      <c r="A32" s="4" t="s">
        <v>779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 t="s">
        <v>753</v>
      </c>
      <c r="M32" s="8"/>
    </row>
    <row r="33" customFormat="false" ht="15" hidden="false" customHeight="false" outlineLevel="0" collapsed="false">
      <c r="A33" s="4" t="s">
        <v>780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 t="s">
        <v>753</v>
      </c>
      <c r="M33" s="8"/>
    </row>
    <row r="34" customFormat="false" ht="15" hidden="false" customHeight="false" outlineLevel="0" collapsed="false">
      <c r="A34" s="4" t="s">
        <v>781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 t="s">
        <v>753</v>
      </c>
      <c r="M34" s="8"/>
    </row>
    <row r="35" customFormat="false" ht="15" hidden="false" customHeight="false" outlineLevel="0" collapsed="false">
      <c r="A35" s="4" t="s">
        <v>782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 t="s">
        <v>753</v>
      </c>
      <c r="M35" s="8"/>
    </row>
    <row r="36" customFormat="false" ht="15" hidden="false" customHeight="false" outlineLevel="0" collapsed="false">
      <c r="A36" s="4" t="s">
        <v>783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 t="s">
        <v>753</v>
      </c>
      <c r="M36" s="8"/>
    </row>
    <row r="37" customFormat="false" ht="15" hidden="false" customHeight="false" outlineLevel="0" collapsed="false">
      <c r="A37" s="4" t="s">
        <v>784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 t="s">
        <v>753</v>
      </c>
      <c r="M37" s="8"/>
    </row>
    <row r="38" customFormat="false" ht="15" hidden="false" customHeight="false" outlineLevel="0" collapsed="false">
      <c r="A38" s="4" t="s">
        <v>785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 t="s">
        <v>753</v>
      </c>
      <c r="M38" s="8"/>
    </row>
    <row r="39" customFormat="false" ht="15" hidden="false" customHeight="false" outlineLevel="0" collapsed="false">
      <c r="A39" s="4" t="s">
        <v>786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 t="s">
        <v>753</v>
      </c>
      <c r="M39" s="8"/>
    </row>
    <row r="40" customFormat="false" ht="15" hidden="false" customHeight="false" outlineLevel="0" collapsed="false">
      <c r="A40" s="4" t="s">
        <v>787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 t="s">
        <v>753</v>
      </c>
      <c r="M40" s="8"/>
    </row>
    <row r="41" customFormat="false" ht="15" hidden="false" customHeight="false" outlineLevel="0" collapsed="false">
      <c r="A41" s="4" t="s">
        <v>788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 t="s">
        <v>753</v>
      </c>
      <c r="M41" s="8"/>
    </row>
    <row r="42" customFormat="false" ht="15" hidden="false" customHeight="false" outlineLevel="0" collapsed="false">
      <c r="A42" s="4" t="s">
        <v>789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 t="s">
        <v>753</v>
      </c>
      <c r="M42" s="8"/>
    </row>
    <row r="43" customFormat="false" ht="15" hidden="false" customHeight="false" outlineLevel="0" collapsed="false">
      <c r="A43" s="4" t="s">
        <v>790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 t="s">
        <v>753</v>
      </c>
      <c r="M43" s="8"/>
    </row>
    <row r="44" customFormat="false" ht="15" hidden="false" customHeight="false" outlineLevel="0" collapsed="false">
      <c r="A44" s="4" t="s">
        <v>791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 t="s">
        <v>753</v>
      </c>
      <c r="M44" s="8"/>
    </row>
    <row r="45" customFormat="false" ht="15" hidden="false" customHeight="false" outlineLevel="0" collapsed="false">
      <c r="A45" s="4" t="s">
        <v>792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 t="s">
        <v>753</v>
      </c>
      <c r="M45" s="8"/>
    </row>
  </sheetData>
  <mergeCells count="2">
    <mergeCell ref="A1:M1"/>
    <mergeCell ref="A2:M2"/>
  </mergeCells>
  <conditionalFormatting sqref="L6:L45">
    <cfRule type="containsText" priority="2" operator="containsText" aboveAverage="0" equalAverage="0" bottom="0" percent="0" rank="0" text="已完成" dxfId="6">
      <formula>NOT(ISERROR(SEARCH("已完成",L6)))</formula>
    </cfRule>
    <cfRule type="containsText" priority="3" operator="containsText" aboveAverage="0" equalAverage="0" bottom="0" percent="0" rank="0" text="高" dxfId="7">
      <formula>NOT(ISERROR(SEARCH("高",L6)))</formula>
    </cfRule>
  </conditionalFormatting>
  <dataValidations count="1">
    <dataValidation allowBlank="false" errorStyle="stop" operator="between" showDropDown="false" showErrorMessage="false" showInputMessage="false" sqref="L6:L45" type="list">
      <formula1>"待审批,已批准,已交接,已更新,拒绝"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7" min="6" style="0" width="28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38"/>
    <col collapsed="false" customWidth="true" hidden="false" outlineLevel="0" max="11" min="11" style="0" width="30"/>
    <col collapsed="false" customWidth="true" hidden="false" outlineLevel="0" max="12" min="12" style="0" width="13"/>
    <col collapsed="false" customWidth="true" hidden="false" outlineLevel="0" max="13" min="13" style="0" width="42"/>
  </cols>
  <sheetData>
    <row r="1" customFormat="false" ht="30" hidden="false" customHeight="true" outlineLevel="0" collapsed="false">
      <c r="A1" s="1" t="s">
        <v>793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794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795</v>
      </c>
      <c r="B5" s="3" t="s">
        <v>100</v>
      </c>
      <c r="C5" s="3" t="s">
        <v>456</v>
      </c>
      <c r="D5" s="3" t="s">
        <v>796</v>
      </c>
      <c r="E5" s="3" t="s">
        <v>797</v>
      </c>
      <c r="F5" s="3" t="s">
        <v>798</v>
      </c>
      <c r="G5" s="3" t="s">
        <v>799</v>
      </c>
      <c r="H5" s="3" t="s">
        <v>800</v>
      </c>
      <c r="I5" s="3" t="s">
        <v>801</v>
      </c>
      <c r="J5" s="3" t="s">
        <v>802</v>
      </c>
      <c r="K5" s="3" t="s">
        <v>803</v>
      </c>
      <c r="L5" s="3" t="s">
        <v>120</v>
      </c>
      <c r="M5" s="3" t="s">
        <v>353</v>
      </c>
    </row>
    <row r="6" customFormat="false" ht="15" hidden="false" customHeight="false" outlineLevel="0" collapsed="false">
      <c r="A6" s="4" t="s">
        <v>804</v>
      </c>
      <c r="B6" s="8"/>
      <c r="C6" s="8"/>
      <c r="D6" s="8"/>
      <c r="E6" s="10" t="n">
        <v>0</v>
      </c>
      <c r="F6" s="8"/>
      <c r="G6" s="8"/>
      <c r="H6" s="8"/>
      <c r="I6" s="8"/>
      <c r="J6" s="8"/>
      <c r="K6" s="8"/>
      <c r="L6" s="8" t="s">
        <v>355</v>
      </c>
      <c r="M6" s="8"/>
    </row>
    <row r="7" customFormat="false" ht="15" hidden="false" customHeight="false" outlineLevel="0" collapsed="false">
      <c r="A7" s="4" t="s">
        <v>805</v>
      </c>
      <c r="B7" s="8"/>
      <c r="C7" s="8"/>
      <c r="D7" s="8"/>
      <c r="E7" s="10" t="n">
        <v>0</v>
      </c>
      <c r="F7" s="8"/>
      <c r="G7" s="8"/>
      <c r="H7" s="8"/>
      <c r="I7" s="8"/>
      <c r="J7" s="8"/>
      <c r="K7" s="8"/>
      <c r="L7" s="8" t="s">
        <v>355</v>
      </c>
      <c r="M7" s="8"/>
    </row>
    <row r="8" customFormat="false" ht="15" hidden="false" customHeight="false" outlineLevel="0" collapsed="false">
      <c r="A8" s="4" t="s">
        <v>806</v>
      </c>
      <c r="B8" s="8"/>
      <c r="C8" s="8"/>
      <c r="D8" s="8"/>
      <c r="E8" s="10" t="n">
        <v>0</v>
      </c>
      <c r="F8" s="8"/>
      <c r="G8" s="8"/>
      <c r="H8" s="8"/>
      <c r="I8" s="8"/>
      <c r="J8" s="8"/>
      <c r="K8" s="8"/>
      <c r="L8" s="8" t="s">
        <v>355</v>
      </c>
      <c r="M8" s="8"/>
    </row>
    <row r="9" customFormat="false" ht="15" hidden="false" customHeight="false" outlineLevel="0" collapsed="false">
      <c r="A9" s="4" t="s">
        <v>807</v>
      </c>
      <c r="B9" s="8"/>
      <c r="C9" s="8"/>
      <c r="D9" s="8"/>
      <c r="E9" s="10" t="n">
        <v>0</v>
      </c>
      <c r="F9" s="8"/>
      <c r="G9" s="8"/>
      <c r="H9" s="8"/>
      <c r="I9" s="8"/>
      <c r="J9" s="8"/>
      <c r="K9" s="8"/>
      <c r="L9" s="8" t="s">
        <v>355</v>
      </c>
      <c r="M9" s="8"/>
    </row>
    <row r="10" customFormat="false" ht="15" hidden="false" customHeight="false" outlineLevel="0" collapsed="false">
      <c r="A10" s="4" t="s">
        <v>808</v>
      </c>
      <c r="B10" s="8"/>
      <c r="C10" s="8"/>
      <c r="D10" s="8"/>
      <c r="E10" s="10" t="n">
        <v>0</v>
      </c>
      <c r="F10" s="8"/>
      <c r="G10" s="8"/>
      <c r="H10" s="8"/>
      <c r="I10" s="8"/>
      <c r="J10" s="8"/>
      <c r="K10" s="8"/>
      <c r="L10" s="8" t="s">
        <v>355</v>
      </c>
      <c r="M10" s="8"/>
    </row>
    <row r="11" customFormat="false" ht="15" hidden="false" customHeight="false" outlineLevel="0" collapsed="false">
      <c r="A11" s="4" t="s">
        <v>809</v>
      </c>
      <c r="B11" s="8"/>
      <c r="C11" s="8"/>
      <c r="D11" s="8"/>
      <c r="E11" s="10" t="n">
        <v>0</v>
      </c>
      <c r="F11" s="8"/>
      <c r="G11" s="8"/>
      <c r="H11" s="8"/>
      <c r="I11" s="8"/>
      <c r="J11" s="8"/>
      <c r="K11" s="8"/>
      <c r="L11" s="8" t="s">
        <v>355</v>
      </c>
      <c r="M11" s="8"/>
    </row>
    <row r="12" customFormat="false" ht="15" hidden="false" customHeight="false" outlineLevel="0" collapsed="false">
      <c r="A12" s="4" t="s">
        <v>810</v>
      </c>
      <c r="B12" s="8"/>
      <c r="C12" s="8"/>
      <c r="D12" s="8"/>
      <c r="E12" s="10" t="n">
        <v>0</v>
      </c>
      <c r="F12" s="8"/>
      <c r="G12" s="8"/>
      <c r="H12" s="8"/>
      <c r="I12" s="8"/>
      <c r="J12" s="8"/>
      <c r="K12" s="8"/>
      <c r="L12" s="8" t="s">
        <v>355</v>
      </c>
      <c r="M12" s="8"/>
    </row>
    <row r="13" customFormat="false" ht="15" hidden="false" customHeight="false" outlineLevel="0" collapsed="false">
      <c r="A13" s="4" t="s">
        <v>811</v>
      </c>
      <c r="B13" s="8"/>
      <c r="C13" s="8"/>
      <c r="D13" s="8"/>
      <c r="E13" s="10" t="n">
        <v>0</v>
      </c>
      <c r="F13" s="8"/>
      <c r="G13" s="8"/>
      <c r="H13" s="8"/>
      <c r="I13" s="8"/>
      <c r="J13" s="8"/>
      <c r="K13" s="8"/>
      <c r="L13" s="8" t="s">
        <v>355</v>
      </c>
      <c r="M13" s="8"/>
    </row>
    <row r="14" customFormat="false" ht="15" hidden="false" customHeight="false" outlineLevel="0" collapsed="false">
      <c r="A14" s="4" t="s">
        <v>812</v>
      </c>
      <c r="B14" s="8"/>
      <c r="C14" s="8"/>
      <c r="D14" s="8"/>
      <c r="E14" s="10" t="n">
        <v>0</v>
      </c>
      <c r="F14" s="8"/>
      <c r="G14" s="8"/>
      <c r="H14" s="8"/>
      <c r="I14" s="8"/>
      <c r="J14" s="8"/>
      <c r="K14" s="8"/>
      <c r="L14" s="8" t="s">
        <v>355</v>
      </c>
      <c r="M14" s="8"/>
    </row>
    <row r="15" customFormat="false" ht="15" hidden="false" customHeight="false" outlineLevel="0" collapsed="false">
      <c r="A15" s="4" t="s">
        <v>813</v>
      </c>
      <c r="B15" s="8"/>
      <c r="C15" s="8"/>
      <c r="D15" s="8"/>
      <c r="E15" s="10" t="n">
        <v>0</v>
      </c>
      <c r="F15" s="8"/>
      <c r="G15" s="8"/>
      <c r="H15" s="8"/>
      <c r="I15" s="8"/>
      <c r="J15" s="8"/>
      <c r="K15" s="8"/>
      <c r="L15" s="8" t="s">
        <v>355</v>
      </c>
      <c r="M15" s="8"/>
    </row>
    <row r="16" customFormat="false" ht="15" hidden="false" customHeight="false" outlineLevel="0" collapsed="false">
      <c r="A16" s="4" t="s">
        <v>814</v>
      </c>
      <c r="B16" s="8"/>
      <c r="C16" s="8"/>
      <c r="D16" s="8"/>
      <c r="E16" s="10" t="n">
        <v>0</v>
      </c>
      <c r="F16" s="8"/>
      <c r="G16" s="8"/>
      <c r="H16" s="8"/>
      <c r="I16" s="8"/>
      <c r="J16" s="8"/>
      <c r="K16" s="8"/>
      <c r="L16" s="8" t="s">
        <v>355</v>
      </c>
      <c r="M16" s="8"/>
    </row>
    <row r="17" customFormat="false" ht="15" hidden="false" customHeight="false" outlineLevel="0" collapsed="false">
      <c r="A17" s="4" t="s">
        <v>815</v>
      </c>
      <c r="B17" s="8"/>
      <c r="C17" s="8"/>
      <c r="D17" s="8"/>
      <c r="E17" s="10" t="n">
        <v>0</v>
      </c>
      <c r="F17" s="8"/>
      <c r="G17" s="8"/>
      <c r="H17" s="8"/>
      <c r="I17" s="8"/>
      <c r="J17" s="8"/>
      <c r="K17" s="8"/>
      <c r="L17" s="8" t="s">
        <v>355</v>
      </c>
      <c r="M17" s="8"/>
    </row>
    <row r="18" customFormat="false" ht="15" hidden="false" customHeight="false" outlineLevel="0" collapsed="false">
      <c r="A18" s="4" t="s">
        <v>816</v>
      </c>
      <c r="B18" s="8"/>
      <c r="C18" s="8"/>
      <c r="D18" s="8"/>
      <c r="E18" s="10" t="n">
        <v>0</v>
      </c>
      <c r="F18" s="8"/>
      <c r="G18" s="8"/>
      <c r="H18" s="8"/>
      <c r="I18" s="8"/>
      <c r="J18" s="8"/>
      <c r="K18" s="8"/>
      <c r="L18" s="8" t="s">
        <v>355</v>
      </c>
      <c r="M18" s="8"/>
    </row>
    <row r="19" customFormat="false" ht="15" hidden="false" customHeight="false" outlineLevel="0" collapsed="false">
      <c r="A19" s="4" t="s">
        <v>817</v>
      </c>
      <c r="B19" s="8"/>
      <c r="C19" s="8"/>
      <c r="D19" s="8"/>
      <c r="E19" s="10" t="n">
        <v>0</v>
      </c>
      <c r="F19" s="8"/>
      <c r="G19" s="8"/>
      <c r="H19" s="8"/>
      <c r="I19" s="8"/>
      <c r="J19" s="8"/>
      <c r="K19" s="8"/>
      <c r="L19" s="8" t="s">
        <v>355</v>
      </c>
      <c r="M19" s="8"/>
    </row>
    <row r="20" customFormat="false" ht="15" hidden="false" customHeight="false" outlineLevel="0" collapsed="false">
      <c r="A20" s="4" t="s">
        <v>818</v>
      </c>
      <c r="B20" s="8"/>
      <c r="C20" s="8"/>
      <c r="D20" s="8"/>
      <c r="E20" s="10" t="n">
        <v>0</v>
      </c>
      <c r="F20" s="8"/>
      <c r="G20" s="8"/>
      <c r="H20" s="8"/>
      <c r="I20" s="8"/>
      <c r="J20" s="8"/>
      <c r="K20" s="8"/>
      <c r="L20" s="8" t="s">
        <v>355</v>
      </c>
      <c r="M20" s="8"/>
    </row>
    <row r="21" customFormat="false" ht="15" hidden="false" customHeight="false" outlineLevel="0" collapsed="false">
      <c r="A21" s="4" t="s">
        <v>819</v>
      </c>
      <c r="B21" s="8"/>
      <c r="C21" s="8"/>
      <c r="D21" s="8"/>
      <c r="E21" s="10" t="n">
        <v>0</v>
      </c>
      <c r="F21" s="8"/>
      <c r="G21" s="8"/>
      <c r="H21" s="8"/>
      <c r="I21" s="8"/>
      <c r="J21" s="8"/>
      <c r="K21" s="8"/>
      <c r="L21" s="8" t="s">
        <v>355</v>
      </c>
      <c r="M21" s="8"/>
    </row>
    <row r="22" customFormat="false" ht="15" hidden="false" customHeight="false" outlineLevel="0" collapsed="false">
      <c r="A22" s="4" t="s">
        <v>820</v>
      </c>
      <c r="B22" s="8"/>
      <c r="C22" s="8"/>
      <c r="D22" s="8"/>
      <c r="E22" s="10" t="n">
        <v>0</v>
      </c>
      <c r="F22" s="8"/>
      <c r="G22" s="8"/>
      <c r="H22" s="8"/>
      <c r="I22" s="8"/>
      <c r="J22" s="8"/>
      <c r="K22" s="8"/>
      <c r="L22" s="8" t="s">
        <v>355</v>
      </c>
      <c r="M22" s="8"/>
    </row>
    <row r="23" customFormat="false" ht="15" hidden="false" customHeight="false" outlineLevel="0" collapsed="false">
      <c r="A23" s="4" t="s">
        <v>821</v>
      </c>
      <c r="B23" s="8"/>
      <c r="C23" s="8"/>
      <c r="D23" s="8"/>
      <c r="E23" s="10" t="n">
        <v>0</v>
      </c>
      <c r="F23" s="8"/>
      <c r="G23" s="8"/>
      <c r="H23" s="8"/>
      <c r="I23" s="8"/>
      <c r="J23" s="8"/>
      <c r="K23" s="8"/>
      <c r="L23" s="8" t="s">
        <v>355</v>
      </c>
      <c r="M23" s="8"/>
    </row>
    <row r="24" customFormat="false" ht="15" hidden="false" customHeight="false" outlineLevel="0" collapsed="false">
      <c r="A24" s="4" t="s">
        <v>822</v>
      </c>
      <c r="B24" s="8"/>
      <c r="C24" s="8"/>
      <c r="D24" s="8"/>
      <c r="E24" s="10" t="n">
        <v>0</v>
      </c>
      <c r="F24" s="8"/>
      <c r="G24" s="8"/>
      <c r="H24" s="8"/>
      <c r="I24" s="8"/>
      <c r="J24" s="8"/>
      <c r="K24" s="8"/>
      <c r="L24" s="8" t="s">
        <v>355</v>
      </c>
      <c r="M24" s="8"/>
    </row>
    <row r="25" customFormat="false" ht="15" hidden="false" customHeight="false" outlineLevel="0" collapsed="false">
      <c r="A25" s="4" t="s">
        <v>823</v>
      </c>
      <c r="B25" s="8"/>
      <c r="C25" s="8"/>
      <c r="D25" s="8"/>
      <c r="E25" s="10" t="n">
        <v>0</v>
      </c>
      <c r="F25" s="8"/>
      <c r="G25" s="8"/>
      <c r="H25" s="8"/>
      <c r="I25" s="8"/>
      <c r="J25" s="8"/>
      <c r="K25" s="8"/>
      <c r="L25" s="8" t="s">
        <v>355</v>
      </c>
      <c r="M25" s="8"/>
    </row>
    <row r="26" customFormat="false" ht="15" hidden="false" customHeight="false" outlineLevel="0" collapsed="false">
      <c r="A26" s="4" t="s">
        <v>824</v>
      </c>
      <c r="B26" s="8"/>
      <c r="C26" s="8"/>
      <c r="D26" s="8"/>
      <c r="E26" s="10" t="n">
        <v>0</v>
      </c>
      <c r="F26" s="8"/>
      <c r="G26" s="8"/>
      <c r="H26" s="8"/>
      <c r="I26" s="8"/>
      <c r="J26" s="8"/>
      <c r="K26" s="8"/>
      <c r="L26" s="8" t="s">
        <v>355</v>
      </c>
      <c r="M26" s="8"/>
    </row>
    <row r="27" customFormat="false" ht="15" hidden="false" customHeight="false" outlineLevel="0" collapsed="false">
      <c r="A27" s="4" t="s">
        <v>825</v>
      </c>
      <c r="B27" s="8"/>
      <c r="C27" s="8"/>
      <c r="D27" s="8"/>
      <c r="E27" s="10" t="n">
        <v>0</v>
      </c>
      <c r="F27" s="8"/>
      <c r="G27" s="8"/>
      <c r="H27" s="8"/>
      <c r="I27" s="8"/>
      <c r="J27" s="8"/>
      <c r="K27" s="8"/>
      <c r="L27" s="8" t="s">
        <v>355</v>
      </c>
      <c r="M27" s="8"/>
    </row>
    <row r="28" customFormat="false" ht="15" hidden="false" customHeight="false" outlineLevel="0" collapsed="false">
      <c r="A28" s="4" t="s">
        <v>826</v>
      </c>
      <c r="B28" s="8"/>
      <c r="C28" s="8"/>
      <c r="D28" s="8"/>
      <c r="E28" s="10" t="n">
        <v>0</v>
      </c>
      <c r="F28" s="8"/>
      <c r="G28" s="8"/>
      <c r="H28" s="8"/>
      <c r="I28" s="8"/>
      <c r="J28" s="8"/>
      <c r="K28" s="8"/>
      <c r="L28" s="8" t="s">
        <v>355</v>
      </c>
      <c r="M28" s="8"/>
    </row>
    <row r="29" customFormat="false" ht="15" hidden="false" customHeight="false" outlineLevel="0" collapsed="false">
      <c r="A29" s="4" t="s">
        <v>827</v>
      </c>
      <c r="B29" s="8"/>
      <c r="C29" s="8"/>
      <c r="D29" s="8"/>
      <c r="E29" s="10" t="n">
        <v>0</v>
      </c>
      <c r="F29" s="8"/>
      <c r="G29" s="8"/>
      <c r="H29" s="8"/>
      <c r="I29" s="8"/>
      <c r="J29" s="8"/>
      <c r="K29" s="8"/>
      <c r="L29" s="8" t="s">
        <v>355</v>
      </c>
      <c r="M29" s="8"/>
    </row>
    <row r="30" customFormat="false" ht="15" hidden="false" customHeight="false" outlineLevel="0" collapsed="false">
      <c r="A30" s="4" t="s">
        <v>828</v>
      </c>
      <c r="B30" s="8"/>
      <c r="C30" s="8"/>
      <c r="D30" s="8"/>
      <c r="E30" s="10" t="n">
        <v>0</v>
      </c>
      <c r="F30" s="8"/>
      <c r="G30" s="8"/>
      <c r="H30" s="8"/>
      <c r="I30" s="8"/>
      <c r="J30" s="8"/>
      <c r="K30" s="8"/>
      <c r="L30" s="8" t="s">
        <v>355</v>
      </c>
      <c r="M30" s="8"/>
    </row>
    <row r="31" customFormat="false" ht="15" hidden="false" customHeight="false" outlineLevel="0" collapsed="false">
      <c r="A31" s="4" t="s">
        <v>829</v>
      </c>
      <c r="B31" s="8"/>
      <c r="C31" s="8"/>
      <c r="D31" s="8"/>
      <c r="E31" s="10" t="n">
        <v>0</v>
      </c>
      <c r="F31" s="8"/>
      <c r="G31" s="8"/>
      <c r="H31" s="8"/>
      <c r="I31" s="8"/>
      <c r="J31" s="8"/>
      <c r="K31" s="8"/>
      <c r="L31" s="8" t="s">
        <v>355</v>
      </c>
      <c r="M31" s="8"/>
    </row>
    <row r="32" customFormat="false" ht="15" hidden="false" customHeight="false" outlineLevel="0" collapsed="false">
      <c r="A32" s="4" t="s">
        <v>830</v>
      </c>
      <c r="B32" s="8"/>
      <c r="C32" s="8"/>
      <c r="D32" s="8"/>
      <c r="E32" s="10" t="n">
        <v>0</v>
      </c>
      <c r="F32" s="8"/>
      <c r="G32" s="8"/>
      <c r="H32" s="8"/>
      <c r="I32" s="8"/>
      <c r="J32" s="8"/>
      <c r="K32" s="8"/>
      <c r="L32" s="8" t="s">
        <v>355</v>
      </c>
      <c r="M32" s="8"/>
    </row>
    <row r="33" customFormat="false" ht="15" hidden="false" customHeight="false" outlineLevel="0" collapsed="false">
      <c r="A33" s="4" t="s">
        <v>831</v>
      </c>
      <c r="B33" s="8"/>
      <c r="C33" s="8"/>
      <c r="D33" s="8"/>
      <c r="E33" s="10" t="n">
        <v>0</v>
      </c>
      <c r="F33" s="8"/>
      <c r="G33" s="8"/>
      <c r="H33" s="8"/>
      <c r="I33" s="8"/>
      <c r="J33" s="8"/>
      <c r="K33" s="8"/>
      <c r="L33" s="8" t="s">
        <v>355</v>
      </c>
      <c r="M33" s="8"/>
    </row>
    <row r="34" customFormat="false" ht="15" hidden="false" customHeight="false" outlineLevel="0" collapsed="false">
      <c r="A34" s="4" t="s">
        <v>832</v>
      </c>
      <c r="B34" s="8"/>
      <c r="C34" s="8"/>
      <c r="D34" s="8"/>
      <c r="E34" s="10" t="n">
        <v>0</v>
      </c>
      <c r="F34" s="8"/>
      <c r="G34" s="8"/>
      <c r="H34" s="8"/>
      <c r="I34" s="8"/>
      <c r="J34" s="8"/>
      <c r="K34" s="8"/>
      <c r="L34" s="8" t="s">
        <v>355</v>
      </c>
      <c r="M34" s="8"/>
    </row>
    <row r="35" customFormat="false" ht="15" hidden="false" customHeight="false" outlineLevel="0" collapsed="false">
      <c r="A35" s="4" t="s">
        <v>833</v>
      </c>
      <c r="B35" s="8"/>
      <c r="C35" s="8"/>
      <c r="D35" s="8"/>
      <c r="E35" s="10" t="n">
        <v>0</v>
      </c>
      <c r="F35" s="8"/>
      <c r="G35" s="8"/>
      <c r="H35" s="8"/>
      <c r="I35" s="8"/>
      <c r="J35" s="8"/>
      <c r="K35" s="8"/>
      <c r="L35" s="8" t="s">
        <v>355</v>
      </c>
      <c r="M35" s="8"/>
    </row>
    <row r="36" customFormat="false" ht="15" hidden="false" customHeight="false" outlineLevel="0" collapsed="false">
      <c r="A36" s="4" t="s">
        <v>834</v>
      </c>
      <c r="B36" s="8"/>
      <c r="C36" s="8"/>
      <c r="D36" s="8"/>
      <c r="E36" s="10" t="n">
        <v>0</v>
      </c>
      <c r="F36" s="8"/>
      <c r="G36" s="8"/>
      <c r="H36" s="8"/>
      <c r="I36" s="8"/>
      <c r="J36" s="8"/>
      <c r="K36" s="8"/>
      <c r="L36" s="8" t="s">
        <v>355</v>
      </c>
      <c r="M36" s="8"/>
    </row>
    <row r="37" customFormat="false" ht="15" hidden="false" customHeight="false" outlineLevel="0" collapsed="false">
      <c r="A37" s="4" t="s">
        <v>835</v>
      </c>
      <c r="B37" s="8"/>
      <c r="C37" s="8"/>
      <c r="D37" s="8"/>
      <c r="E37" s="10" t="n">
        <v>0</v>
      </c>
      <c r="F37" s="8"/>
      <c r="G37" s="8"/>
      <c r="H37" s="8"/>
      <c r="I37" s="8"/>
      <c r="J37" s="8"/>
      <c r="K37" s="8"/>
      <c r="L37" s="8" t="s">
        <v>355</v>
      </c>
      <c r="M37" s="8"/>
    </row>
    <row r="38" customFormat="false" ht="15" hidden="false" customHeight="false" outlineLevel="0" collapsed="false">
      <c r="A38" s="4" t="s">
        <v>836</v>
      </c>
      <c r="B38" s="8"/>
      <c r="C38" s="8"/>
      <c r="D38" s="8"/>
      <c r="E38" s="10" t="n">
        <v>0</v>
      </c>
      <c r="F38" s="8"/>
      <c r="G38" s="8"/>
      <c r="H38" s="8"/>
      <c r="I38" s="8"/>
      <c r="J38" s="8"/>
      <c r="K38" s="8"/>
      <c r="L38" s="8" t="s">
        <v>355</v>
      </c>
      <c r="M38" s="8"/>
    </row>
    <row r="39" customFormat="false" ht="15" hidden="false" customHeight="false" outlineLevel="0" collapsed="false">
      <c r="A39" s="4" t="s">
        <v>837</v>
      </c>
      <c r="B39" s="8"/>
      <c r="C39" s="8"/>
      <c r="D39" s="8"/>
      <c r="E39" s="10" t="n">
        <v>0</v>
      </c>
      <c r="F39" s="8"/>
      <c r="G39" s="8"/>
      <c r="H39" s="8"/>
      <c r="I39" s="8"/>
      <c r="J39" s="8"/>
      <c r="K39" s="8"/>
      <c r="L39" s="8" t="s">
        <v>355</v>
      </c>
      <c r="M39" s="8"/>
    </row>
    <row r="40" customFormat="false" ht="15" hidden="false" customHeight="false" outlineLevel="0" collapsed="false">
      <c r="A40" s="4" t="s">
        <v>838</v>
      </c>
      <c r="B40" s="8"/>
      <c r="C40" s="8"/>
      <c r="D40" s="8"/>
      <c r="E40" s="10" t="n">
        <v>0</v>
      </c>
      <c r="F40" s="8"/>
      <c r="G40" s="8"/>
      <c r="H40" s="8"/>
      <c r="I40" s="8"/>
      <c r="J40" s="8"/>
      <c r="K40" s="8"/>
      <c r="L40" s="8" t="s">
        <v>355</v>
      </c>
      <c r="M40" s="8"/>
    </row>
    <row r="41" customFormat="false" ht="15" hidden="false" customHeight="false" outlineLevel="0" collapsed="false">
      <c r="A41" s="4" t="s">
        <v>839</v>
      </c>
      <c r="B41" s="8"/>
      <c r="C41" s="8"/>
      <c r="D41" s="8"/>
      <c r="E41" s="10" t="n">
        <v>0</v>
      </c>
      <c r="F41" s="8"/>
      <c r="G41" s="8"/>
      <c r="H41" s="8"/>
      <c r="I41" s="8"/>
      <c r="J41" s="8"/>
      <c r="K41" s="8"/>
      <c r="L41" s="8" t="s">
        <v>355</v>
      </c>
      <c r="M41" s="8"/>
    </row>
    <row r="42" customFormat="false" ht="15" hidden="false" customHeight="false" outlineLevel="0" collapsed="false">
      <c r="A42" s="4" t="s">
        <v>840</v>
      </c>
      <c r="B42" s="8"/>
      <c r="C42" s="8"/>
      <c r="D42" s="8"/>
      <c r="E42" s="10" t="n">
        <v>0</v>
      </c>
      <c r="F42" s="8"/>
      <c r="G42" s="8"/>
      <c r="H42" s="8"/>
      <c r="I42" s="8"/>
      <c r="J42" s="8"/>
      <c r="K42" s="8"/>
      <c r="L42" s="8" t="s">
        <v>355</v>
      </c>
      <c r="M42" s="8"/>
    </row>
    <row r="43" customFormat="false" ht="15" hidden="false" customHeight="false" outlineLevel="0" collapsed="false">
      <c r="A43" s="4" t="s">
        <v>841</v>
      </c>
      <c r="B43" s="8"/>
      <c r="C43" s="8"/>
      <c r="D43" s="8"/>
      <c r="E43" s="10" t="n">
        <v>0</v>
      </c>
      <c r="F43" s="8"/>
      <c r="G43" s="8"/>
      <c r="H43" s="8"/>
      <c r="I43" s="8"/>
      <c r="J43" s="8"/>
      <c r="K43" s="8"/>
      <c r="L43" s="8" t="s">
        <v>355</v>
      </c>
      <c r="M43" s="8"/>
    </row>
    <row r="44" customFormat="false" ht="15" hidden="false" customHeight="false" outlineLevel="0" collapsed="false">
      <c r="A44" s="4" t="s">
        <v>842</v>
      </c>
      <c r="B44" s="8"/>
      <c r="C44" s="8"/>
      <c r="D44" s="8"/>
      <c r="E44" s="10" t="n">
        <v>0</v>
      </c>
      <c r="F44" s="8"/>
      <c r="G44" s="8"/>
      <c r="H44" s="8"/>
      <c r="I44" s="8"/>
      <c r="J44" s="8"/>
      <c r="K44" s="8"/>
      <c r="L44" s="8" t="s">
        <v>355</v>
      </c>
      <c r="M44" s="8"/>
    </row>
    <row r="45" customFormat="false" ht="15" hidden="false" customHeight="false" outlineLevel="0" collapsed="false">
      <c r="A45" s="4" t="s">
        <v>843</v>
      </c>
      <c r="B45" s="8"/>
      <c r="C45" s="8"/>
      <c r="D45" s="8"/>
      <c r="E45" s="10" t="n">
        <v>0</v>
      </c>
      <c r="F45" s="8"/>
      <c r="G45" s="8"/>
      <c r="H45" s="8"/>
      <c r="I45" s="8"/>
      <c r="J45" s="8"/>
      <c r="K45" s="8"/>
      <c r="L45" s="8" t="s">
        <v>355</v>
      </c>
      <c r="M45" s="8"/>
    </row>
  </sheetData>
  <mergeCells count="2">
    <mergeCell ref="A1:M1"/>
    <mergeCell ref="A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9" min="6" style="0" width="14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2" min="12" style="0" width="18"/>
    <col collapsed="false" customWidth="true" hidden="false" outlineLevel="0" max="13" min="13" style="0" width="24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13"/>
    <col collapsed="false" customWidth="true" hidden="false" outlineLevel="0" max="17" min="17" style="0" width="38"/>
  </cols>
  <sheetData>
    <row r="1" customFormat="false" ht="30" hidden="false" customHeight="true" outlineLevel="0" collapsed="false">
      <c r="A1" s="1" t="s">
        <v>844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8" hidden="false" customHeight="true" outlineLevel="0" collapsed="false">
      <c r="A2" s="2" t="s">
        <v>845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5" customFormat="false" ht="34" hidden="false" customHeight="true" outlineLevel="0" collapsed="false">
      <c r="A5" s="3" t="s">
        <v>846</v>
      </c>
      <c r="B5" s="3" t="s">
        <v>100</v>
      </c>
      <c r="C5" s="3" t="s">
        <v>456</v>
      </c>
      <c r="D5" s="3" t="s">
        <v>847</v>
      </c>
      <c r="E5" s="3" t="s">
        <v>848</v>
      </c>
      <c r="F5" s="3" t="s">
        <v>849</v>
      </c>
      <c r="G5" s="3" t="s">
        <v>9</v>
      </c>
      <c r="H5" s="3" t="s">
        <v>850</v>
      </c>
      <c r="I5" s="3" t="s">
        <v>317</v>
      </c>
      <c r="J5" s="3" t="s">
        <v>851</v>
      </c>
      <c r="K5" s="3" t="s">
        <v>852</v>
      </c>
      <c r="L5" s="3" t="s">
        <v>699</v>
      </c>
      <c r="M5" s="3" t="s">
        <v>853</v>
      </c>
      <c r="N5" s="3" t="s">
        <v>854</v>
      </c>
      <c r="O5" s="3" t="s">
        <v>855</v>
      </c>
      <c r="P5" s="3" t="s">
        <v>120</v>
      </c>
      <c r="Q5" s="3" t="s">
        <v>856</v>
      </c>
    </row>
    <row r="6" customFormat="false" ht="15" hidden="false" customHeight="false" outlineLevel="0" collapsed="false">
      <c r="A6" s="4" t="s">
        <v>857</v>
      </c>
      <c r="B6" s="8"/>
      <c r="C6" s="8"/>
      <c r="D6" s="8"/>
      <c r="E6" s="8"/>
      <c r="F6" s="10" t="n">
        <v>0</v>
      </c>
      <c r="G6" s="10" t="n">
        <v>0</v>
      </c>
      <c r="H6" s="10" t="n">
        <v>0</v>
      </c>
      <c r="I6" s="10" t="n">
        <v>0</v>
      </c>
      <c r="J6" s="10"/>
      <c r="K6" s="8"/>
      <c r="L6" s="8"/>
      <c r="M6" s="8"/>
      <c r="N6" s="8"/>
      <c r="O6" s="8"/>
      <c r="P6" s="8" t="s">
        <v>753</v>
      </c>
      <c r="Q6" s="8"/>
    </row>
    <row r="7" customFormat="false" ht="15" hidden="false" customHeight="false" outlineLevel="0" collapsed="false">
      <c r="A7" s="4" t="s">
        <v>858</v>
      </c>
      <c r="B7" s="8"/>
      <c r="C7" s="8"/>
      <c r="D7" s="8"/>
      <c r="E7" s="8"/>
      <c r="F7" s="10" t="n">
        <v>0</v>
      </c>
      <c r="G7" s="10" t="n">
        <v>0</v>
      </c>
      <c r="H7" s="10" t="n">
        <v>0</v>
      </c>
      <c r="I7" s="10" t="n">
        <v>0</v>
      </c>
      <c r="J7" s="10"/>
      <c r="K7" s="8"/>
      <c r="L7" s="8"/>
      <c r="M7" s="8"/>
      <c r="N7" s="8"/>
      <c r="O7" s="8"/>
      <c r="P7" s="8" t="s">
        <v>753</v>
      </c>
      <c r="Q7" s="8"/>
    </row>
    <row r="8" customFormat="false" ht="15" hidden="false" customHeight="false" outlineLevel="0" collapsed="false">
      <c r="A8" s="4" t="s">
        <v>859</v>
      </c>
      <c r="B8" s="8"/>
      <c r="C8" s="8"/>
      <c r="D8" s="8"/>
      <c r="E8" s="8"/>
      <c r="F8" s="10" t="n">
        <v>0</v>
      </c>
      <c r="G8" s="10" t="n">
        <v>0</v>
      </c>
      <c r="H8" s="10" t="n">
        <v>0</v>
      </c>
      <c r="I8" s="10" t="n">
        <v>0</v>
      </c>
      <c r="J8" s="10"/>
      <c r="K8" s="8"/>
      <c r="L8" s="8"/>
      <c r="M8" s="8"/>
      <c r="N8" s="8"/>
      <c r="O8" s="8"/>
      <c r="P8" s="8" t="s">
        <v>753</v>
      </c>
      <c r="Q8" s="8"/>
    </row>
    <row r="9" customFormat="false" ht="15" hidden="false" customHeight="false" outlineLevel="0" collapsed="false">
      <c r="A9" s="4" t="s">
        <v>860</v>
      </c>
      <c r="B9" s="8"/>
      <c r="C9" s="8"/>
      <c r="D9" s="8"/>
      <c r="E9" s="8"/>
      <c r="F9" s="10" t="n">
        <v>0</v>
      </c>
      <c r="G9" s="10" t="n">
        <v>0</v>
      </c>
      <c r="H9" s="10" t="n">
        <v>0</v>
      </c>
      <c r="I9" s="10" t="n">
        <v>0</v>
      </c>
      <c r="J9" s="10"/>
      <c r="K9" s="8"/>
      <c r="L9" s="8"/>
      <c r="M9" s="8"/>
      <c r="N9" s="8"/>
      <c r="O9" s="8"/>
      <c r="P9" s="8" t="s">
        <v>753</v>
      </c>
      <c r="Q9" s="8"/>
    </row>
    <row r="10" customFormat="false" ht="15" hidden="false" customHeight="false" outlineLevel="0" collapsed="false">
      <c r="A10" s="4" t="s">
        <v>861</v>
      </c>
      <c r="B10" s="8"/>
      <c r="C10" s="8"/>
      <c r="D10" s="8"/>
      <c r="E10" s="8"/>
      <c r="F10" s="10" t="n">
        <v>0</v>
      </c>
      <c r="G10" s="10" t="n">
        <v>0</v>
      </c>
      <c r="H10" s="10" t="n">
        <v>0</v>
      </c>
      <c r="I10" s="10" t="n">
        <v>0</v>
      </c>
      <c r="J10" s="10"/>
      <c r="K10" s="8"/>
      <c r="L10" s="8"/>
      <c r="M10" s="8"/>
      <c r="N10" s="8"/>
      <c r="O10" s="8"/>
      <c r="P10" s="8" t="s">
        <v>753</v>
      </c>
      <c r="Q10" s="8"/>
    </row>
    <row r="11" customFormat="false" ht="15" hidden="false" customHeight="false" outlineLevel="0" collapsed="false">
      <c r="A11" s="4" t="s">
        <v>862</v>
      </c>
      <c r="B11" s="8"/>
      <c r="C11" s="8"/>
      <c r="D11" s="8"/>
      <c r="E11" s="8"/>
      <c r="F11" s="10" t="n">
        <v>0</v>
      </c>
      <c r="G11" s="10" t="n">
        <v>0</v>
      </c>
      <c r="H11" s="10" t="n">
        <v>0</v>
      </c>
      <c r="I11" s="10" t="n">
        <v>0</v>
      </c>
      <c r="J11" s="10"/>
      <c r="K11" s="8"/>
      <c r="L11" s="8"/>
      <c r="M11" s="8"/>
      <c r="N11" s="8"/>
      <c r="O11" s="8"/>
      <c r="P11" s="8" t="s">
        <v>753</v>
      </c>
      <c r="Q11" s="8"/>
    </row>
    <row r="12" customFormat="false" ht="15" hidden="false" customHeight="false" outlineLevel="0" collapsed="false">
      <c r="A12" s="4" t="s">
        <v>863</v>
      </c>
      <c r="B12" s="8"/>
      <c r="C12" s="8"/>
      <c r="D12" s="8"/>
      <c r="E12" s="8"/>
      <c r="F12" s="10" t="n">
        <v>0</v>
      </c>
      <c r="G12" s="10" t="n">
        <v>0</v>
      </c>
      <c r="H12" s="10" t="n">
        <v>0</v>
      </c>
      <c r="I12" s="10" t="n">
        <v>0</v>
      </c>
      <c r="J12" s="10"/>
      <c r="K12" s="8"/>
      <c r="L12" s="8"/>
      <c r="M12" s="8"/>
      <c r="N12" s="8"/>
      <c r="O12" s="8"/>
      <c r="P12" s="8" t="s">
        <v>753</v>
      </c>
      <c r="Q12" s="8"/>
    </row>
    <row r="13" customFormat="false" ht="15" hidden="false" customHeight="false" outlineLevel="0" collapsed="false">
      <c r="A13" s="4" t="s">
        <v>864</v>
      </c>
      <c r="B13" s="8"/>
      <c r="C13" s="8"/>
      <c r="D13" s="8"/>
      <c r="E13" s="8"/>
      <c r="F13" s="10" t="n">
        <v>0</v>
      </c>
      <c r="G13" s="10" t="n">
        <v>0</v>
      </c>
      <c r="H13" s="10" t="n">
        <v>0</v>
      </c>
      <c r="I13" s="10" t="n">
        <v>0</v>
      </c>
      <c r="J13" s="10"/>
      <c r="K13" s="8"/>
      <c r="L13" s="8"/>
      <c r="M13" s="8"/>
      <c r="N13" s="8"/>
      <c r="O13" s="8"/>
      <c r="P13" s="8" t="s">
        <v>753</v>
      </c>
      <c r="Q13" s="8"/>
    </row>
    <row r="14" customFormat="false" ht="15" hidden="false" customHeight="false" outlineLevel="0" collapsed="false">
      <c r="A14" s="4" t="s">
        <v>865</v>
      </c>
      <c r="B14" s="8"/>
      <c r="C14" s="8"/>
      <c r="D14" s="8"/>
      <c r="E14" s="8"/>
      <c r="F14" s="10" t="n">
        <v>0</v>
      </c>
      <c r="G14" s="10" t="n">
        <v>0</v>
      </c>
      <c r="H14" s="10" t="n">
        <v>0</v>
      </c>
      <c r="I14" s="10" t="n">
        <v>0</v>
      </c>
      <c r="J14" s="10"/>
      <c r="K14" s="8"/>
      <c r="L14" s="8"/>
      <c r="M14" s="8"/>
      <c r="N14" s="8"/>
      <c r="O14" s="8"/>
      <c r="P14" s="8" t="s">
        <v>753</v>
      </c>
      <c r="Q14" s="8"/>
    </row>
    <row r="15" customFormat="false" ht="15" hidden="false" customHeight="false" outlineLevel="0" collapsed="false">
      <c r="A15" s="4" t="s">
        <v>866</v>
      </c>
      <c r="B15" s="8"/>
      <c r="C15" s="8"/>
      <c r="D15" s="8"/>
      <c r="E15" s="8"/>
      <c r="F15" s="10" t="n">
        <v>0</v>
      </c>
      <c r="G15" s="10" t="n">
        <v>0</v>
      </c>
      <c r="H15" s="10" t="n">
        <v>0</v>
      </c>
      <c r="I15" s="10" t="n">
        <v>0</v>
      </c>
      <c r="J15" s="10"/>
      <c r="K15" s="8"/>
      <c r="L15" s="8"/>
      <c r="M15" s="8"/>
      <c r="N15" s="8"/>
      <c r="O15" s="8"/>
      <c r="P15" s="8" t="s">
        <v>753</v>
      </c>
      <c r="Q15" s="8"/>
    </row>
    <row r="16" customFormat="false" ht="15" hidden="false" customHeight="false" outlineLevel="0" collapsed="false">
      <c r="A16" s="4" t="s">
        <v>867</v>
      </c>
      <c r="B16" s="8"/>
      <c r="C16" s="8"/>
      <c r="D16" s="8"/>
      <c r="E16" s="8"/>
      <c r="F16" s="10" t="n">
        <v>0</v>
      </c>
      <c r="G16" s="10" t="n">
        <v>0</v>
      </c>
      <c r="H16" s="10" t="n">
        <v>0</v>
      </c>
      <c r="I16" s="10" t="n">
        <v>0</v>
      </c>
      <c r="J16" s="10"/>
      <c r="K16" s="8"/>
      <c r="L16" s="8"/>
      <c r="M16" s="8"/>
      <c r="N16" s="8"/>
      <c r="O16" s="8"/>
      <c r="P16" s="8" t="s">
        <v>753</v>
      </c>
      <c r="Q16" s="8"/>
    </row>
    <row r="17" customFormat="false" ht="15" hidden="false" customHeight="false" outlineLevel="0" collapsed="false">
      <c r="A17" s="4" t="s">
        <v>868</v>
      </c>
      <c r="B17" s="8"/>
      <c r="C17" s="8"/>
      <c r="D17" s="8"/>
      <c r="E17" s="8"/>
      <c r="F17" s="10" t="n">
        <v>0</v>
      </c>
      <c r="G17" s="10" t="n">
        <v>0</v>
      </c>
      <c r="H17" s="10" t="n">
        <v>0</v>
      </c>
      <c r="I17" s="10" t="n">
        <v>0</v>
      </c>
      <c r="J17" s="10"/>
      <c r="K17" s="8"/>
      <c r="L17" s="8"/>
      <c r="M17" s="8"/>
      <c r="N17" s="8"/>
      <c r="O17" s="8"/>
      <c r="P17" s="8" t="s">
        <v>753</v>
      </c>
      <c r="Q17" s="8"/>
    </row>
    <row r="18" customFormat="false" ht="15" hidden="false" customHeight="false" outlineLevel="0" collapsed="false">
      <c r="A18" s="4" t="s">
        <v>869</v>
      </c>
      <c r="B18" s="8"/>
      <c r="C18" s="8"/>
      <c r="D18" s="8"/>
      <c r="E18" s="8"/>
      <c r="F18" s="10" t="n">
        <v>0</v>
      </c>
      <c r="G18" s="10" t="n">
        <v>0</v>
      </c>
      <c r="H18" s="10" t="n">
        <v>0</v>
      </c>
      <c r="I18" s="10" t="n">
        <v>0</v>
      </c>
      <c r="J18" s="10"/>
      <c r="K18" s="8"/>
      <c r="L18" s="8"/>
      <c r="M18" s="8"/>
      <c r="N18" s="8"/>
      <c r="O18" s="8"/>
      <c r="P18" s="8" t="s">
        <v>753</v>
      </c>
      <c r="Q18" s="8"/>
    </row>
    <row r="19" customFormat="false" ht="15" hidden="false" customHeight="false" outlineLevel="0" collapsed="false">
      <c r="A19" s="4" t="s">
        <v>870</v>
      </c>
      <c r="B19" s="8"/>
      <c r="C19" s="8"/>
      <c r="D19" s="8"/>
      <c r="E19" s="8"/>
      <c r="F19" s="10" t="n">
        <v>0</v>
      </c>
      <c r="G19" s="10" t="n">
        <v>0</v>
      </c>
      <c r="H19" s="10" t="n">
        <v>0</v>
      </c>
      <c r="I19" s="10" t="n">
        <v>0</v>
      </c>
      <c r="J19" s="10"/>
      <c r="K19" s="8"/>
      <c r="L19" s="8"/>
      <c r="M19" s="8"/>
      <c r="N19" s="8"/>
      <c r="O19" s="8"/>
      <c r="P19" s="8" t="s">
        <v>753</v>
      </c>
      <c r="Q19" s="8"/>
    </row>
    <row r="20" customFormat="false" ht="15" hidden="false" customHeight="false" outlineLevel="0" collapsed="false">
      <c r="A20" s="4" t="s">
        <v>871</v>
      </c>
      <c r="B20" s="8"/>
      <c r="C20" s="8"/>
      <c r="D20" s="8"/>
      <c r="E20" s="8"/>
      <c r="F20" s="10" t="n">
        <v>0</v>
      </c>
      <c r="G20" s="10" t="n">
        <v>0</v>
      </c>
      <c r="H20" s="10" t="n">
        <v>0</v>
      </c>
      <c r="I20" s="10" t="n">
        <v>0</v>
      </c>
      <c r="J20" s="10"/>
      <c r="K20" s="8"/>
      <c r="L20" s="8"/>
      <c r="M20" s="8"/>
      <c r="N20" s="8"/>
      <c r="O20" s="8"/>
      <c r="P20" s="8" t="s">
        <v>753</v>
      </c>
      <c r="Q20" s="8"/>
    </row>
    <row r="21" customFormat="false" ht="15" hidden="false" customHeight="false" outlineLevel="0" collapsed="false">
      <c r="A21" s="4" t="s">
        <v>872</v>
      </c>
      <c r="B21" s="8"/>
      <c r="C21" s="8"/>
      <c r="D21" s="8"/>
      <c r="E21" s="8"/>
      <c r="F21" s="10" t="n">
        <v>0</v>
      </c>
      <c r="G21" s="10" t="n">
        <v>0</v>
      </c>
      <c r="H21" s="10" t="n">
        <v>0</v>
      </c>
      <c r="I21" s="10" t="n">
        <v>0</v>
      </c>
      <c r="J21" s="10"/>
      <c r="K21" s="8"/>
      <c r="L21" s="8"/>
      <c r="M21" s="8"/>
      <c r="N21" s="8"/>
      <c r="O21" s="8"/>
      <c r="P21" s="8" t="s">
        <v>753</v>
      </c>
      <c r="Q21" s="8"/>
    </row>
    <row r="22" customFormat="false" ht="15" hidden="false" customHeight="false" outlineLevel="0" collapsed="false">
      <c r="A22" s="4" t="s">
        <v>873</v>
      </c>
      <c r="B22" s="8"/>
      <c r="C22" s="8"/>
      <c r="D22" s="8"/>
      <c r="E22" s="8"/>
      <c r="F22" s="10" t="n">
        <v>0</v>
      </c>
      <c r="G22" s="10" t="n">
        <v>0</v>
      </c>
      <c r="H22" s="10" t="n">
        <v>0</v>
      </c>
      <c r="I22" s="10" t="n">
        <v>0</v>
      </c>
      <c r="J22" s="10"/>
      <c r="K22" s="8"/>
      <c r="L22" s="8"/>
      <c r="M22" s="8"/>
      <c r="N22" s="8"/>
      <c r="O22" s="8"/>
      <c r="P22" s="8" t="s">
        <v>753</v>
      </c>
      <c r="Q22" s="8"/>
    </row>
    <row r="23" customFormat="false" ht="15" hidden="false" customHeight="false" outlineLevel="0" collapsed="false">
      <c r="A23" s="4" t="s">
        <v>874</v>
      </c>
      <c r="B23" s="8"/>
      <c r="C23" s="8"/>
      <c r="D23" s="8"/>
      <c r="E23" s="8"/>
      <c r="F23" s="10" t="n">
        <v>0</v>
      </c>
      <c r="G23" s="10" t="n">
        <v>0</v>
      </c>
      <c r="H23" s="10" t="n">
        <v>0</v>
      </c>
      <c r="I23" s="10" t="n">
        <v>0</v>
      </c>
      <c r="J23" s="10"/>
      <c r="K23" s="8"/>
      <c r="L23" s="8"/>
      <c r="M23" s="8"/>
      <c r="N23" s="8"/>
      <c r="O23" s="8"/>
      <c r="P23" s="8" t="s">
        <v>753</v>
      </c>
      <c r="Q23" s="8"/>
    </row>
    <row r="24" customFormat="false" ht="15" hidden="false" customHeight="false" outlineLevel="0" collapsed="false">
      <c r="A24" s="4" t="s">
        <v>875</v>
      </c>
      <c r="B24" s="8"/>
      <c r="C24" s="8"/>
      <c r="D24" s="8"/>
      <c r="E24" s="8"/>
      <c r="F24" s="10" t="n">
        <v>0</v>
      </c>
      <c r="G24" s="10" t="n">
        <v>0</v>
      </c>
      <c r="H24" s="10" t="n">
        <v>0</v>
      </c>
      <c r="I24" s="10" t="n">
        <v>0</v>
      </c>
      <c r="J24" s="10"/>
      <c r="K24" s="8"/>
      <c r="L24" s="8"/>
      <c r="M24" s="8"/>
      <c r="N24" s="8"/>
      <c r="O24" s="8"/>
      <c r="P24" s="8" t="s">
        <v>753</v>
      </c>
      <c r="Q24" s="8"/>
    </row>
    <row r="25" customFormat="false" ht="15" hidden="false" customHeight="false" outlineLevel="0" collapsed="false">
      <c r="A25" s="4" t="s">
        <v>876</v>
      </c>
      <c r="B25" s="8"/>
      <c r="C25" s="8"/>
      <c r="D25" s="8"/>
      <c r="E25" s="8"/>
      <c r="F25" s="10" t="n">
        <v>0</v>
      </c>
      <c r="G25" s="10" t="n">
        <v>0</v>
      </c>
      <c r="H25" s="10" t="n">
        <v>0</v>
      </c>
      <c r="I25" s="10" t="n">
        <v>0</v>
      </c>
      <c r="J25" s="10"/>
      <c r="K25" s="8"/>
      <c r="L25" s="8"/>
      <c r="M25" s="8"/>
      <c r="N25" s="8"/>
      <c r="O25" s="8"/>
      <c r="P25" s="8" t="s">
        <v>753</v>
      </c>
      <c r="Q25" s="8"/>
    </row>
    <row r="26" customFormat="false" ht="15" hidden="false" customHeight="false" outlineLevel="0" collapsed="false">
      <c r="A26" s="4" t="s">
        <v>877</v>
      </c>
      <c r="B26" s="8"/>
      <c r="C26" s="8"/>
      <c r="D26" s="8"/>
      <c r="E26" s="8"/>
      <c r="F26" s="10" t="n">
        <v>0</v>
      </c>
      <c r="G26" s="10" t="n">
        <v>0</v>
      </c>
      <c r="H26" s="10" t="n">
        <v>0</v>
      </c>
      <c r="I26" s="10" t="n">
        <v>0</v>
      </c>
      <c r="J26" s="10"/>
      <c r="K26" s="8"/>
      <c r="L26" s="8"/>
      <c r="M26" s="8"/>
      <c r="N26" s="8"/>
      <c r="O26" s="8"/>
      <c r="P26" s="8" t="s">
        <v>753</v>
      </c>
      <c r="Q26" s="8"/>
    </row>
    <row r="27" customFormat="false" ht="15" hidden="false" customHeight="false" outlineLevel="0" collapsed="false">
      <c r="A27" s="4" t="s">
        <v>878</v>
      </c>
      <c r="B27" s="8"/>
      <c r="C27" s="8"/>
      <c r="D27" s="8"/>
      <c r="E27" s="8"/>
      <c r="F27" s="10" t="n">
        <v>0</v>
      </c>
      <c r="G27" s="10" t="n">
        <v>0</v>
      </c>
      <c r="H27" s="10" t="n">
        <v>0</v>
      </c>
      <c r="I27" s="10" t="n">
        <v>0</v>
      </c>
      <c r="J27" s="10"/>
      <c r="K27" s="8"/>
      <c r="L27" s="8"/>
      <c r="M27" s="8"/>
      <c r="N27" s="8"/>
      <c r="O27" s="8"/>
      <c r="P27" s="8" t="s">
        <v>753</v>
      </c>
      <c r="Q27" s="8"/>
    </row>
    <row r="28" customFormat="false" ht="15" hidden="false" customHeight="false" outlineLevel="0" collapsed="false">
      <c r="A28" s="4" t="s">
        <v>879</v>
      </c>
      <c r="B28" s="8"/>
      <c r="C28" s="8"/>
      <c r="D28" s="8"/>
      <c r="E28" s="8"/>
      <c r="F28" s="10" t="n">
        <v>0</v>
      </c>
      <c r="G28" s="10" t="n">
        <v>0</v>
      </c>
      <c r="H28" s="10" t="n">
        <v>0</v>
      </c>
      <c r="I28" s="10" t="n">
        <v>0</v>
      </c>
      <c r="J28" s="10"/>
      <c r="K28" s="8"/>
      <c r="L28" s="8"/>
      <c r="M28" s="8"/>
      <c r="N28" s="8"/>
      <c r="O28" s="8"/>
      <c r="P28" s="8" t="s">
        <v>753</v>
      </c>
      <c r="Q28" s="8"/>
    </row>
    <row r="29" customFormat="false" ht="15" hidden="false" customHeight="false" outlineLevel="0" collapsed="false">
      <c r="A29" s="4" t="s">
        <v>880</v>
      </c>
      <c r="B29" s="8"/>
      <c r="C29" s="8"/>
      <c r="D29" s="8"/>
      <c r="E29" s="8"/>
      <c r="F29" s="10" t="n">
        <v>0</v>
      </c>
      <c r="G29" s="10" t="n">
        <v>0</v>
      </c>
      <c r="H29" s="10" t="n">
        <v>0</v>
      </c>
      <c r="I29" s="10" t="n">
        <v>0</v>
      </c>
      <c r="J29" s="10"/>
      <c r="K29" s="8"/>
      <c r="L29" s="8"/>
      <c r="M29" s="8"/>
      <c r="N29" s="8"/>
      <c r="O29" s="8"/>
      <c r="P29" s="8" t="s">
        <v>753</v>
      </c>
      <c r="Q29" s="8"/>
    </row>
    <row r="30" customFormat="false" ht="15" hidden="false" customHeight="false" outlineLevel="0" collapsed="false">
      <c r="A30" s="4" t="s">
        <v>881</v>
      </c>
      <c r="B30" s="8"/>
      <c r="C30" s="8"/>
      <c r="D30" s="8"/>
      <c r="E30" s="8"/>
      <c r="F30" s="10" t="n">
        <v>0</v>
      </c>
      <c r="G30" s="10" t="n">
        <v>0</v>
      </c>
      <c r="H30" s="10" t="n">
        <v>0</v>
      </c>
      <c r="I30" s="10" t="n">
        <v>0</v>
      </c>
      <c r="J30" s="10"/>
      <c r="K30" s="8"/>
      <c r="L30" s="8"/>
      <c r="M30" s="8"/>
      <c r="N30" s="8"/>
      <c r="O30" s="8"/>
      <c r="P30" s="8" t="s">
        <v>753</v>
      </c>
      <c r="Q30" s="8"/>
    </row>
    <row r="31" customFormat="false" ht="15" hidden="false" customHeight="false" outlineLevel="0" collapsed="false">
      <c r="A31" s="4" t="s">
        <v>882</v>
      </c>
      <c r="B31" s="8"/>
      <c r="C31" s="8"/>
      <c r="D31" s="8"/>
      <c r="E31" s="8"/>
      <c r="F31" s="10" t="n">
        <v>0</v>
      </c>
      <c r="G31" s="10" t="n">
        <v>0</v>
      </c>
      <c r="H31" s="10" t="n">
        <v>0</v>
      </c>
      <c r="I31" s="10" t="n">
        <v>0</v>
      </c>
      <c r="J31" s="10"/>
      <c r="K31" s="8"/>
      <c r="L31" s="8"/>
      <c r="M31" s="8"/>
      <c r="N31" s="8"/>
      <c r="O31" s="8"/>
      <c r="P31" s="8" t="s">
        <v>753</v>
      </c>
      <c r="Q31" s="8"/>
    </row>
    <row r="32" customFormat="false" ht="15" hidden="false" customHeight="false" outlineLevel="0" collapsed="false">
      <c r="A32" s="4" t="s">
        <v>883</v>
      </c>
      <c r="B32" s="8"/>
      <c r="C32" s="8"/>
      <c r="D32" s="8"/>
      <c r="E32" s="8"/>
      <c r="F32" s="10" t="n">
        <v>0</v>
      </c>
      <c r="G32" s="10" t="n">
        <v>0</v>
      </c>
      <c r="H32" s="10" t="n">
        <v>0</v>
      </c>
      <c r="I32" s="10" t="n">
        <v>0</v>
      </c>
      <c r="J32" s="10"/>
      <c r="K32" s="8"/>
      <c r="L32" s="8"/>
      <c r="M32" s="8"/>
      <c r="N32" s="8"/>
      <c r="O32" s="8"/>
      <c r="P32" s="8" t="s">
        <v>753</v>
      </c>
      <c r="Q32" s="8"/>
    </row>
    <row r="33" customFormat="false" ht="15" hidden="false" customHeight="false" outlineLevel="0" collapsed="false">
      <c r="A33" s="4" t="s">
        <v>884</v>
      </c>
      <c r="B33" s="8"/>
      <c r="C33" s="8"/>
      <c r="D33" s="8"/>
      <c r="E33" s="8"/>
      <c r="F33" s="10" t="n">
        <v>0</v>
      </c>
      <c r="G33" s="10" t="n">
        <v>0</v>
      </c>
      <c r="H33" s="10" t="n">
        <v>0</v>
      </c>
      <c r="I33" s="10" t="n">
        <v>0</v>
      </c>
      <c r="J33" s="10"/>
      <c r="K33" s="8"/>
      <c r="L33" s="8"/>
      <c r="M33" s="8"/>
      <c r="N33" s="8"/>
      <c r="O33" s="8"/>
      <c r="P33" s="8" t="s">
        <v>753</v>
      </c>
      <c r="Q33" s="8"/>
    </row>
    <row r="34" customFormat="false" ht="15" hidden="false" customHeight="false" outlineLevel="0" collapsed="false">
      <c r="A34" s="4" t="s">
        <v>885</v>
      </c>
      <c r="B34" s="8"/>
      <c r="C34" s="8"/>
      <c r="D34" s="8"/>
      <c r="E34" s="8"/>
      <c r="F34" s="10" t="n">
        <v>0</v>
      </c>
      <c r="G34" s="10" t="n">
        <v>0</v>
      </c>
      <c r="H34" s="10" t="n">
        <v>0</v>
      </c>
      <c r="I34" s="10" t="n">
        <v>0</v>
      </c>
      <c r="J34" s="10"/>
      <c r="K34" s="8"/>
      <c r="L34" s="8"/>
      <c r="M34" s="8"/>
      <c r="N34" s="8"/>
      <c r="O34" s="8"/>
      <c r="P34" s="8" t="s">
        <v>753</v>
      </c>
      <c r="Q34" s="8"/>
    </row>
    <row r="35" customFormat="false" ht="15" hidden="false" customHeight="false" outlineLevel="0" collapsed="false">
      <c r="A35" s="4" t="s">
        <v>886</v>
      </c>
      <c r="B35" s="8"/>
      <c r="C35" s="8"/>
      <c r="D35" s="8"/>
      <c r="E35" s="8"/>
      <c r="F35" s="10" t="n">
        <v>0</v>
      </c>
      <c r="G35" s="10" t="n">
        <v>0</v>
      </c>
      <c r="H35" s="10" t="n">
        <v>0</v>
      </c>
      <c r="I35" s="10" t="n">
        <v>0</v>
      </c>
      <c r="J35" s="10"/>
      <c r="K35" s="8"/>
      <c r="L35" s="8"/>
      <c r="M35" s="8"/>
      <c r="N35" s="8"/>
      <c r="O35" s="8"/>
      <c r="P35" s="8" t="s">
        <v>753</v>
      </c>
      <c r="Q35" s="8"/>
    </row>
    <row r="36" customFormat="false" ht="15" hidden="false" customHeight="false" outlineLevel="0" collapsed="false">
      <c r="A36" s="4" t="s">
        <v>887</v>
      </c>
      <c r="B36" s="8"/>
      <c r="C36" s="8"/>
      <c r="D36" s="8"/>
      <c r="E36" s="8"/>
      <c r="F36" s="10" t="n">
        <v>0</v>
      </c>
      <c r="G36" s="10" t="n">
        <v>0</v>
      </c>
      <c r="H36" s="10" t="n">
        <v>0</v>
      </c>
      <c r="I36" s="10" t="n">
        <v>0</v>
      </c>
      <c r="J36" s="10"/>
      <c r="K36" s="8"/>
      <c r="L36" s="8"/>
      <c r="M36" s="8"/>
      <c r="N36" s="8"/>
      <c r="O36" s="8"/>
      <c r="P36" s="8" t="s">
        <v>753</v>
      </c>
      <c r="Q36" s="8"/>
    </row>
    <row r="37" customFormat="false" ht="15" hidden="false" customHeight="false" outlineLevel="0" collapsed="false">
      <c r="A37" s="4" t="s">
        <v>888</v>
      </c>
      <c r="B37" s="8"/>
      <c r="C37" s="8"/>
      <c r="D37" s="8"/>
      <c r="E37" s="8"/>
      <c r="F37" s="10" t="n">
        <v>0</v>
      </c>
      <c r="G37" s="10" t="n">
        <v>0</v>
      </c>
      <c r="H37" s="10" t="n">
        <v>0</v>
      </c>
      <c r="I37" s="10" t="n">
        <v>0</v>
      </c>
      <c r="J37" s="10"/>
      <c r="K37" s="8"/>
      <c r="L37" s="8"/>
      <c r="M37" s="8"/>
      <c r="N37" s="8"/>
      <c r="O37" s="8"/>
      <c r="P37" s="8" t="s">
        <v>753</v>
      </c>
      <c r="Q37" s="8"/>
    </row>
    <row r="38" customFormat="false" ht="15" hidden="false" customHeight="false" outlineLevel="0" collapsed="false">
      <c r="A38" s="4" t="s">
        <v>889</v>
      </c>
      <c r="B38" s="8"/>
      <c r="C38" s="8"/>
      <c r="D38" s="8"/>
      <c r="E38" s="8"/>
      <c r="F38" s="10" t="n">
        <v>0</v>
      </c>
      <c r="G38" s="10" t="n">
        <v>0</v>
      </c>
      <c r="H38" s="10" t="n">
        <v>0</v>
      </c>
      <c r="I38" s="10" t="n">
        <v>0</v>
      </c>
      <c r="J38" s="10"/>
      <c r="K38" s="8"/>
      <c r="L38" s="8"/>
      <c r="M38" s="8"/>
      <c r="N38" s="8"/>
      <c r="O38" s="8"/>
      <c r="P38" s="8" t="s">
        <v>753</v>
      </c>
      <c r="Q38" s="8"/>
    </row>
    <row r="39" customFormat="false" ht="15" hidden="false" customHeight="false" outlineLevel="0" collapsed="false">
      <c r="A39" s="4" t="s">
        <v>890</v>
      </c>
      <c r="B39" s="8"/>
      <c r="C39" s="8"/>
      <c r="D39" s="8"/>
      <c r="E39" s="8"/>
      <c r="F39" s="10" t="n">
        <v>0</v>
      </c>
      <c r="G39" s="10" t="n">
        <v>0</v>
      </c>
      <c r="H39" s="10" t="n">
        <v>0</v>
      </c>
      <c r="I39" s="10" t="n">
        <v>0</v>
      </c>
      <c r="J39" s="10"/>
      <c r="K39" s="8"/>
      <c r="L39" s="8"/>
      <c r="M39" s="8"/>
      <c r="N39" s="8"/>
      <c r="O39" s="8"/>
      <c r="P39" s="8" t="s">
        <v>753</v>
      </c>
      <c r="Q39" s="8"/>
    </row>
    <row r="40" customFormat="false" ht="15" hidden="false" customHeight="false" outlineLevel="0" collapsed="false">
      <c r="A40" s="4" t="s">
        <v>891</v>
      </c>
      <c r="B40" s="8"/>
      <c r="C40" s="8"/>
      <c r="D40" s="8"/>
      <c r="E40" s="8"/>
      <c r="F40" s="10" t="n">
        <v>0</v>
      </c>
      <c r="G40" s="10" t="n">
        <v>0</v>
      </c>
      <c r="H40" s="10" t="n">
        <v>0</v>
      </c>
      <c r="I40" s="10" t="n">
        <v>0</v>
      </c>
      <c r="J40" s="10"/>
      <c r="K40" s="8"/>
      <c r="L40" s="8"/>
      <c r="M40" s="8"/>
      <c r="N40" s="8"/>
      <c r="O40" s="8"/>
      <c r="P40" s="8" t="s">
        <v>753</v>
      </c>
      <c r="Q40" s="8"/>
    </row>
    <row r="41" customFormat="false" ht="15" hidden="false" customHeight="false" outlineLevel="0" collapsed="false">
      <c r="A41" s="4" t="s">
        <v>892</v>
      </c>
      <c r="B41" s="8"/>
      <c r="C41" s="8"/>
      <c r="D41" s="8"/>
      <c r="E41" s="8"/>
      <c r="F41" s="10" t="n">
        <v>0</v>
      </c>
      <c r="G41" s="10" t="n">
        <v>0</v>
      </c>
      <c r="H41" s="10" t="n">
        <v>0</v>
      </c>
      <c r="I41" s="10" t="n">
        <v>0</v>
      </c>
      <c r="J41" s="10"/>
      <c r="K41" s="8"/>
      <c r="L41" s="8"/>
      <c r="M41" s="8"/>
      <c r="N41" s="8"/>
      <c r="O41" s="8"/>
      <c r="P41" s="8" t="s">
        <v>753</v>
      </c>
      <c r="Q41" s="8"/>
    </row>
    <row r="42" customFormat="false" ht="15" hidden="false" customHeight="false" outlineLevel="0" collapsed="false">
      <c r="A42" s="4" t="s">
        <v>893</v>
      </c>
      <c r="B42" s="8"/>
      <c r="C42" s="8"/>
      <c r="D42" s="8"/>
      <c r="E42" s="8"/>
      <c r="F42" s="10" t="n">
        <v>0</v>
      </c>
      <c r="G42" s="10" t="n">
        <v>0</v>
      </c>
      <c r="H42" s="10" t="n">
        <v>0</v>
      </c>
      <c r="I42" s="10" t="n">
        <v>0</v>
      </c>
      <c r="J42" s="10"/>
      <c r="K42" s="8"/>
      <c r="L42" s="8"/>
      <c r="M42" s="8"/>
      <c r="N42" s="8"/>
      <c r="O42" s="8"/>
      <c r="P42" s="8" t="s">
        <v>753</v>
      </c>
      <c r="Q42" s="8"/>
    </row>
    <row r="43" customFormat="false" ht="15" hidden="false" customHeight="false" outlineLevel="0" collapsed="false">
      <c r="A43" s="4" t="s">
        <v>894</v>
      </c>
      <c r="B43" s="8"/>
      <c r="C43" s="8"/>
      <c r="D43" s="8"/>
      <c r="E43" s="8"/>
      <c r="F43" s="10" t="n">
        <v>0</v>
      </c>
      <c r="G43" s="10" t="n">
        <v>0</v>
      </c>
      <c r="H43" s="10" t="n">
        <v>0</v>
      </c>
      <c r="I43" s="10" t="n">
        <v>0</v>
      </c>
      <c r="J43" s="10"/>
      <c r="K43" s="8"/>
      <c r="L43" s="8"/>
      <c r="M43" s="8"/>
      <c r="N43" s="8"/>
      <c r="O43" s="8"/>
      <c r="P43" s="8" t="s">
        <v>753</v>
      </c>
      <c r="Q43" s="8"/>
    </row>
    <row r="44" customFormat="false" ht="15" hidden="false" customHeight="false" outlineLevel="0" collapsed="false">
      <c r="A44" s="4" t="s">
        <v>895</v>
      </c>
      <c r="B44" s="8"/>
      <c r="C44" s="8"/>
      <c r="D44" s="8"/>
      <c r="E44" s="8"/>
      <c r="F44" s="10" t="n">
        <v>0</v>
      </c>
      <c r="G44" s="10" t="n">
        <v>0</v>
      </c>
      <c r="H44" s="10" t="n">
        <v>0</v>
      </c>
      <c r="I44" s="10" t="n">
        <v>0</v>
      </c>
      <c r="J44" s="10"/>
      <c r="K44" s="8"/>
      <c r="L44" s="8"/>
      <c r="M44" s="8"/>
      <c r="N44" s="8"/>
      <c r="O44" s="8"/>
      <c r="P44" s="8" t="s">
        <v>753</v>
      </c>
      <c r="Q44" s="8"/>
    </row>
    <row r="45" customFormat="false" ht="15" hidden="false" customHeight="false" outlineLevel="0" collapsed="false">
      <c r="A45" s="4" t="s">
        <v>896</v>
      </c>
      <c r="B45" s="8"/>
      <c r="C45" s="8"/>
      <c r="D45" s="8"/>
      <c r="E45" s="8"/>
      <c r="F45" s="10" t="n">
        <v>0</v>
      </c>
      <c r="G45" s="10" t="n">
        <v>0</v>
      </c>
      <c r="H45" s="10" t="n">
        <v>0</v>
      </c>
      <c r="I45" s="10" t="n">
        <v>0</v>
      </c>
      <c r="J45" s="10"/>
      <c r="K45" s="8"/>
      <c r="L45" s="8"/>
      <c r="M45" s="8"/>
      <c r="N45" s="8"/>
      <c r="O45" s="8"/>
      <c r="P45" s="8" t="s">
        <v>753</v>
      </c>
      <c r="Q45" s="8"/>
    </row>
  </sheetData>
  <mergeCells count="2">
    <mergeCell ref="A1:Q1"/>
    <mergeCell ref="A2:Q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9" min="8" style="0" width="14"/>
  </cols>
  <sheetData>
    <row r="1" customFormat="false" ht="30" hidden="false" customHeight="true" outlineLevel="0" collapsed="false">
      <c r="A1" s="1" t="s">
        <v>897</v>
      </c>
      <c r="B1" s="1"/>
      <c r="C1" s="1"/>
      <c r="D1" s="1"/>
      <c r="E1" s="1"/>
      <c r="F1" s="1"/>
      <c r="G1" s="1"/>
      <c r="H1" s="1"/>
      <c r="I1" s="1"/>
    </row>
    <row r="2" customFormat="false" ht="28" hidden="false" customHeight="true" outlineLevel="0" collapsed="false">
      <c r="A2" s="2" t="s">
        <v>898</v>
      </c>
      <c r="B2" s="2"/>
      <c r="C2" s="2"/>
      <c r="D2" s="2"/>
      <c r="E2" s="2"/>
      <c r="F2" s="2"/>
      <c r="G2" s="2"/>
      <c r="H2" s="2"/>
      <c r="I2" s="2"/>
    </row>
    <row r="5" customFormat="false" ht="34" hidden="false" customHeight="true" outlineLevel="0" collapsed="false">
      <c r="A5" s="3" t="s">
        <v>899</v>
      </c>
      <c r="B5" s="3" t="s">
        <v>117</v>
      </c>
      <c r="C5" s="3" t="s">
        <v>900</v>
      </c>
      <c r="D5" s="3" t="s">
        <v>901</v>
      </c>
      <c r="E5" s="3" t="s">
        <v>902</v>
      </c>
      <c r="F5" s="3" t="s">
        <v>407</v>
      </c>
      <c r="G5" s="3" t="s">
        <v>120</v>
      </c>
      <c r="H5" s="3" t="s">
        <v>571</v>
      </c>
      <c r="I5" s="3" t="s">
        <v>903</v>
      </c>
    </row>
    <row r="6" customFormat="false" ht="15" hidden="false" customHeight="false" outlineLevel="0" collapsed="false">
      <c r="A6" s="4" t="s">
        <v>904</v>
      </c>
      <c r="B6" s="8"/>
      <c r="C6" s="8" t="s">
        <v>905</v>
      </c>
      <c r="D6" s="8"/>
      <c r="E6" s="10" t="n">
        <v>0</v>
      </c>
      <c r="F6" s="8"/>
      <c r="G6" s="8" t="s">
        <v>906</v>
      </c>
      <c r="H6" s="8"/>
      <c r="I6" s="9"/>
    </row>
    <row r="7" customFormat="false" ht="15" hidden="false" customHeight="false" outlineLevel="0" collapsed="false">
      <c r="A7" s="4" t="s">
        <v>907</v>
      </c>
      <c r="B7" s="8"/>
      <c r="C7" s="8" t="s">
        <v>905</v>
      </c>
      <c r="D7" s="8"/>
      <c r="E7" s="10" t="n">
        <v>0</v>
      </c>
      <c r="F7" s="8"/>
      <c r="G7" s="8" t="s">
        <v>906</v>
      </c>
      <c r="H7" s="8"/>
      <c r="I7" s="9"/>
    </row>
    <row r="8" customFormat="false" ht="15" hidden="false" customHeight="false" outlineLevel="0" collapsed="false">
      <c r="A8" s="4" t="s">
        <v>908</v>
      </c>
      <c r="B8" s="8"/>
      <c r="C8" s="8" t="s">
        <v>905</v>
      </c>
      <c r="D8" s="8"/>
      <c r="E8" s="10" t="n">
        <v>0</v>
      </c>
      <c r="F8" s="8"/>
      <c r="G8" s="8" t="s">
        <v>906</v>
      </c>
      <c r="H8" s="8"/>
      <c r="I8" s="9"/>
    </row>
    <row r="9" customFormat="false" ht="15" hidden="false" customHeight="false" outlineLevel="0" collapsed="false">
      <c r="A9" s="4" t="s">
        <v>909</v>
      </c>
      <c r="B9" s="8"/>
      <c r="C9" s="8" t="s">
        <v>905</v>
      </c>
      <c r="D9" s="8"/>
      <c r="E9" s="10" t="n">
        <v>0</v>
      </c>
      <c r="F9" s="8"/>
      <c r="G9" s="8" t="s">
        <v>906</v>
      </c>
      <c r="H9" s="8"/>
      <c r="I9" s="9"/>
    </row>
    <row r="10" customFormat="false" ht="15" hidden="false" customHeight="false" outlineLevel="0" collapsed="false">
      <c r="A10" s="4" t="s">
        <v>910</v>
      </c>
      <c r="B10" s="8"/>
      <c r="C10" s="8" t="s">
        <v>905</v>
      </c>
      <c r="D10" s="8"/>
      <c r="E10" s="10" t="n">
        <v>0</v>
      </c>
      <c r="F10" s="8"/>
      <c r="G10" s="8" t="s">
        <v>906</v>
      </c>
      <c r="H10" s="8"/>
      <c r="I10" s="9"/>
    </row>
    <row r="11" customFormat="false" ht="15" hidden="false" customHeight="false" outlineLevel="0" collapsed="false">
      <c r="A11" s="4" t="s">
        <v>911</v>
      </c>
      <c r="B11" s="8"/>
      <c r="C11" s="8" t="s">
        <v>905</v>
      </c>
      <c r="D11" s="8"/>
      <c r="E11" s="10" t="n">
        <v>0</v>
      </c>
      <c r="F11" s="8"/>
      <c r="G11" s="8" t="s">
        <v>906</v>
      </c>
      <c r="H11" s="8"/>
      <c r="I11" s="9"/>
    </row>
    <row r="12" customFormat="false" ht="15" hidden="false" customHeight="false" outlineLevel="0" collapsed="false">
      <c r="A12" s="4" t="s">
        <v>912</v>
      </c>
      <c r="B12" s="8"/>
      <c r="C12" s="8" t="s">
        <v>905</v>
      </c>
      <c r="D12" s="8"/>
      <c r="E12" s="10" t="n">
        <v>0</v>
      </c>
      <c r="F12" s="8"/>
      <c r="G12" s="8" t="s">
        <v>906</v>
      </c>
      <c r="H12" s="8"/>
      <c r="I12" s="9"/>
    </row>
    <row r="13" customFormat="false" ht="15" hidden="false" customHeight="false" outlineLevel="0" collapsed="false">
      <c r="A13" s="4" t="s">
        <v>913</v>
      </c>
      <c r="B13" s="8"/>
      <c r="C13" s="8" t="s">
        <v>905</v>
      </c>
      <c r="D13" s="8"/>
      <c r="E13" s="10" t="n">
        <v>0</v>
      </c>
      <c r="F13" s="8"/>
      <c r="G13" s="8" t="s">
        <v>906</v>
      </c>
      <c r="H13" s="8"/>
      <c r="I13" s="9"/>
    </row>
    <row r="14" customFormat="false" ht="15" hidden="false" customHeight="false" outlineLevel="0" collapsed="false">
      <c r="A14" s="4" t="s">
        <v>914</v>
      </c>
      <c r="B14" s="8"/>
      <c r="C14" s="8" t="s">
        <v>905</v>
      </c>
      <c r="D14" s="8"/>
      <c r="E14" s="10" t="n">
        <v>0</v>
      </c>
      <c r="F14" s="8"/>
      <c r="G14" s="8" t="s">
        <v>906</v>
      </c>
      <c r="H14" s="8"/>
      <c r="I14" s="9"/>
    </row>
  </sheetData>
  <mergeCells count="2">
    <mergeCell ref="A1:I1"/>
    <mergeCell ref="A2:I2"/>
  </mergeCells>
  <conditionalFormatting sqref="G6:G14">
    <cfRule type="containsText" priority="2" operator="containsText" aboveAverage="0" equalAverage="0" bottom="0" percent="0" rank="0" text="已完成" dxfId="8">
      <formula>NOT(ISERROR(SEARCH("已完成",G6)))</formula>
    </cfRule>
    <cfRule type="containsText" priority="3" operator="containsText" aboveAverage="0" equalAverage="0" bottom="0" percent="0" rank="0" text="高" dxfId="9">
      <formula>NOT(ISERROR(SEARCH("高",G6)))</formula>
    </cfRule>
  </conditionalFormatting>
  <dataValidations count="1">
    <dataValidation allowBlank="false" errorStyle="stop" operator="between" showDropDown="false" showErrorMessage="false" showInputMessage="false" sqref="G6:G14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48"/>
    <col collapsed="false" customWidth="true" hidden="false" outlineLevel="0" max="5" min="5" style="0" width="13"/>
  </cols>
  <sheetData>
    <row r="1" customFormat="false" ht="30" hidden="false" customHeight="true" outlineLevel="0" collapsed="false">
      <c r="A1" s="1" t="s">
        <v>915</v>
      </c>
      <c r="B1" s="1"/>
      <c r="C1" s="1"/>
      <c r="D1" s="1"/>
      <c r="E1" s="1"/>
    </row>
    <row r="2" customFormat="false" ht="28" hidden="false" customHeight="true" outlineLevel="0" collapsed="false">
      <c r="A2" s="2" t="s">
        <v>916</v>
      </c>
      <c r="B2" s="2"/>
      <c r="C2" s="2"/>
      <c r="D2" s="2"/>
      <c r="E2" s="2"/>
    </row>
    <row r="5" customFormat="false" ht="34" hidden="false" customHeight="true" outlineLevel="0" collapsed="false">
      <c r="A5" s="3" t="s">
        <v>917</v>
      </c>
      <c r="B5" s="3" t="s">
        <v>35</v>
      </c>
      <c r="C5" s="3" t="s">
        <v>899</v>
      </c>
      <c r="D5" s="3" t="s">
        <v>918</v>
      </c>
      <c r="E5" s="3" t="s">
        <v>120</v>
      </c>
    </row>
    <row r="6" customFormat="false" ht="15" hidden="false" customHeight="false" outlineLevel="0" collapsed="false">
      <c r="A6" s="4" t="s">
        <v>919</v>
      </c>
      <c r="B6" s="4" t="s">
        <v>920</v>
      </c>
      <c r="C6" s="4" t="s">
        <v>921</v>
      </c>
      <c r="D6" s="8"/>
      <c r="E6" s="8" t="s">
        <v>906</v>
      </c>
    </row>
    <row r="7" customFormat="false" ht="15" hidden="false" customHeight="false" outlineLevel="0" collapsed="false">
      <c r="A7" s="4" t="s">
        <v>919</v>
      </c>
      <c r="B7" s="4" t="s">
        <v>922</v>
      </c>
      <c r="C7" s="4" t="s">
        <v>923</v>
      </c>
      <c r="D7" s="8"/>
      <c r="E7" s="8" t="s">
        <v>906</v>
      </c>
    </row>
    <row r="8" customFormat="false" ht="15" hidden="false" customHeight="false" outlineLevel="0" collapsed="false">
      <c r="A8" s="4" t="s">
        <v>919</v>
      </c>
      <c r="B8" s="4" t="s">
        <v>924</v>
      </c>
      <c r="C8" s="4" t="s">
        <v>925</v>
      </c>
      <c r="D8" s="8"/>
      <c r="E8" s="8" t="s">
        <v>906</v>
      </c>
    </row>
    <row r="9" customFormat="false" ht="15" hidden="false" customHeight="false" outlineLevel="0" collapsed="false">
      <c r="A9" s="4" t="s">
        <v>926</v>
      </c>
      <c r="B9" s="4" t="s">
        <v>927</v>
      </c>
      <c r="C9" s="4" t="s">
        <v>928</v>
      </c>
      <c r="D9" s="8"/>
      <c r="E9" s="8" t="s">
        <v>906</v>
      </c>
    </row>
    <row r="10" customFormat="false" ht="15" hidden="false" customHeight="false" outlineLevel="0" collapsed="false">
      <c r="A10" s="4" t="s">
        <v>926</v>
      </c>
      <c r="B10" s="4" t="s">
        <v>929</v>
      </c>
      <c r="C10" s="4" t="s">
        <v>930</v>
      </c>
      <c r="D10" s="8"/>
      <c r="E10" s="8" t="s">
        <v>906</v>
      </c>
    </row>
    <row r="11" customFormat="false" ht="15" hidden="false" customHeight="false" outlineLevel="0" collapsed="false">
      <c r="A11" s="4" t="s">
        <v>926</v>
      </c>
      <c r="B11" s="4" t="s">
        <v>931</v>
      </c>
      <c r="C11" s="4" t="s">
        <v>932</v>
      </c>
      <c r="D11" s="8"/>
      <c r="E11" s="8" t="s">
        <v>906</v>
      </c>
    </row>
    <row r="12" customFormat="false" ht="15" hidden="false" customHeight="false" outlineLevel="0" collapsed="false">
      <c r="A12" s="4" t="s">
        <v>933</v>
      </c>
      <c r="B12" s="4" t="s">
        <v>934</v>
      </c>
      <c r="C12" s="4" t="s">
        <v>935</v>
      </c>
      <c r="D12" s="8"/>
      <c r="E12" s="8" t="s">
        <v>906</v>
      </c>
    </row>
    <row r="13" customFormat="false" ht="15" hidden="false" customHeight="false" outlineLevel="0" collapsed="false">
      <c r="A13" s="4" t="s">
        <v>933</v>
      </c>
      <c r="B13" s="4" t="s">
        <v>936</v>
      </c>
      <c r="C13" s="4" t="s">
        <v>937</v>
      </c>
      <c r="D13" s="8"/>
      <c r="E13" s="8" t="s">
        <v>906</v>
      </c>
    </row>
  </sheetData>
  <mergeCells count="2">
    <mergeCell ref="A1:E1"/>
    <mergeCell ref="A2:E2"/>
  </mergeCells>
  <conditionalFormatting sqref="E6:E13">
    <cfRule type="containsText" priority="2" operator="containsText" aboveAverage="0" equalAverage="0" bottom="0" percent="0" rank="0" text="已完成" dxfId="10">
      <formula>NOT(ISERROR(SEARCH("已完成",E6)))</formula>
    </cfRule>
    <cfRule type="containsText" priority="3" operator="containsText" aboveAverage="0" equalAverage="0" bottom="0" percent="0" rank="0" text="高" dxfId="11">
      <formula>NOT(ISERROR(SEARCH("高",E6)))</formula>
    </cfRule>
  </conditionalFormatting>
  <dataValidations count="1">
    <dataValidation allowBlank="false" errorStyle="stop" operator="between" showDropDown="false" showErrorMessage="false" showInputMessage="false" sqref="E6:E13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42"/>
  </cols>
  <sheetData>
    <row r="1" customFormat="false" ht="30" hidden="false" customHeight="true" outlineLevel="0" collapsed="false">
      <c r="A1" s="1" t="s">
        <v>938</v>
      </c>
      <c r="B1" s="1"/>
      <c r="C1" s="1"/>
      <c r="D1" s="1"/>
      <c r="E1" s="1"/>
    </row>
    <row r="2" customFormat="false" ht="28" hidden="false" customHeight="true" outlineLevel="0" collapsed="false">
      <c r="A2" s="2" t="s">
        <v>939</v>
      </c>
      <c r="B2" s="2"/>
      <c r="C2" s="2"/>
      <c r="D2" s="2"/>
      <c r="E2" s="2"/>
    </row>
    <row r="5" customFormat="false" ht="34" hidden="false" customHeight="true" outlineLevel="0" collapsed="false">
      <c r="A5" s="3" t="s">
        <v>2</v>
      </c>
      <c r="B5" s="3" t="s">
        <v>940</v>
      </c>
      <c r="C5" s="3" t="s">
        <v>941</v>
      </c>
      <c r="D5" s="3" t="s">
        <v>942</v>
      </c>
      <c r="E5" s="3" t="s">
        <v>943</v>
      </c>
    </row>
    <row r="6" customFormat="false" ht="15" hidden="false" customHeight="false" outlineLevel="0" collapsed="false">
      <c r="A6" s="4" t="s">
        <v>944</v>
      </c>
      <c r="B6" s="4" t="s">
        <v>945</v>
      </c>
      <c r="C6" s="4" t="s">
        <v>946</v>
      </c>
      <c r="D6" s="4" t="s">
        <v>947</v>
      </c>
      <c r="E6" s="4" t="s">
        <v>948</v>
      </c>
    </row>
    <row r="7" customFormat="false" ht="15" hidden="false" customHeight="false" outlineLevel="0" collapsed="false">
      <c r="A7" s="4" t="s">
        <v>949</v>
      </c>
      <c r="B7" s="4" t="s">
        <v>950</v>
      </c>
      <c r="C7" s="4" t="s">
        <v>951</v>
      </c>
      <c r="D7" s="4" t="s">
        <v>952</v>
      </c>
      <c r="E7" s="4" t="s">
        <v>953</v>
      </c>
    </row>
    <row r="8" customFormat="false" ht="15" hidden="false" customHeight="false" outlineLevel="0" collapsed="false">
      <c r="A8" s="4" t="s">
        <v>954</v>
      </c>
      <c r="B8" s="4" t="s">
        <v>955</v>
      </c>
      <c r="C8" s="4" t="s">
        <v>956</v>
      </c>
      <c r="D8" s="4" t="s">
        <v>957</v>
      </c>
      <c r="E8" s="4" t="s">
        <v>958</v>
      </c>
    </row>
    <row r="9" customFormat="false" ht="15" hidden="false" customHeight="false" outlineLevel="0" collapsed="false">
      <c r="A9" s="4" t="s">
        <v>959</v>
      </c>
      <c r="B9" s="4" t="s">
        <v>960</v>
      </c>
      <c r="C9" s="4" t="s">
        <v>961</v>
      </c>
      <c r="D9" s="4" t="s">
        <v>962</v>
      </c>
      <c r="E9" s="4" t="s">
        <v>963</v>
      </c>
    </row>
    <row r="10" customFormat="false" ht="15" hidden="false" customHeight="false" outlineLevel="0" collapsed="false">
      <c r="A10" s="4" t="s">
        <v>964</v>
      </c>
      <c r="B10" s="4" t="s">
        <v>965</v>
      </c>
      <c r="C10" s="4" t="s">
        <v>966</v>
      </c>
      <c r="D10" s="4" t="s">
        <v>967</v>
      </c>
      <c r="E10" s="4" t="s">
        <v>968</v>
      </c>
    </row>
    <row r="11" customFormat="false" ht="15" hidden="false" customHeight="false" outlineLevel="0" collapsed="false">
      <c r="A11" s="4" t="s">
        <v>969</v>
      </c>
      <c r="B11" s="4" t="s">
        <v>970</v>
      </c>
      <c r="C11" s="4" t="s">
        <v>971</v>
      </c>
      <c r="D11" s="4" t="s">
        <v>972</v>
      </c>
      <c r="E11" s="4" t="s">
        <v>973</v>
      </c>
    </row>
    <row r="12" customFormat="false" ht="15" hidden="false" customHeight="false" outlineLevel="0" collapsed="false">
      <c r="A12" s="4" t="s">
        <v>974</v>
      </c>
      <c r="B12" s="4" t="s">
        <v>975</v>
      </c>
      <c r="C12" s="4" t="s">
        <v>976</v>
      </c>
      <c r="D12" s="4" t="s">
        <v>977</v>
      </c>
      <c r="E12" s="4" t="s">
        <v>978</v>
      </c>
    </row>
    <row r="13" customFormat="false" ht="15" hidden="false" customHeight="false" outlineLevel="0" collapsed="false">
      <c r="A13" s="4" t="s">
        <v>979</v>
      </c>
      <c r="B13" s="4" t="s">
        <v>980</v>
      </c>
      <c r="C13" s="4" t="s">
        <v>981</v>
      </c>
      <c r="D13" s="4" t="s">
        <v>982</v>
      </c>
      <c r="E13" s="4" t="s">
        <v>983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984</v>
      </c>
      <c r="B1" s="1"/>
      <c r="C1" s="1"/>
    </row>
    <row r="2" customFormat="false" ht="28" hidden="false" customHeight="true" outlineLevel="0" collapsed="false">
      <c r="A2" s="2" t="s">
        <v>985</v>
      </c>
      <c r="B2" s="2"/>
      <c r="C2" s="2"/>
    </row>
    <row r="5" customFormat="false" ht="34" hidden="false" customHeight="true" outlineLevel="0" collapsed="false">
      <c r="A5" s="3" t="s">
        <v>986</v>
      </c>
      <c r="B5" s="3" t="s">
        <v>987</v>
      </c>
      <c r="C5" s="3" t="s">
        <v>988</v>
      </c>
    </row>
    <row r="6" customFormat="false" ht="15" hidden="false" customHeight="false" outlineLevel="0" collapsed="false">
      <c r="A6" s="4" t="s">
        <v>989</v>
      </c>
      <c r="B6" s="4" t="s">
        <v>990</v>
      </c>
      <c r="C6" s="4" t="s">
        <v>991</v>
      </c>
    </row>
    <row r="7" customFormat="false" ht="15" hidden="false" customHeight="false" outlineLevel="0" collapsed="false">
      <c r="A7" s="4" t="s">
        <v>992</v>
      </c>
      <c r="B7" s="4" t="s">
        <v>993</v>
      </c>
      <c r="C7" s="4" t="s">
        <v>994</v>
      </c>
    </row>
    <row r="8" customFormat="false" ht="15" hidden="false" customHeight="false" outlineLevel="0" collapsed="false">
      <c r="A8" s="4" t="s">
        <v>995</v>
      </c>
      <c r="B8" s="4" t="s">
        <v>996</v>
      </c>
      <c r="C8" s="4" t="s">
        <v>997</v>
      </c>
    </row>
    <row r="9" customFormat="false" ht="15" hidden="false" customHeight="false" outlineLevel="0" collapsed="false">
      <c r="A9" s="4" t="s">
        <v>998</v>
      </c>
      <c r="B9" s="4" t="s">
        <v>999</v>
      </c>
      <c r="C9" s="4" t="s">
        <v>1000</v>
      </c>
    </row>
    <row r="10" customFormat="false" ht="15" hidden="false" customHeight="false" outlineLevel="0" collapsed="false">
      <c r="A10" s="4" t="s">
        <v>1001</v>
      </c>
      <c r="B10" s="4" t="s">
        <v>1002</v>
      </c>
      <c r="C10" s="4" t="s">
        <v>1003</v>
      </c>
    </row>
    <row r="11" customFormat="false" ht="15" hidden="false" customHeight="false" outlineLevel="0" collapsed="false">
      <c r="A11" s="4" t="s">
        <v>1004</v>
      </c>
      <c r="B11" s="4" t="s">
        <v>1005</v>
      </c>
      <c r="C11" s="4" t="s">
        <v>1006</v>
      </c>
    </row>
    <row r="12" customFormat="false" ht="15" hidden="false" customHeight="false" outlineLevel="0" collapsed="false">
      <c r="A12" s="4" t="s">
        <v>1007</v>
      </c>
      <c r="B12" s="4" t="s">
        <v>1008</v>
      </c>
      <c r="C12" s="4" t="s">
        <v>1009</v>
      </c>
    </row>
    <row r="13" customFormat="false" ht="15" hidden="false" customHeight="false" outlineLevel="0" collapsed="false">
      <c r="A13" s="4" t="s">
        <v>1010</v>
      </c>
      <c r="B13" s="4" t="s">
        <v>1011</v>
      </c>
      <c r="C13" s="4" t="s">
        <v>1012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42"/>
    <col collapsed="false" customWidth="true" hidden="false" outlineLevel="0" max="7" min="7" style="0" width="52"/>
  </cols>
  <sheetData>
    <row r="1" customFormat="false" ht="30" hidden="false" customHeight="true" outlineLevel="0" collapsed="false">
      <c r="A1" s="1" t="s">
        <v>1013</v>
      </c>
      <c r="B1" s="1"/>
      <c r="C1" s="1"/>
      <c r="D1" s="1"/>
      <c r="E1" s="1"/>
      <c r="F1" s="1"/>
      <c r="G1" s="1"/>
    </row>
    <row r="2" customFormat="false" ht="28" hidden="false" customHeight="true" outlineLevel="0" collapsed="false">
      <c r="A2" s="2" t="s">
        <v>1014</v>
      </c>
      <c r="B2" s="2"/>
      <c r="C2" s="2"/>
      <c r="D2" s="2"/>
      <c r="E2" s="2"/>
      <c r="F2" s="2"/>
      <c r="G2" s="2"/>
    </row>
    <row r="5" customFormat="false" ht="34" hidden="false" customHeight="true" outlineLevel="0" collapsed="false">
      <c r="A5" s="3" t="s">
        <v>1015</v>
      </c>
      <c r="B5" s="3" t="s">
        <v>1016</v>
      </c>
      <c r="C5" s="3" t="s">
        <v>1017</v>
      </c>
      <c r="D5" s="3" t="s">
        <v>1018</v>
      </c>
      <c r="E5" s="3" t="s">
        <v>1019</v>
      </c>
      <c r="F5" s="3" t="s">
        <v>1020</v>
      </c>
      <c r="G5" s="3" t="s">
        <v>1021</v>
      </c>
    </row>
    <row r="6" customFormat="false" ht="15" hidden="false" customHeight="false" outlineLevel="0" collapsed="false">
      <c r="A6" s="4" t="s">
        <v>1022</v>
      </c>
      <c r="B6" s="4" t="s">
        <v>1023</v>
      </c>
      <c r="C6" s="4" t="s">
        <v>1024</v>
      </c>
      <c r="D6" s="4" t="s">
        <v>1025</v>
      </c>
      <c r="E6" s="4" t="s">
        <v>1026</v>
      </c>
      <c r="F6" s="4" t="s">
        <v>1027</v>
      </c>
      <c r="G6" s="8"/>
    </row>
    <row r="7" customFormat="false" ht="15" hidden="false" customHeight="false" outlineLevel="0" collapsed="false">
      <c r="A7" s="4" t="s">
        <v>1028</v>
      </c>
      <c r="B7" s="4" t="s">
        <v>1029</v>
      </c>
      <c r="C7" s="4" t="s">
        <v>1030</v>
      </c>
      <c r="D7" s="4" t="s">
        <v>1031</v>
      </c>
      <c r="E7" s="4" t="s">
        <v>1032</v>
      </c>
      <c r="F7" s="4" t="s">
        <v>1033</v>
      </c>
      <c r="G7" s="8"/>
    </row>
    <row r="8" customFormat="false" ht="15" hidden="false" customHeight="false" outlineLevel="0" collapsed="false">
      <c r="A8" s="4" t="s">
        <v>1034</v>
      </c>
      <c r="B8" s="4" t="s">
        <v>1035</v>
      </c>
      <c r="C8" s="4" t="s">
        <v>1036</v>
      </c>
      <c r="D8" s="4" t="s">
        <v>1037</v>
      </c>
      <c r="E8" s="4" t="s">
        <v>1038</v>
      </c>
      <c r="F8" s="4" t="s">
        <v>1039</v>
      </c>
      <c r="G8" s="8"/>
    </row>
    <row r="9" customFormat="false" ht="15" hidden="false" customHeight="false" outlineLevel="0" collapsed="false">
      <c r="A9" s="4" t="s">
        <v>1040</v>
      </c>
      <c r="B9" s="4" t="s">
        <v>1041</v>
      </c>
      <c r="C9" s="4" t="s">
        <v>1042</v>
      </c>
      <c r="D9" s="4" t="s">
        <v>1043</v>
      </c>
      <c r="E9" s="4" t="s">
        <v>1044</v>
      </c>
      <c r="F9" s="4" t="s">
        <v>1045</v>
      </c>
      <c r="G9" s="8"/>
    </row>
    <row r="10" customFormat="false" ht="15" hidden="false" customHeight="false" outlineLevel="0" collapsed="false">
      <c r="A10" s="4" t="s">
        <v>1046</v>
      </c>
      <c r="B10" s="4" t="s">
        <v>1047</v>
      </c>
      <c r="C10" s="4" t="s">
        <v>1048</v>
      </c>
      <c r="D10" s="4" t="s">
        <v>1049</v>
      </c>
      <c r="E10" s="4" t="s">
        <v>1050</v>
      </c>
      <c r="F10" s="4" t="s">
        <v>1051</v>
      </c>
      <c r="G10" s="8"/>
    </row>
    <row r="11" customFormat="false" ht="15" hidden="false" customHeight="false" outlineLevel="0" collapsed="false">
      <c r="A11" s="4" t="s">
        <v>1052</v>
      </c>
      <c r="B11" s="4" t="s">
        <v>1053</v>
      </c>
      <c r="C11" s="4" t="s">
        <v>1054</v>
      </c>
      <c r="D11" s="4" t="s">
        <v>1055</v>
      </c>
      <c r="E11" s="4" t="s">
        <v>1056</v>
      </c>
      <c r="F11" s="4" t="s">
        <v>1057</v>
      </c>
      <c r="G11" s="8"/>
    </row>
    <row r="12" customFormat="false" ht="15" hidden="false" customHeight="false" outlineLevel="0" collapsed="false">
      <c r="A12" s="4" t="s">
        <v>1058</v>
      </c>
      <c r="B12" s="4" t="s">
        <v>1059</v>
      </c>
      <c r="C12" s="4" t="s">
        <v>1060</v>
      </c>
      <c r="D12" s="4" t="s">
        <v>1061</v>
      </c>
      <c r="E12" s="4" t="s">
        <v>1062</v>
      </c>
      <c r="F12" s="4" t="s">
        <v>1063</v>
      </c>
      <c r="G12" s="8"/>
    </row>
    <row r="13" customFormat="false" ht="15" hidden="false" customHeight="false" outlineLevel="0" collapsed="false">
      <c r="A13" s="4" t="s">
        <v>1064</v>
      </c>
      <c r="B13" s="4" t="s">
        <v>1065</v>
      </c>
      <c r="C13" s="4" t="s">
        <v>1066</v>
      </c>
      <c r="D13" s="4" t="s">
        <v>1067</v>
      </c>
      <c r="E13" s="4" t="s">
        <v>1068</v>
      </c>
      <c r="F13" s="4" t="s">
        <v>1069</v>
      </c>
      <c r="G13" s="8"/>
    </row>
    <row r="14" customFormat="false" ht="15" hidden="false" customHeight="false" outlineLevel="0" collapsed="false">
      <c r="A14" s="4" t="s">
        <v>1070</v>
      </c>
      <c r="B14" s="4" t="s">
        <v>1071</v>
      </c>
      <c r="C14" s="4" t="s">
        <v>1072</v>
      </c>
      <c r="D14" s="4" t="s">
        <v>1073</v>
      </c>
      <c r="E14" s="4" t="s">
        <v>1074</v>
      </c>
      <c r="F14" s="4" t="s">
        <v>1075</v>
      </c>
      <c r="G14" s="8"/>
    </row>
    <row r="15" customFormat="false" ht="15" hidden="false" customHeight="false" outlineLevel="0" collapsed="false">
      <c r="A15" s="4" t="s">
        <v>1076</v>
      </c>
      <c r="B15" s="4" t="s">
        <v>1077</v>
      </c>
      <c r="C15" s="4" t="s">
        <v>1078</v>
      </c>
      <c r="D15" s="4" t="s">
        <v>1079</v>
      </c>
      <c r="E15" s="4" t="s">
        <v>1080</v>
      </c>
      <c r="F15" s="4" t="s">
        <v>1081</v>
      </c>
      <c r="G15" s="8"/>
    </row>
    <row r="16" customFormat="false" ht="15" hidden="false" customHeight="false" outlineLevel="0" collapsed="false">
      <c r="A16" s="4" t="s">
        <v>1082</v>
      </c>
      <c r="B16" s="4" t="s">
        <v>1083</v>
      </c>
      <c r="C16" s="4" t="s">
        <v>1084</v>
      </c>
      <c r="D16" s="4" t="s">
        <v>1085</v>
      </c>
      <c r="E16" s="4" t="s">
        <v>1086</v>
      </c>
      <c r="F16" s="4" t="s">
        <v>1087</v>
      </c>
      <c r="G16" s="8"/>
    </row>
    <row r="17" customFormat="false" ht="15" hidden="false" customHeight="false" outlineLevel="0" collapsed="false">
      <c r="A17" s="4" t="s">
        <v>1088</v>
      </c>
      <c r="B17" s="4" t="s">
        <v>1089</v>
      </c>
      <c r="C17" s="4" t="s">
        <v>1090</v>
      </c>
      <c r="D17" s="4" t="s">
        <v>1091</v>
      </c>
      <c r="E17" s="4" t="s">
        <v>1092</v>
      </c>
      <c r="F17" s="4" t="s">
        <v>1093</v>
      </c>
      <c r="G17" s="8"/>
    </row>
    <row r="18" customFormat="false" ht="15" hidden="false" customHeight="false" outlineLevel="0" collapsed="false">
      <c r="A18" s="4" t="s">
        <v>1094</v>
      </c>
      <c r="B18" s="4" t="s">
        <v>1095</v>
      </c>
      <c r="C18" s="4" t="s">
        <v>1096</v>
      </c>
      <c r="D18" s="4" t="s">
        <v>1097</v>
      </c>
      <c r="E18" s="4" t="s">
        <v>1098</v>
      </c>
      <c r="F18" s="4" t="s">
        <v>1099</v>
      </c>
      <c r="G18" s="8"/>
    </row>
    <row r="19" customFormat="false" ht="15" hidden="false" customHeight="false" outlineLevel="0" collapsed="false">
      <c r="A19" s="4" t="s">
        <v>1100</v>
      </c>
      <c r="B19" s="4" t="s">
        <v>1101</v>
      </c>
      <c r="C19" s="4" t="s">
        <v>1102</v>
      </c>
      <c r="D19" s="4" t="s">
        <v>1103</v>
      </c>
      <c r="E19" s="4" t="s">
        <v>1104</v>
      </c>
      <c r="F19" s="4" t="s">
        <v>1105</v>
      </c>
      <c r="G19" s="8"/>
    </row>
    <row r="20" customFormat="false" ht="15" hidden="false" customHeight="false" outlineLevel="0" collapsed="false">
      <c r="A20" s="4" t="s">
        <v>1106</v>
      </c>
      <c r="B20" s="4" t="s">
        <v>1107</v>
      </c>
      <c r="C20" s="4" t="s">
        <v>1108</v>
      </c>
      <c r="D20" s="4" t="s">
        <v>1109</v>
      </c>
      <c r="E20" s="4" t="s">
        <v>1110</v>
      </c>
      <c r="F20" s="4" t="s">
        <v>1111</v>
      </c>
      <c r="G20" s="8"/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4"/>
    <col collapsed="false" customWidth="true" hidden="false" outlineLevel="0" max="3" min="3" style="0" width="56"/>
    <col collapsed="false" customWidth="true" hidden="false" outlineLevel="0" max="4" min="4" style="0" width="62"/>
  </cols>
  <sheetData>
    <row r="1" customFormat="false" ht="30" hidden="false" customHeight="true" outlineLevel="0" collapsed="false">
      <c r="A1" s="1" t="s">
        <v>1112</v>
      </c>
      <c r="B1" s="1"/>
      <c r="C1" s="1"/>
      <c r="D1" s="1"/>
    </row>
    <row r="2" customFormat="false" ht="28" hidden="false" customHeight="true" outlineLevel="0" collapsed="false">
      <c r="A2" s="2" t="s">
        <v>1113</v>
      </c>
      <c r="B2" s="2"/>
      <c r="C2" s="2"/>
      <c r="D2" s="2"/>
    </row>
    <row r="5" customFormat="false" ht="34" hidden="false" customHeight="true" outlineLevel="0" collapsed="false">
      <c r="A5" s="3" t="s">
        <v>311</v>
      </c>
      <c r="B5" s="3" t="s">
        <v>1114</v>
      </c>
      <c r="C5" s="3" t="s">
        <v>1115</v>
      </c>
      <c r="D5" s="3" t="s">
        <v>1116</v>
      </c>
    </row>
    <row r="6" customFormat="false" ht="15" hidden="false" customHeight="false" outlineLevel="0" collapsed="false">
      <c r="A6" s="4" t="s">
        <v>1117</v>
      </c>
      <c r="B6" s="4" t="s">
        <v>1118</v>
      </c>
      <c r="C6" s="4" t="s">
        <v>1119</v>
      </c>
      <c r="D6" s="4" t="s">
        <v>1120</v>
      </c>
    </row>
    <row r="7" customFormat="false" ht="15" hidden="false" customHeight="false" outlineLevel="0" collapsed="false">
      <c r="A7" s="4" t="s">
        <v>1121</v>
      </c>
      <c r="B7" s="4" t="s">
        <v>1118</v>
      </c>
      <c r="C7" s="4" t="s">
        <v>1122</v>
      </c>
      <c r="D7" s="4" t="s">
        <v>1123</v>
      </c>
    </row>
    <row r="8" customFormat="false" ht="15" hidden="false" customHeight="false" outlineLevel="0" collapsed="false">
      <c r="A8" s="4" t="s">
        <v>1124</v>
      </c>
      <c r="B8" s="4" t="s">
        <v>1125</v>
      </c>
      <c r="C8" s="4" t="s">
        <v>1126</v>
      </c>
      <c r="D8" s="4" t="s">
        <v>1127</v>
      </c>
    </row>
    <row r="9" customFormat="false" ht="15" hidden="false" customHeight="false" outlineLevel="0" collapsed="false">
      <c r="A9" s="4" t="s">
        <v>1128</v>
      </c>
      <c r="B9" s="4" t="s">
        <v>1129</v>
      </c>
      <c r="C9" s="4" t="s">
        <v>1130</v>
      </c>
      <c r="D9" s="4" t="s">
        <v>1131</v>
      </c>
    </row>
    <row r="10" customFormat="false" ht="15" hidden="false" customHeight="false" outlineLevel="0" collapsed="false">
      <c r="A10" s="4" t="s">
        <v>1132</v>
      </c>
      <c r="B10" s="4" t="s">
        <v>1133</v>
      </c>
      <c r="C10" s="4" t="s">
        <v>1134</v>
      </c>
      <c r="D10" s="4" t="s">
        <v>1135</v>
      </c>
    </row>
    <row r="11" customFormat="false" ht="15" hidden="false" customHeight="false" outlineLevel="0" collapsed="false">
      <c r="A11" s="4" t="s">
        <v>1136</v>
      </c>
      <c r="B11" s="4" t="s">
        <v>1137</v>
      </c>
      <c r="C11" s="4" t="s">
        <v>1138</v>
      </c>
      <c r="D11" s="4" t="s">
        <v>1139</v>
      </c>
    </row>
    <row r="12" customFormat="false" ht="15" hidden="false" customHeight="false" outlineLevel="0" collapsed="false">
      <c r="A12" s="4" t="s">
        <v>1140</v>
      </c>
      <c r="B12" s="4" t="s">
        <v>1141</v>
      </c>
      <c r="C12" s="4" t="s">
        <v>1142</v>
      </c>
      <c r="D12" s="4" t="s">
        <v>1143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