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tables/table5.xml" ContentType="application/vnd.openxmlformats-officedocument.spreadsheetml.table+xml"/>
  <Override PartName="/xl/tables/table10.xml" ContentType="application/vnd.openxmlformats-officedocument.spreadsheetml.table+xml"/>
  <Override PartName="/xl/tables/table1.xml" ContentType="application/vnd.openxmlformats-officedocument.spreadsheetml.table+xml"/>
  <Override PartName="/xl/tables/table9.xml" ContentType="application/vnd.openxmlformats-officedocument.spreadsheetml.table+xml"/>
  <Override PartName="/xl/tables/table3.xml" ContentType="application/vnd.openxmlformats-officedocument.spreadsheetml.table+xml"/>
  <Override PartName="/xl/tables/table12.xml" ContentType="application/vnd.openxmlformats-officedocument.spreadsheetml.table+xml"/>
  <Override PartName="/xl/tables/table6.xml" ContentType="application/vnd.openxmlformats-officedocument.spreadsheetml.table+xml"/>
  <Override PartName="/xl/tables/table15.xml" ContentType="application/vnd.openxmlformats-officedocument.spreadsheetml.table+xml"/>
  <Override PartName="/xl/tables/table4.xml" ContentType="application/vnd.openxmlformats-officedocument.spreadsheetml.table+xml"/>
  <Override PartName="/xl/tables/table7.xml" ContentType="application/vnd.openxmlformats-officedocument.spreadsheetml.table+xml"/>
  <Override PartName="/xl/tables/table2.xml" ContentType="application/vnd.openxmlformats-officedocument.spreadsheetml.table+xml"/>
  <Override PartName="/xl/tables/table13.xml" ContentType="application/vnd.openxmlformats-officedocument.spreadsheetml.table+xml"/>
  <Override PartName="/xl/tables/table8.xml" ContentType="application/vnd.openxmlformats-officedocument.spreadsheetml.table+xml"/>
  <Override PartName="/xl/tables/table1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0-管理看板" sheetId="1" state="visible" r:id="rId3"/>
    <sheet name="01-客户信用" sheetId="2" state="visible" r:id="rId4"/>
    <sheet name="02-应收明细" sheetId="3" state="visible" r:id="rId5"/>
    <sheet name="03-催收计划" sheetId="4" state="visible" r:id="rId6"/>
    <sheet name="04-争议台账" sheetId="5" state="visible" r:id="rId7"/>
    <sheet name="05-回款认领" sheetId="6" state="visible" r:id="rId8"/>
    <sheet name="06-信用审批" sheetId="7" state="visible" r:id="rId9"/>
    <sheet name="07-ECL测算" sheetId="8" state="visible" r:id="rId10"/>
    <sheet name="08-核心指标" sheetId="9" state="visible" r:id="rId11"/>
    <sheet name="09-月末Checklist" sheetId="10" state="visible" r:id="rId12"/>
    <sheet name="10-接手检查" sheetId="11" state="visible" r:id="rId13"/>
    <sheet name="11-风险红旗" sheetId="12" state="visible" r:id="rId14"/>
    <sheet name="12-Issue Log" sheetId="13" state="visible" r:id="rId15"/>
    <sheet name="13-RACI" sheetId="14" state="visible" r:id="rId16"/>
    <sheet name="14-案例库" sheetId="15" state="visible" r:id="rId17"/>
    <sheet name="15-资料来源" sheetId="16" state="visible" r:id="rId1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<sst xmlns="http://schemas.openxmlformats.org/spreadsheetml/2006/main" count="1340" uniqueCount="820">
  <si>
    <t xml:space="preserve">应收账款管理工具包</t>
  </si>
  <si>
    <t xml:space="preserve">模拟企业：华辰智能设备有限公司。看板数字来自应收明细，黄色区域为人工维护。</t>
  </si>
  <si>
    <t xml:space="preserve">指标</t>
  </si>
  <si>
    <t xml:space="preserve">本期结果</t>
  </si>
  <si>
    <t xml:space="preserve">管理阈值</t>
  </si>
  <si>
    <t xml:space="preserve">主管动作</t>
  </si>
  <si>
    <t xml:space="preserve">应收余额</t>
  </si>
  <si>
    <t xml:space="preserve">结合收入</t>
  </si>
  <si>
    <t xml:space="preserve">解释余额变化</t>
  </si>
  <si>
    <t xml:space="preserve">逾期余额</t>
  </si>
  <si>
    <t xml:space="preserve">逐笔</t>
  </si>
  <si>
    <t xml:space="preserve">形成Owner和行动</t>
  </si>
  <si>
    <t xml:space="preserve">逾期率</t>
  </si>
  <si>
    <t xml:space="preserve">超过阈值专项分析</t>
  </si>
  <si>
    <t xml:space="preserve">90天以上逾期</t>
  </si>
  <si>
    <t xml:space="preserve">逐笔看客户和证据</t>
  </si>
  <si>
    <t xml:space="preserve">90天以上占比</t>
  </si>
  <si>
    <t xml:space="preserve">评估信用和ECL</t>
  </si>
  <si>
    <t xml:space="preserve">争议余额</t>
  </si>
  <si>
    <t xml:space="preserve">区分验收、质量、价格</t>
  </si>
  <si>
    <t xml:space="preserve">信用冻结客户数</t>
  </si>
  <si>
    <t xml:space="preserve">未经批准不得放货</t>
  </si>
  <si>
    <t xml:space="preserve">未认领回款</t>
  </si>
  <si>
    <t xml:space="preserve">当日或次日认领</t>
  </si>
  <si>
    <t xml:space="preserve">ECL估计</t>
  </si>
  <si>
    <t xml:space="preserve">有依据</t>
  </si>
  <si>
    <t xml:space="preserve">复核模型和个别评估</t>
  </si>
  <si>
    <t xml:space="preserve">Open Issue</t>
  </si>
  <si>
    <t xml:space="preserve">明确截止和Closure</t>
  </si>
  <si>
    <t xml:space="preserve">客户主数据与信用</t>
  </si>
  <si>
    <t xml:space="preserve">额度、账期、状态和有效期必须经过授权维护。</t>
  </si>
  <si>
    <t xml:space="preserve">客户编码</t>
  </si>
  <si>
    <t xml:space="preserve">客户名称</t>
  </si>
  <si>
    <t xml:space="preserve">客户类型</t>
  </si>
  <si>
    <t xml:space="preserve">信用等级</t>
  </si>
  <si>
    <t xml:space="preserve">信用额度</t>
  </si>
  <si>
    <t xml:space="preserve">账期天数</t>
  </si>
  <si>
    <t xml:space="preserve">责任销售</t>
  </si>
  <si>
    <t xml:space="preserve">区域</t>
  </si>
  <si>
    <t xml:space="preserve">信用状态</t>
  </si>
  <si>
    <t xml:space="preserve">说明</t>
  </si>
  <si>
    <t xml:space="preserve">C001</t>
  </si>
  <si>
    <t xml:space="preserve">华东工业集团</t>
  </si>
  <si>
    <t xml:space="preserve">国企</t>
  </si>
  <si>
    <t xml:space="preserve">A级</t>
  </si>
  <si>
    <t xml:space="preserve">张华</t>
  </si>
  <si>
    <t xml:space="preserve">华东区</t>
  </si>
  <si>
    <t xml:space="preserve">正常</t>
  </si>
  <si>
    <t xml:space="preserve">核心客户，历史回款稳定</t>
  </si>
  <si>
    <t xml:space="preserve">C002</t>
  </si>
  <si>
    <t xml:space="preserve">南方电子科技</t>
  </si>
  <si>
    <t xml:space="preserve">民营</t>
  </si>
  <si>
    <t xml:space="preserve">B级</t>
  </si>
  <si>
    <t xml:space="preserve">李敏</t>
  </si>
  <si>
    <t xml:space="preserve">华南区</t>
  </si>
  <si>
    <t xml:space="preserve">关注</t>
  </si>
  <si>
    <t xml:space="preserve">近期回款放慢</t>
  </si>
  <si>
    <t xml:space="preserve">C003</t>
  </si>
  <si>
    <t xml:space="preserve">北方自动化</t>
  </si>
  <si>
    <t xml:space="preserve">C级</t>
  </si>
  <si>
    <t xml:space="preserve">王强</t>
  </si>
  <si>
    <t xml:space="preserve">北方区</t>
  </si>
  <si>
    <t xml:space="preserve">冻结</t>
  </si>
  <si>
    <t xml:space="preserve">逾期超过90天且存在验收争议</t>
  </si>
  <si>
    <t xml:space="preserve">C004</t>
  </si>
  <si>
    <t xml:space="preserve">西部设备公司</t>
  </si>
  <si>
    <t xml:space="preserve">赵雪</t>
  </si>
  <si>
    <t xml:space="preserve">西部区</t>
  </si>
  <si>
    <t xml:space="preserve">项目型客户</t>
  </si>
  <si>
    <t xml:space="preserve">C005</t>
  </si>
  <si>
    <t xml:space="preserve">新锐机器人</t>
  </si>
  <si>
    <t xml:space="preserve">初创</t>
  </si>
  <si>
    <t xml:space="preserve">陈晨</t>
  </si>
  <si>
    <t xml:space="preserve">成立时间较短</t>
  </si>
  <si>
    <t xml:space="preserve">C006</t>
  </si>
  <si>
    <t xml:space="preserve">海外贸易代理</t>
  </si>
  <si>
    <t xml:space="preserve">贸易商</t>
  </si>
  <si>
    <t xml:space="preserve">刘洋</t>
  </si>
  <si>
    <t xml:space="preserve">海外区</t>
  </si>
  <si>
    <t xml:space="preserve">出口代理结算</t>
  </si>
  <si>
    <t xml:space="preserve">C007</t>
  </si>
  <si>
    <t xml:space="preserve">华中制造</t>
  </si>
  <si>
    <t xml:space="preserve">周俊</t>
  </si>
  <si>
    <t xml:space="preserve">华中区</t>
  </si>
  <si>
    <t xml:space="preserve">C008</t>
  </si>
  <si>
    <t xml:space="preserve">东南系统集成</t>
  </si>
  <si>
    <t xml:space="preserve">吴迪</t>
  </si>
  <si>
    <t xml:space="preserve">多次延迟验收</t>
  </si>
  <si>
    <t xml:space="preserve">C009</t>
  </si>
  <si>
    <t xml:space="preserve">城市轨道项目部</t>
  </si>
  <si>
    <t xml:space="preserve">事业单位</t>
  </si>
  <si>
    <t xml:space="preserve">孙磊</t>
  </si>
  <si>
    <t xml:space="preserve">大客户部</t>
  </si>
  <si>
    <t xml:space="preserve">回款慢但预算来源稳定</t>
  </si>
  <si>
    <t xml:space="preserve">C010</t>
  </si>
  <si>
    <t xml:space="preserve">安达经销商</t>
  </si>
  <si>
    <t xml:space="preserve">经销商</t>
  </si>
  <si>
    <t xml:space="preserve">郑凯</t>
  </si>
  <si>
    <t xml:space="preserve">渠道部</t>
  </si>
  <si>
    <t xml:space="preserve">超过额度且逾期</t>
  </si>
  <si>
    <t xml:space="preserve">C011</t>
  </si>
  <si>
    <t xml:space="preserve">长江仪器</t>
  </si>
  <si>
    <t xml:space="preserve">C012</t>
  </si>
  <si>
    <t xml:space="preserve">智联数据中心</t>
  </si>
  <si>
    <t xml:space="preserve">上市公司</t>
  </si>
  <si>
    <t xml:space="preserve">应收账款明细</t>
  </si>
  <si>
    <t xml:space="preserve">余额、逾期天数和账龄自动计算。账龄基准日：2026-08-31。</t>
  </si>
  <si>
    <t xml:space="preserve">应收ID</t>
  </si>
  <si>
    <t xml:space="preserve">开票日</t>
  </si>
  <si>
    <t xml:space="preserve">到期日</t>
  </si>
  <si>
    <t xml:space="preserve">订单</t>
  </si>
  <si>
    <t xml:space="preserve">发票</t>
  </si>
  <si>
    <t xml:space="preserve">原值</t>
  </si>
  <si>
    <t xml:space="preserve">已收</t>
  </si>
  <si>
    <t xml:space="preserve">余额</t>
  </si>
  <si>
    <t xml:space="preserve">业务状态</t>
  </si>
  <si>
    <t xml:space="preserve">来源部门</t>
  </si>
  <si>
    <t xml:space="preserve">逾期天数</t>
  </si>
  <si>
    <t xml:space="preserve">账龄段</t>
  </si>
  <si>
    <t xml:space="preserve">到期状态</t>
  </si>
  <si>
    <t xml:space="preserve">争议</t>
  </si>
  <si>
    <t xml:space="preserve">AR001</t>
  </si>
  <si>
    <t xml:space="preserve">SO260701</t>
  </si>
  <si>
    <t xml:space="preserve">INV260701</t>
  </si>
  <si>
    <t xml:space="preserve">销售部</t>
  </si>
  <si>
    <t xml:space="preserve">否</t>
  </si>
  <si>
    <t xml:space="preserve">AR002</t>
  </si>
  <si>
    <t xml:space="preserve">SO260812</t>
  </si>
  <si>
    <t xml:space="preserve">INV260812</t>
  </si>
  <si>
    <t xml:space="preserve">未到期</t>
  </si>
  <si>
    <t xml:space="preserve">AR003</t>
  </si>
  <si>
    <t xml:space="preserve">SO260520</t>
  </si>
  <si>
    <t xml:space="preserve">INV260520</t>
  </si>
  <si>
    <t xml:space="preserve">催收中</t>
  </si>
  <si>
    <t xml:space="preserve">AR004</t>
  </si>
  <si>
    <t xml:space="preserve">SO260320</t>
  </si>
  <si>
    <t xml:space="preserve">INV260320</t>
  </si>
  <si>
    <t xml:space="preserve">验收争议</t>
  </si>
  <si>
    <t xml:space="preserve">是</t>
  </si>
  <si>
    <t xml:space="preserve">AR005</t>
  </si>
  <si>
    <t xml:space="preserve">SO260610</t>
  </si>
  <si>
    <t xml:space="preserve">INV260610</t>
  </si>
  <si>
    <t xml:space="preserve">AR006</t>
  </si>
  <si>
    <t xml:space="preserve">SO260715</t>
  </si>
  <si>
    <t xml:space="preserve">INV260715</t>
  </si>
  <si>
    <t xml:space="preserve">AR007</t>
  </si>
  <si>
    <t xml:space="preserve">SO260705</t>
  </si>
  <si>
    <t xml:space="preserve">INV260705</t>
  </si>
  <si>
    <t xml:space="preserve">AR008</t>
  </si>
  <si>
    <t xml:space="preserve">SO260801</t>
  </si>
  <si>
    <t xml:space="preserve">INV260801</t>
  </si>
  <si>
    <t xml:space="preserve">AR009</t>
  </si>
  <si>
    <t xml:space="preserve">SO260410</t>
  </si>
  <si>
    <t xml:space="preserve">INV260410</t>
  </si>
  <si>
    <t xml:space="preserve">AR010</t>
  </si>
  <si>
    <t xml:space="preserve">SO260620</t>
  </si>
  <si>
    <t xml:space="preserve">INV260620</t>
  </si>
  <si>
    <t xml:space="preserve">AR011</t>
  </si>
  <si>
    <t xml:space="preserve">SO260425</t>
  </si>
  <si>
    <t xml:space="preserve">INV260425</t>
  </si>
  <si>
    <t xml:space="preserve">法务评估</t>
  </si>
  <si>
    <t xml:space="preserve">AR012</t>
  </si>
  <si>
    <t xml:space="preserve">SO260806</t>
  </si>
  <si>
    <t xml:space="preserve">INV260806</t>
  </si>
  <si>
    <t xml:space="preserve">AR013</t>
  </si>
  <si>
    <t xml:space="preserve">SO260602</t>
  </si>
  <si>
    <t xml:space="preserve">INV260602</t>
  </si>
  <si>
    <t xml:space="preserve">AR014</t>
  </si>
  <si>
    <t xml:space="preserve">SO260811</t>
  </si>
  <si>
    <t xml:space="preserve">INV260811</t>
  </si>
  <si>
    <t xml:space="preserve">冻结后例外发货</t>
  </si>
  <si>
    <t xml:space="preserve">AR015</t>
  </si>
  <si>
    <t xml:space="preserve">SO260201</t>
  </si>
  <si>
    <t xml:space="preserve">INV260201</t>
  </si>
  <si>
    <t xml:space="preserve">长期逾期</t>
  </si>
  <si>
    <t xml:space="preserve">逾期催收计划</t>
  </si>
  <si>
    <t xml:space="preserve">承诺必须具体到金额、日期、联系人和下一步。</t>
  </si>
  <si>
    <t xml:space="preserve">客户</t>
  </si>
  <si>
    <t xml:space="preserve">当前状态</t>
  </si>
  <si>
    <t xml:space="preserve">逾期原因</t>
  </si>
  <si>
    <t xml:space="preserve">客户联系人</t>
  </si>
  <si>
    <t xml:space="preserve">承诺金额</t>
  </si>
  <si>
    <t xml:space="preserve">下一步行动</t>
  </si>
  <si>
    <t xml:space="preserve">下次日期</t>
  </si>
  <si>
    <t xml:space="preserve">状态</t>
  </si>
  <si>
    <t xml:space="preserve">未开始</t>
  </si>
  <si>
    <t xml:space="preserve">应收争议台账</t>
  </si>
  <si>
    <t xml:space="preserve">区分验收、质量、价格、发票和信用问题。</t>
  </si>
  <si>
    <t xml:space="preserve">争议ID</t>
  </si>
  <si>
    <t xml:space="preserve">类型</t>
  </si>
  <si>
    <t xml:space="preserve">金额</t>
  </si>
  <si>
    <t xml:space="preserve">客户主张</t>
  </si>
  <si>
    <t xml:space="preserve">公司判断</t>
  </si>
  <si>
    <t xml:space="preserve">责任部门</t>
  </si>
  <si>
    <t xml:space="preserve">下一步</t>
  </si>
  <si>
    <t xml:space="preserve">截止日</t>
  </si>
  <si>
    <t xml:space="preserve">会计影响</t>
  </si>
  <si>
    <t xml:space="preserve">证据路径</t>
  </si>
  <si>
    <t xml:space="preserve">DIS-001</t>
  </si>
  <si>
    <t xml:space="preserve">Open</t>
  </si>
  <si>
    <t xml:space="preserve">DIS-002</t>
  </si>
  <si>
    <t xml:space="preserve">DIS-003</t>
  </si>
  <si>
    <t xml:space="preserve">DIS-004</t>
  </si>
  <si>
    <t xml:space="preserve">DIS-005</t>
  </si>
  <si>
    <t xml:space="preserve">DIS-006</t>
  </si>
  <si>
    <t xml:space="preserve">DIS-007</t>
  </si>
  <si>
    <t xml:space="preserve">DIS-008</t>
  </si>
  <si>
    <t xml:space="preserve">DIS-009</t>
  </si>
  <si>
    <t xml:space="preserve">DIS-010</t>
  </si>
  <si>
    <t xml:space="preserve">DIS-011</t>
  </si>
  <si>
    <t xml:space="preserve">DIS-012</t>
  </si>
  <si>
    <t xml:space="preserve">DIS-013</t>
  </si>
  <si>
    <t xml:space="preserve">DIS-014</t>
  </si>
  <si>
    <t xml:space="preserve">DIS-015</t>
  </si>
  <si>
    <t xml:space="preserve">DIS-016</t>
  </si>
  <si>
    <t xml:space="preserve">DIS-017</t>
  </si>
  <si>
    <t xml:space="preserve">DIS-018</t>
  </si>
  <si>
    <t xml:space="preserve">DIS-019</t>
  </si>
  <si>
    <t xml:space="preserve">DIS-020</t>
  </si>
  <si>
    <t xml:space="preserve">DIS-021</t>
  </si>
  <si>
    <t xml:space="preserve">DIS-022</t>
  </si>
  <si>
    <t xml:space="preserve">DIS-023</t>
  </si>
  <si>
    <t xml:space="preserve">DIS-024</t>
  </si>
  <si>
    <t xml:space="preserve">DIS-025</t>
  </si>
  <si>
    <t xml:space="preserve">DIS-026</t>
  </si>
  <si>
    <t xml:space="preserve">DIS-027</t>
  </si>
  <si>
    <t xml:space="preserve">DIS-028</t>
  </si>
  <si>
    <t xml:space="preserve">DIS-029</t>
  </si>
  <si>
    <t xml:space="preserve">DIS-030</t>
  </si>
  <si>
    <t xml:space="preserve">DIS-031</t>
  </si>
  <si>
    <t xml:space="preserve">DIS-032</t>
  </si>
  <si>
    <t xml:space="preserve">DIS-033</t>
  </si>
  <si>
    <t xml:space="preserve">DIS-034</t>
  </si>
  <si>
    <t xml:space="preserve">DIS-035</t>
  </si>
  <si>
    <t xml:space="preserve">DIS-036</t>
  </si>
  <si>
    <t xml:space="preserve">DIS-037</t>
  </si>
  <si>
    <t xml:space="preserve">DIS-038</t>
  </si>
  <si>
    <t xml:space="preserve">DIS-039</t>
  </si>
  <si>
    <t xml:space="preserve">DIS-040</t>
  </si>
  <si>
    <t xml:space="preserve">银行回款认领</t>
  </si>
  <si>
    <t xml:space="preserve">付款主体、客户和应收项目不确定时转人工确认。</t>
  </si>
  <si>
    <t xml:space="preserve">流水ID</t>
  </si>
  <si>
    <t xml:space="preserve">到账日</t>
  </si>
  <si>
    <t xml:space="preserve">付款户名</t>
  </si>
  <si>
    <t xml:space="preserve">摘要/订单</t>
  </si>
  <si>
    <t xml:space="preserve">认领状态</t>
  </si>
  <si>
    <t xml:space="preserve">匹配依据</t>
  </si>
  <si>
    <t xml:space="preserve">责任人</t>
  </si>
  <si>
    <t xml:space="preserve">RC001</t>
  </si>
  <si>
    <t xml:space="preserve">2026-08-31</t>
  </si>
  <si>
    <t xml:space="preserve">华东商贸</t>
  </si>
  <si>
    <t xml:space="preserve">已认领</t>
  </si>
  <si>
    <t xml:space="preserve">金额户名订单一致</t>
  </si>
  <si>
    <t xml:space="preserve">AR会计</t>
  </si>
  <si>
    <t xml:space="preserve">RC002</t>
  </si>
  <si>
    <t xml:space="preserve">未知付款人</t>
  </si>
  <si>
    <t xml:space="preserve">未认领</t>
  </si>
  <si>
    <t xml:space="preserve">摘要不清，不得按金额随意核销</t>
  </si>
  <si>
    <t xml:space="preserve">资金</t>
  </si>
  <si>
    <t xml:space="preserve">RC003</t>
  </si>
  <si>
    <t xml:space="preserve">RC004</t>
  </si>
  <si>
    <t xml:space="preserve">RC005</t>
  </si>
  <si>
    <t xml:space="preserve">RC006</t>
  </si>
  <si>
    <t xml:space="preserve">RC007</t>
  </si>
  <si>
    <t xml:space="preserve">RC008</t>
  </si>
  <si>
    <t xml:space="preserve">RC009</t>
  </si>
  <si>
    <t xml:space="preserve">RC010</t>
  </si>
  <si>
    <t xml:space="preserve">RC011</t>
  </si>
  <si>
    <t xml:space="preserve">RC012</t>
  </si>
  <si>
    <t xml:space="preserve">RC013</t>
  </si>
  <si>
    <t xml:space="preserve">RC014</t>
  </si>
  <si>
    <t xml:space="preserve">RC015</t>
  </si>
  <si>
    <t xml:space="preserve">RC016</t>
  </si>
  <si>
    <t xml:space="preserve">RC017</t>
  </si>
  <si>
    <t xml:space="preserve">RC018</t>
  </si>
  <si>
    <t xml:space="preserve">RC019</t>
  </si>
  <si>
    <t xml:space="preserve">RC020</t>
  </si>
  <si>
    <t xml:space="preserve">RC021</t>
  </si>
  <si>
    <t xml:space="preserve">RC022</t>
  </si>
  <si>
    <t xml:space="preserve">RC023</t>
  </si>
  <si>
    <t xml:space="preserve">RC024</t>
  </si>
  <si>
    <t xml:space="preserve">RC025</t>
  </si>
  <si>
    <t xml:space="preserve">RC026</t>
  </si>
  <si>
    <t xml:space="preserve">RC027</t>
  </si>
  <si>
    <t xml:space="preserve">RC028</t>
  </si>
  <si>
    <t xml:space="preserve">RC029</t>
  </si>
  <si>
    <t xml:space="preserve">RC030</t>
  </si>
  <si>
    <t xml:space="preserve">RC031</t>
  </si>
  <si>
    <t xml:space="preserve">RC032</t>
  </si>
  <si>
    <t xml:space="preserve">RC033</t>
  </si>
  <si>
    <t xml:space="preserve">RC034</t>
  </si>
  <si>
    <t xml:space="preserve">RC035</t>
  </si>
  <si>
    <t xml:space="preserve">RC036</t>
  </si>
  <si>
    <t xml:space="preserve">RC037</t>
  </si>
  <si>
    <t xml:space="preserve">RC038</t>
  </si>
  <si>
    <t xml:space="preserve">RC039</t>
  </si>
  <si>
    <t xml:space="preserve">RC040</t>
  </si>
  <si>
    <t xml:space="preserve">RC041</t>
  </si>
  <si>
    <t xml:space="preserve">RC042</t>
  </si>
  <si>
    <t xml:space="preserve">RC043</t>
  </si>
  <si>
    <t xml:space="preserve">RC044</t>
  </si>
  <si>
    <t xml:space="preserve">RC045</t>
  </si>
  <si>
    <t xml:space="preserve">RC046</t>
  </si>
  <si>
    <t xml:space="preserve">RC047</t>
  </si>
  <si>
    <t xml:space="preserve">RC048</t>
  </si>
  <si>
    <t xml:space="preserve">RC049</t>
  </si>
  <si>
    <t xml:space="preserve">RC050</t>
  </si>
  <si>
    <t xml:space="preserve">RC051</t>
  </si>
  <si>
    <t xml:space="preserve">RC052</t>
  </si>
  <si>
    <t xml:space="preserve">RC053</t>
  </si>
  <si>
    <t xml:space="preserve">RC054</t>
  </si>
  <si>
    <t xml:space="preserve">RC055</t>
  </si>
  <si>
    <t xml:space="preserve">RC056</t>
  </si>
  <si>
    <t xml:space="preserve">RC057</t>
  </si>
  <si>
    <t xml:space="preserve">RC058</t>
  </si>
  <si>
    <t xml:space="preserve">RC059</t>
  </si>
  <si>
    <t xml:space="preserve">RC060</t>
  </si>
  <si>
    <t xml:space="preserve">信用额度与例外审批</t>
  </si>
  <si>
    <t xml:space="preserve">记录额度、账期、风险敞口、例外原因和失效日期。</t>
  </si>
  <si>
    <t xml:space="preserve">申请号</t>
  </si>
  <si>
    <t xml:space="preserve">申请类型</t>
  </si>
  <si>
    <t xml:space="preserve">现有等级</t>
  </si>
  <si>
    <t xml:space="preserve">现有额度</t>
  </si>
  <si>
    <t xml:space="preserve">申请额度</t>
  </si>
  <si>
    <t xml:space="preserve">现有逾期</t>
  </si>
  <si>
    <t xml:space="preserve">新增订单</t>
  </si>
  <si>
    <t xml:space="preserve">担保/预付</t>
  </si>
  <si>
    <t xml:space="preserve">风险分析</t>
  </si>
  <si>
    <t xml:space="preserve">失效日</t>
  </si>
  <si>
    <t xml:space="preserve">CR-001</t>
  </si>
  <si>
    <t xml:space="preserve">待审批</t>
  </si>
  <si>
    <t xml:space="preserve">CR-002</t>
  </si>
  <si>
    <t xml:space="preserve">CR-003</t>
  </si>
  <si>
    <t xml:space="preserve">CR-004</t>
  </si>
  <si>
    <t xml:space="preserve">CR-005</t>
  </si>
  <si>
    <t xml:space="preserve">CR-006</t>
  </si>
  <si>
    <t xml:space="preserve">CR-007</t>
  </si>
  <si>
    <t xml:space="preserve">CR-008</t>
  </si>
  <si>
    <t xml:space="preserve">CR-009</t>
  </si>
  <si>
    <t xml:space="preserve">CR-010</t>
  </si>
  <si>
    <t xml:space="preserve">CR-011</t>
  </si>
  <si>
    <t xml:space="preserve">CR-012</t>
  </si>
  <si>
    <t xml:space="preserve">CR-013</t>
  </si>
  <si>
    <t xml:space="preserve">CR-014</t>
  </si>
  <si>
    <t xml:space="preserve">CR-015</t>
  </si>
  <si>
    <t xml:space="preserve">CR-016</t>
  </si>
  <si>
    <t xml:space="preserve">CR-017</t>
  </si>
  <si>
    <t xml:space="preserve">CR-018</t>
  </si>
  <si>
    <t xml:space="preserve">CR-019</t>
  </si>
  <si>
    <t xml:space="preserve">CR-020</t>
  </si>
  <si>
    <t xml:space="preserve">CR-021</t>
  </si>
  <si>
    <t xml:space="preserve">CR-022</t>
  </si>
  <si>
    <t xml:space="preserve">CR-023</t>
  </si>
  <si>
    <t xml:space="preserve">CR-024</t>
  </si>
  <si>
    <t xml:space="preserve">CR-025</t>
  </si>
  <si>
    <t xml:space="preserve">CR-026</t>
  </si>
  <si>
    <t xml:space="preserve">CR-027</t>
  </si>
  <si>
    <t xml:space="preserve">CR-028</t>
  </si>
  <si>
    <t xml:space="preserve">CR-029</t>
  </si>
  <si>
    <t xml:space="preserve">CR-030</t>
  </si>
  <si>
    <t xml:space="preserve">CR-031</t>
  </si>
  <si>
    <t xml:space="preserve">CR-032</t>
  </si>
  <si>
    <t xml:space="preserve">CR-033</t>
  </si>
  <si>
    <t xml:space="preserve">CR-034</t>
  </si>
  <si>
    <t xml:space="preserve">CR-035</t>
  </si>
  <si>
    <t xml:space="preserve">CR-036</t>
  </si>
  <si>
    <t xml:space="preserve">CR-037</t>
  </si>
  <si>
    <t xml:space="preserve">CR-038</t>
  </si>
  <si>
    <t xml:space="preserve">CR-039</t>
  </si>
  <si>
    <t xml:space="preserve">CR-040</t>
  </si>
  <si>
    <t xml:space="preserve">预期信用损失测算</t>
  </si>
  <si>
    <t xml:space="preserve">案例比例可修改，不代表统一行业比例。重大客户应个别评估。</t>
  </si>
  <si>
    <t xml:space="preserve">账龄</t>
  </si>
  <si>
    <t xml:space="preserve">个别评估</t>
  </si>
  <si>
    <t xml:space="preserve">损失率</t>
  </si>
  <si>
    <t xml:space="preserve">组合ECL</t>
  </si>
  <si>
    <t xml:space="preserve">最终ECL</t>
  </si>
  <si>
    <t xml:space="preserve">判断依据</t>
  </si>
  <si>
    <t xml:space="preserve">待复核</t>
  </si>
  <si>
    <t xml:space="preserve">应收管理核心指标</t>
  </si>
  <si>
    <t xml:space="preserve">指标恶化后必须向客户、订单、账期、争议和责任销售下钻。</t>
  </si>
  <si>
    <t xml:space="preserve">定义</t>
  </si>
  <si>
    <t xml:space="preserve">管理意义</t>
  </si>
  <si>
    <t xml:space="preserve">恶化原因</t>
  </si>
  <si>
    <t xml:space="preserve">下钻方向</t>
  </si>
  <si>
    <t xml:space="preserve">应收账款余额</t>
  </si>
  <si>
    <t xml:space="preserve">期末应收总额</t>
  </si>
  <si>
    <t xml:space="preserve">反映资金占用，但必须结合收入规模</t>
  </si>
  <si>
    <t xml:space="preserve">收入增长、回款变慢、核销延迟或提前确认</t>
  </si>
  <si>
    <t xml:space="preserve">按客户、账龄、订单和责任销售下钻</t>
  </si>
  <si>
    <t xml:space="preserve">逾期应收÷应收余额</t>
  </si>
  <si>
    <t xml:space="preserve">反映账期执行和信用质量</t>
  </si>
  <si>
    <t xml:space="preserve">客户困难、争议、信用放宽、催收失效</t>
  </si>
  <si>
    <t xml:space="preserve">区分未到期、技术逾期和实质风险</t>
  </si>
  <si>
    <t xml:space="preserve">DSO</t>
  </si>
  <si>
    <t xml:space="preserve">平均应收÷赊销收入×期间天数</t>
  </si>
  <si>
    <t xml:space="preserve">反映销售转化为现金的速度</t>
  </si>
  <si>
    <t xml:space="preserve">客户结构、账期、季节、收入截止和回款变化</t>
  </si>
  <si>
    <t xml:space="preserve">按区域、客户类型和销售人员拆分</t>
  </si>
  <si>
    <t xml:space="preserve">90天以上逾期占比</t>
  </si>
  <si>
    <t xml:space="preserve">逾期90天以上÷应收余额</t>
  </si>
  <si>
    <t xml:space="preserve">聚焦高风险和难收款项</t>
  </si>
  <si>
    <t xml:space="preserve">重大争议、客户恶化、责任不清</t>
  </si>
  <si>
    <t xml:space="preserve">逐笔指定Owner和法务动作</t>
  </si>
  <si>
    <t xml:space="preserve">信用额度占用率</t>
  </si>
  <si>
    <t xml:space="preserve">客户未结余额及未开票风险敞口÷额度</t>
  </si>
  <si>
    <t xml:space="preserve">控制继续接单和发货风险</t>
  </si>
  <si>
    <t xml:space="preserve">额度过低、订单激增或回款变慢</t>
  </si>
  <si>
    <t xml:space="preserve">同时查看在途订单、担保和例外审批</t>
  </si>
  <si>
    <t xml:space="preserve">回款预测准确率</t>
  </si>
  <si>
    <t xml:space="preserve">实际回款÷预测回款或按偏差计算</t>
  </si>
  <si>
    <t xml:space="preserve">评价现金预测和销售承诺质量</t>
  </si>
  <si>
    <t xml:space="preserve">销售乐观、客户计划变化、认领延迟</t>
  </si>
  <si>
    <t xml:space="preserve">分析承诺客户、金额和日期偏差</t>
  </si>
  <si>
    <t xml:space="preserve">争议应收占比</t>
  </si>
  <si>
    <t xml:space="preserve">争议款÷应收余额</t>
  </si>
  <si>
    <t xml:space="preserve">区分信用问题和交付质量问题</t>
  </si>
  <si>
    <t xml:space="preserve">验收、质量、开票、价格或合同问题</t>
  </si>
  <si>
    <t xml:space="preserve">按争议类型和责任部门分析</t>
  </si>
  <si>
    <t xml:space="preserve">集中度</t>
  </si>
  <si>
    <t xml:space="preserve">前五大客户应收÷应收余额</t>
  </si>
  <si>
    <t xml:space="preserve">衡量客户集中和现金风险</t>
  </si>
  <si>
    <t xml:space="preserve">大客户项目增加或小客户减少</t>
  </si>
  <si>
    <t xml:space="preserve">评估单一客户违约冲击</t>
  </si>
  <si>
    <t xml:space="preserve">坏账准备覆盖率</t>
  </si>
  <si>
    <t xml:space="preserve">坏账准备÷应收余额</t>
  </si>
  <si>
    <t xml:space="preserve">反映减值覆盖但不能脱离风险结构</t>
  </si>
  <si>
    <t xml:space="preserve">模型参数、组合变化或个别评估</t>
  </si>
  <si>
    <t xml:space="preserve">与账龄迁徙、核销和回收率联动</t>
  </si>
  <si>
    <t xml:space="preserve">核销及时率</t>
  </si>
  <si>
    <t xml:space="preserve">已认领收款÷银行收款</t>
  </si>
  <si>
    <t xml:space="preserve">反映AR数据是否可用于催收和预测</t>
  </si>
  <si>
    <t xml:space="preserve">摘要不清、主数据差、责任人不反馈</t>
  </si>
  <si>
    <t xml:space="preserve">查看未认领金额和账龄</t>
  </si>
  <si>
    <t xml:space="preserve">应收月末检查清单</t>
  </si>
  <si>
    <t xml:space="preserve">每项必须有执行证据和复核结果。</t>
  </si>
  <si>
    <t xml:space="preserve">明确动作</t>
  </si>
  <si>
    <t xml:space="preserve">期限</t>
  </si>
  <si>
    <t xml:space="preserve">证据</t>
  </si>
  <si>
    <t xml:space="preserve">关闭标准</t>
  </si>
  <si>
    <t xml:space="preserve">完成状态</t>
  </si>
  <si>
    <t xml:space="preserve">复核人</t>
  </si>
  <si>
    <t xml:space="preserve">复核日</t>
  </si>
  <si>
    <t xml:space="preserve">取得AR子模块期末余额并与GL核对</t>
  </si>
  <si>
    <t xml:space="preserve">T+1</t>
  </si>
  <si>
    <t xml:space="preserve">模块余额、GL、差异明细</t>
  </si>
  <si>
    <t xml:space="preserve">差异为0或有批准解释</t>
  </si>
  <si>
    <t xml:space="preserve">检查所有逾期90天以上客户并形成逐笔清单</t>
  </si>
  <si>
    <t xml:space="preserve">AR/销售</t>
  </si>
  <si>
    <t xml:space="preserve">账龄、客户状态、催收记录</t>
  </si>
  <si>
    <t xml:space="preserve">每笔有Owner和下一步</t>
  </si>
  <si>
    <t xml:space="preserve">检查应收贷方余额并追查业务实质</t>
  </si>
  <si>
    <t xml:space="preserve">总账</t>
  </si>
  <si>
    <t xml:space="preserve">T+2</t>
  </si>
  <si>
    <t xml:space="preserve">客户明细、收款、发票、退款</t>
  </si>
  <si>
    <t xml:space="preserve">不得机械重分类</t>
  </si>
  <si>
    <t xml:space="preserve">核对银行回款与AR核销，列示未认领款</t>
  </si>
  <si>
    <t xml:space="preserve">资金/AR</t>
  </si>
  <si>
    <t xml:space="preserve">银行流水、核销日志</t>
  </si>
  <si>
    <t xml:space="preserve">未认领有责任人</t>
  </si>
  <si>
    <t xml:space="preserve">复核本月新增大额应收及账期例外</t>
  </si>
  <si>
    <t xml:space="preserve">财务主管</t>
  </si>
  <si>
    <t xml:space="preserve">合同、订单、审批</t>
  </si>
  <si>
    <t xml:space="preserve">超政策均有审批</t>
  </si>
  <si>
    <t xml:space="preserve">复核收入、开票和应收截止</t>
  </si>
  <si>
    <t xml:space="preserve">发货、验收、开票、收入明细</t>
  </si>
  <si>
    <t xml:space="preserve">跨期差异已处理</t>
  </si>
  <si>
    <t xml:space="preserve">更新争议款清单和预计解决日期</t>
  </si>
  <si>
    <t xml:space="preserve">销售/项目</t>
  </si>
  <si>
    <t xml:space="preserve">客户异议、质量或验收资料</t>
  </si>
  <si>
    <t xml:space="preserve">责任部门和截止明确</t>
  </si>
  <si>
    <t xml:space="preserve">复核ECL模型、账龄迁徙和个别评估</t>
  </si>
  <si>
    <t xml:space="preserve">T+3</t>
  </si>
  <si>
    <t xml:space="preserve">ECL底稿、法务和销售信息</t>
  </si>
  <si>
    <t xml:space="preserve">假设有证据并经审批</t>
  </si>
  <si>
    <t xml:space="preserve">核对客户对账覆盖率和重大未回函</t>
  </si>
  <si>
    <t xml:space="preserve">AR</t>
  </si>
  <si>
    <t xml:space="preserve">对账函、替代证据</t>
  </si>
  <si>
    <t xml:space="preserve">重大余额有证据</t>
  </si>
  <si>
    <t xml:space="preserve">更新信用额度占用和冻结客户</t>
  </si>
  <si>
    <t xml:space="preserve">信用管理</t>
  </si>
  <si>
    <t xml:space="preserve">月末</t>
  </si>
  <si>
    <t xml:space="preserve">额度、应收、在途订单</t>
  </si>
  <si>
    <t xml:space="preserve">系统状态一致</t>
  </si>
  <si>
    <t xml:space="preserve">形成应收管理一页报告</t>
  </si>
  <si>
    <t xml:space="preserve">T+4</t>
  </si>
  <si>
    <t xml:space="preserve">余额、逾期、回款和风险</t>
  </si>
  <si>
    <t xml:space="preserve">结论、行动、Owner和期限齐全</t>
  </si>
  <si>
    <t xml:space="preserve">归档月结底稿和复核证据</t>
  </si>
  <si>
    <t xml:space="preserve">底稿目录</t>
  </si>
  <si>
    <t xml:space="preserve">文件可追溯</t>
  </si>
  <si>
    <t xml:space="preserve">新财务主管接手检查</t>
  </si>
  <si>
    <t xml:space="preserve">记录已取得资料、发现和责任边界。</t>
  </si>
  <si>
    <t xml:space="preserve">阶段</t>
  </si>
  <si>
    <t xml:space="preserve">事项</t>
  </si>
  <si>
    <t xml:space="preserve">检查动作</t>
  </si>
  <si>
    <t xml:space="preserve">发现/证据</t>
  </si>
  <si>
    <t xml:space="preserve">第一周</t>
  </si>
  <si>
    <t xml:space="preserve">客户主数据和信用权限</t>
  </si>
  <si>
    <t xml:space="preserve">确认谁能创建、修改和审批</t>
  </si>
  <si>
    <t xml:space="preserve">AR明细与GL</t>
  </si>
  <si>
    <t xml:space="preserve">重做模块总账对账</t>
  </si>
  <si>
    <t xml:space="preserve">账龄和逾期</t>
  </si>
  <si>
    <t xml:space="preserve">重算到期日与逾期天数</t>
  </si>
  <si>
    <t xml:space="preserve">重大客户对账</t>
  </si>
  <si>
    <t xml:space="preserve">抽查前十大客户</t>
  </si>
  <si>
    <t xml:space="preserve">第一月</t>
  </si>
  <si>
    <t xml:space="preserve">信用冻结和例外</t>
  </si>
  <si>
    <t xml:space="preserve">检查冻结客户是否仍发货</t>
  </si>
  <si>
    <t xml:space="preserve">ECL和核销</t>
  </si>
  <si>
    <t xml:space="preserve">复核模型、个别评估和审批</t>
  </si>
  <si>
    <t xml:space="preserve">争议和诉讼</t>
  </si>
  <si>
    <t xml:space="preserve">与法务核对完整性</t>
  </si>
  <si>
    <t xml:space="preserve">历史问题边界</t>
  </si>
  <si>
    <t xml:space="preserve">形成基准日问题清单并汇报</t>
  </si>
  <si>
    <t xml:space="preserve">应收风险红旗</t>
  </si>
  <si>
    <t xml:space="preserve">发现后先控制风险，再核实和升级。</t>
  </si>
  <si>
    <t xml:space="preserve">控制</t>
  </si>
  <si>
    <t xml:space="preserve">风险</t>
  </si>
  <si>
    <t xml:space="preserve">控制动作</t>
  </si>
  <si>
    <t xml:space="preserve">客户主数据创建与销售审批分离</t>
  </si>
  <si>
    <t xml:space="preserve">虚构客户或绕过信用</t>
  </si>
  <si>
    <t xml:space="preserve">客户创建人不能审批信用和发货例外</t>
  </si>
  <si>
    <t xml:space="preserve">IT权限清单、审批记录</t>
  </si>
  <si>
    <t xml:space="preserve">信用评估与合同审批分离</t>
  </si>
  <si>
    <t xml:space="preserve">销售为冲业绩放宽账期</t>
  </si>
  <si>
    <t xml:space="preserve">额度和账期超政策需独立审批</t>
  </si>
  <si>
    <t xml:space="preserve">信用审批单</t>
  </si>
  <si>
    <t xml:space="preserve">发货受信用额度控制</t>
  </si>
  <si>
    <t xml:space="preserve">超额、逾期继续发货</t>
  </si>
  <si>
    <t xml:space="preserve">ERP自动冻结，例外有金额和期限</t>
  </si>
  <si>
    <t xml:space="preserve">放货日志</t>
  </si>
  <si>
    <t xml:space="preserve">开票依据完整</t>
  </si>
  <si>
    <t xml:space="preserve">提前或虚假开票</t>
  </si>
  <si>
    <t xml:space="preserve">按发货、验收和合同条件开票</t>
  </si>
  <si>
    <t xml:space="preserve">发票、出库、验收</t>
  </si>
  <si>
    <t xml:space="preserve">收款与核销分离</t>
  </si>
  <si>
    <t xml:space="preserve">挪用或错配回款</t>
  </si>
  <si>
    <t xml:space="preserve">资金确认到账，AR核销，主管复核</t>
  </si>
  <si>
    <t xml:space="preserve">流水和核销日志</t>
  </si>
  <si>
    <t xml:space="preserve">客户对账定期执行</t>
  </si>
  <si>
    <t xml:space="preserve">长期差异被掩盖</t>
  </si>
  <si>
    <t xml:space="preserve">按风险分层对账并跟踪未回函</t>
  </si>
  <si>
    <t xml:space="preserve">对账函及替代证据</t>
  </si>
  <si>
    <t xml:space="preserve">坏账计提与审批分离</t>
  </si>
  <si>
    <t xml:space="preserve">利润操纵</t>
  </si>
  <si>
    <t xml:space="preserve">模型参数、个别评估和审批留痕</t>
  </si>
  <si>
    <t xml:space="preserve">ECL底稿</t>
  </si>
  <si>
    <t xml:space="preserve">坏账核销账销案存</t>
  </si>
  <si>
    <t xml:space="preserve">核销后私收形成账外资金</t>
  </si>
  <si>
    <t xml:space="preserve">核销台账继续追踪，收回应入账</t>
  </si>
  <si>
    <t xml:space="preserve">核销备查簿</t>
  </si>
  <si>
    <t xml:space="preserve">应收Issue与Closure</t>
  </si>
  <si>
    <t xml:space="preserve">Resolved后仍要验证账务、信用状态和业务限制。</t>
  </si>
  <si>
    <t xml:space="preserve">Issue</t>
  </si>
  <si>
    <t xml:space="preserve">问题</t>
  </si>
  <si>
    <t xml:space="preserve">来源</t>
  </si>
  <si>
    <t xml:space="preserve">影响</t>
  </si>
  <si>
    <t xml:space="preserve">Owner</t>
  </si>
  <si>
    <t xml:space="preserve">临时控制</t>
  </si>
  <si>
    <t xml:space="preserve">会计处理</t>
  </si>
  <si>
    <t xml:space="preserve">管理整改</t>
  </si>
  <si>
    <t xml:space="preserve">Closure证据</t>
  </si>
  <si>
    <t xml:space="preserve">ISS-001</t>
  </si>
  <si>
    <t xml:space="preserve">逾期115天且存在验收争议</t>
  </si>
  <si>
    <t xml:space="preserve">月结</t>
  </si>
  <si>
    <t xml:space="preserve">现金、减值和收入</t>
  </si>
  <si>
    <t xml:space="preserve">销售总监</t>
  </si>
  <si>
    <t xml:space="preserve">完成客户验收争议方案</t>
  </si>
  <si>
    <t xml:space="preserve">冻结新增发货</t>
  </si>
  <si>
    <t xml:space="preserve">个别评估ECL</t>
  </si>
  <si>
    <t xml:space="preserve">销售与项目联合关闭</t>
  </si>
  <si>
    <t xml:space="preserve">ISS-002</t>
  </si>
  <si>
    <t xml:space="preserve">超额度且逾期100天</t>
  </si>
  <si>
    <t xml:space="preserve">信用检查</t>
  </si>
  <si>
    <t xml:space="preserve">现金和信用</t>
  </si>
  <si>
    <t xml:space="preserve">渠道总监</t>
  </si>
  <si>
    <t xml:space="preserve">取得回款并重评额度</t>
  </si>
  <si>
    <t xml:space="preserve">冻结发货</t>
  </si>
  <si>
    <t xml:space="preserve">评估ECL</t>
  </si>
  <si>
    <t xml:space="preserve">按回款恢复额度</t>
  </si>
  <si>
    <t xml:space="preserve">财务经理</t>
  </si>
  <si>
    <t xml:space="preserve">ISS-003</t>
  </si>
  <si>
    <t xml:space="preserve">22.6万元回款未认领</t>
  </si>
  <si>
    <t xml:space="preserve">银行对账</t>
  </si>
  <si>
    <t xml:space="preserve">客户账龄和现金预测</t>
  </si>
  <si>
    <t xml:space="preserve">资金主管</t>
  </si>
  <si>
    <t xml:space="preserve">确认付款主体和用途</t>
  </si>
  <si>
    <t xml:space="preserve">暂挂未认领款</t>
  </si>
  <si>
    <t xml:space="preserve">确认后核销</t>
  </si>
  <si>
    <t xml:space="preserve">完善付款附言规则</t>
  </si>
  <si>
    <t xml:space="preserve">In Progress</t>
  </si>
  <si>
    <t xml:space="preserve">ISS-004</t>
  </si>
  <si>
    <t xml:space="preserve">ISS-005</t>
  </si>
  <si>
    <t xml:space="preserve">ISS-006</t>
  </si>
  <si>
    <t xml:space="preserve">ISS-007</t>
  </si>
  <si>
    <t xml:space="preserve">ISS-008</t>
  </si>
  <si>
    <t xml:space="preserve">ISS-009</t>
  </si>
  <si>
    <t xml:space="preserve">ISS-010</t>
  </si>
  <si>
    <t xml:space="preserve">ISS-011</t>
  </si>
  <si>
    <t xml:space="preserve">ISS-012</t>
  </si>
  <si>
    <t xml:space="preserve">ISS-013</t>
  </si>
  <si>
    <t xml:space="preserve">ISS-014</t>
  </si>
  <si>
    <t xml:space="preserve">ISS-015</t>
  </si>
  <si>
    <t xml:space="preserve">ISS-016</t>
  </si>
  <si>
    <t xml:space="preserve">ISS-017</t>
  </si>
  <si>
    <t xml:space="preserve">ISS-018</t>
  </si>
  <si>
    <t xml:space="preserve">ISS-019</t>
  </si>
  <si>
    <t xml:space="preserve">ISS-020</t>
  </si>
  <si>
    <t xml:space="preserve">ISS-021</t>
  </si>
  <si>
    <t xml:space="preserve">ISS-022</t>
  </si>
  <si>
    <t xml:space="preserve">ISS-023</t>
  </si>
  <si>
    <t xml:space="preserve">ISS-024</t>
  </si>
  <si>
    <t xml:space="preserve">ISS-025</t>
  </si>
  <si>
    <t xml:space="preserve">ISS-026</t>
  </si>
  <si>
    <t xml:space="preserve">ISS-027</t>
  </si>
  <si>
    <t xml:space="preserve">ISS-028</t>
  </si>
  <si>
    <t xml:space="preserve">ISS-029</t>
  </si>
  <si>
    <t xml:space="preserve">ISS-030</t>
  </si>
  <si>
    <t xml:space="preserve">ISS-031</t>
  </si>
  <si>
    <t xml:space="preserve">ISS-032</t>
  </si>
  <si>
    <t xml:space="preserve">ISS-033</t>
  </si>
  <si>
    <t xml:space="preserve">ISS-034</t>
  </si>
  <si>
    <t xml:space="preserve">ISS-035</t>
  </si>
  <si>
    <t xml:space="preserve">ISS-036</t>
  </si>
  <si>
    <t xml:space="preserve">ISS-037</t>
  </si>
  <si>
    <t xml:space="preserve">ISS-038</t>
  </si>
  <si>
    <t xml:space="preserve">ISS-039</t>
  </si>
  <si>
    <t xml:space="preserve">ISS-040</t>
  </si>
  <si>
    <t xml:space="preserve">ISS-041</t>
  </si>
  <si>
    <t xml:space="preserve">ISS-042</t>
  </si>
  <si>
    <t xml:space="preserve">ISS-043</t>
  </si>
  <si>
    <t xml:space="preserve">ISS-044</t>
  </si>
  <si>
    <t xml:space="preserve">ISS-045</t>
  </si>
  <si>
    <t xml:space="preserve">ISS-046</t>
  </si>
  <si>
    <t xml:space="preserve">ISS-047</t>
  </si>
  <si>
    <t xml:space="preserve">ISS-048</t>
  </si>
  <si>
    <t xml:space="preserve">ISS-049</t>
  </si>
  <si>
    <t xml:space="preserve">ISS-050</t>
  </si>
  <si>
    <t xml:space="preserve">ISS-051</t>
  </si>
  <si>
    <t xml:space="preserve">ISS-052</t>
  </si>
  <si>
    <t xml:space="preserve">ISS-053</t>
  </si>
  <si>
    <t xml:space="preserve">ISS-054</t>
  </si>
  <si>
    <t xml:space="preserve">ISS-055</t>
  </si>
  <si>
    <t xml:space="preserve">ISS-056</t>
  </si>
  <si>
    <t xml:space="preserve">ISS-057</t>
  </si>
  <si>
    <t xml:space="preserve">ISS-058</t>
  </si>
  <si>
    <t xml:space="preserve">ISS-059</t>
  </si>
  <si>
    <t xml:space="preserve">ISS-060</t>
  </si>
  <si>
    <t xml:space="preserve">岗位责任矩阵</t>
  </si>
  <si>
    <t xml:space="preserve">业务对真实性和催收行动负责，财务对数据、监督和专业判断负责。</t>
  </si>
  <si>
    <t xml:space="preserve">执行</t>
  </si>
  <si>
    <t xml:space="preserve">协同</t>
  </si>
  <si>
    <t xml:space="preserve">批准</t>
  </si>
  <si>
    <t xml:space="preserve">客户准入</t>
  </si>
  <si>
    <t xml:space="preserve">销售</t>
  </si>
  <si>
    <t xml:space="preserve">信用管理/财务</t>
  </si>
  <si>
    <t xml:space="preserve">法务、税务</t>
  </si>
  <si>
    <t xml:space="preserve">销售提供资料</t>
  </si>
  <si>
    <t xml:space="preserve">财务分析</t>
  </si>
  <si>
    <t xml:space="preserve">按权限审批</t>
  </si>
  <si>
    <t xml:space="preserve">合同和账期</t>
  </si>
  <si>
    <t xml:space="preserve">销售/法务</t>
  </si>
  <si>
    <t xml:space="preserve">财务审核财务条款</t>
  </si>
  <si>
    <t xml:space="preserve">税务、交付部门</t>
  </si>
  <si>
    <t xml:space="preserve">授权人</t>
  </si>
  <si>
    <t xml:space="preserve">发货放行</t>
  </si>
  <si>
    <t xml:space="preserve">仓库/销售</t>
  </si>
  <si>
    <t xml:space="preserve">系统按额度校验</t>
  </si>
  <si>
    <t xml:space="preserve">AR/信用管理</t>
  </si>
  <si>
    <t xml:space="preserve">例外审批人</t>
  </si>
  <si>
    <t xml:space="preserve">收入和应收</t>
  </si>
  <si>
    <t xml:space="preserve">总账/AR</t>
  </si>
  <si>
    <t xml:space="preserve">财务主管复核</t>
  </si>
  <si>
    <t xml:space="preserve">销售、项目</t>
  </si>
  <si>
    <t xml:space="preserve">财务经理重大判断</t>
  </si>
  <si>
    <t xml:space="preserve">催收</t>
  </si>
  <si>
    <t xml:space="preserve">销售Owner</t>
  </si>
  <si>
    <t xml:space="preserve">AR提供清单并跟踪</t>
  </si>
  <si>
    <t xml:space="preserve">法务</t>
  </si>
  <si>
    <t xml:space="preserve">销售负责人</t>
  </si>
  <si>
    <t xml:space="preserve">回款认领</t>
  </si>
  <si>
    <t xml:space="preserve">财务主管复核未认领</t>
  </si>
  <si>
    <t xml:space="preserve">财务经理重大异常</t>
  </si>
  <si>
    <t xml:space="preserve">坏账准备</t>
  </si>
  <si>
    <t xml:space="preserve">总账编制</t>
  </si>
  <si>
    <t xml:space="preserve">财务主管复核模型</t>
  </si>
  <si>
    <t xml:space="preserve">销售、法务</t>
  </si>
  <si>
    <t xml:space="preserve">财务经理审批</t>
  </si>
  <si>
    <t xml:space="preserve">坏账核销</t>
  </si>
  <si>
    <t xml:space="preserve">AR/总账发起</t>
  </si>
  <si>
    <t xml:space="preserve">财务主管核查证据</t>
  </si>
  <si>
    <t xml:space="preserve">法务、销售</t>
  </si>
  <si>
    <t xml:space="preserve">客户对账</t>
  </si>
  <si>
    <t xml:space="preserve">销售/AR</t>
  </si>
  <si>
    <t xml:space="preserve">财务主管监督覆盖率</t>
  </si>
  <si>
    <t xml:space="preserve">重大差异升级</t>
  </si>
  <si>
    <t xml:space="preserve">应收管理典型案例</t>
  </si>
  <si>
    <t xml:space="preserve">逐项填写自己的判断和行动方案。</t>
  </si>
  <si>
    <t xml:space="preserve">编号</t>
  </si>
  <si>
    <t xml:space="preserve">场景</t>
  </si>
  <si>
    <t xml:space="preserve">第一步</t>
  </si>
  <si>
    <t xml:space="preserve">沟通对象</t>
  </si>
  <si>
    <t xml:space="preserve">处理方案</t>
  </si>
  <si>
    <t xml:space="preserve">升级条件</t>
  </si>
  <si>
    <t xml:space="preserve">我的回答</t>
  </si>
  <si>
    <t xml:space="preserve">AR-C01</t>
  </si>
  <si>
    <t xml:space="preserve">客户逾期90天，销售要求继续发货</t>
  </si>
  <si>
    <t xml:space="preserve">先冻结自动放货，核对额度、逾期原因、客户偿付能力和新增订单毛利</t>
  </si>
  <si>
    <t xml:space="preserve">销售总监、法务、财务经理</t>
  </si>
  <si>
    <t xml:space="preserve">信用例外审批、明确回款前置条件和失效日期</t>
  </si>
  <si>
    <t xml:space="preserve">重大逾期继续扩大且无审批时升级总经理</t>
  </si>
  <si>
    <t xml:space="preserve">AR-C02</t>
  </si>
  <si>
    <t xml:space="preserve">客户称未验收所以拒付，但销售已确认收入</t>
  </si>
  <si>
    <t xml:space="preserve">取得合同、验收条款、签收、现场记录和客户书面异议</t>
  </si>
  <si>
    <t xml:space="preserve">销售、项目、法务、总账</t>
  </si>
  <si>
    <t xml:space="preserve">区分真实履约争议、收入确认错误和单纯付款拖延</t>
  </si>
  <si>
    <t xml:space="preserve">可能影响收入和报表时立即升级</t>
  </si>
  <si>
    <t xml:space="preserve">AR-C03</t>
  </si>
  <si>
    <t xml:space="preserve">银行收到113万元但摘要不清</t>
  </si>
  <si>
    <t xml:space="preserve">不得凭金额随意核销，先查付款户名、历史回款和客户确认</t>
  </si>
  <si>
    <t xml:space="preserve">资金、AR、销售</t>
  </si>
  <si>
    <t xml:space="preserve">生成高置信度候选，客户或销售书面确认后核销</t>
  </si>
  <si>
    <t xml:space="preserve">长期无法认领列入月结Issue</t>
  </si>
  <si>
    <t xml:space="preserve">AR-C04</t>
  </si>
  <si>
    <t xml:space="preserve">销售要求把逾期原因写成客户走流程</t>
  </si>
  <si>
    <t xml:space="preserve">要求提供客户付款计划、联系人、审批节点和证据</t>
  </si>
  <si>
    <t xml:space="preserve">原因必须具体、可验证并设下次行动日</t>
  </si>
  <si>
    <t xml:space="preserve">连续两期空泛说明升级</t>
  </si>
  <si>
    <t xml:space="preserve">AR-C05</t>
  </si>
  <si>
    <t xml:space="preserve">同一客户在应收和合同负债同时有余额</t>
  </si>
  <si>
    <t xml:space="preserve">按合同、项目、客户法人和抵销条件逐笔核对</t>
  </si>
  <si>
    <t xml:space="preserve">总账、销售、法务</t>
  </si>
  <si>
    <t xml:space="preserve">不能因同一客户就自动净额列示</t>
  </si>
  <si>
    <t xml:space="preserve">重大列报影响升级财务经理</t>
  </si>
  <si>
    <t xml:space="preserve">AR-C06</t>
  </si>
  <si>
    <t xml:space="preserve">客户要求把发票改开给关联公司</t>
  </si>
  <si>
    <t xml:space="preserve">核实合同、实际交易、付款义务及三方安排</t>
  </si>
  <si>
    <t xml:space="preserve">销售、税务、法务</t>
  </si>
  <si>
    <t xml:space="preserve">主体不一致需合法业务安排和完整证据</t>
  </si>
  <si>
    <t xml:space="preserve">拒绝无真实安排的换票要求</t>
  </si>
  <si>
    <t xml:space="preserve">AR-C07</t>
  </si>
  <si>
    <t xml:space="preserve">对账函客户不回</t>
  </si>
  <si>
    <t xml:space="preserve">通过邮件、门户、签收、后续回款和业务确认取得替代证据</t>
  </si>
  <si>
    <t xml:space="preserve">销售、AR</t>
  </si>
  <si>
    <t xml:space="preserve">列明未回函原因和替代证据</t>
  </si>
  <si>
    <t xml:space="preserve">重大长期余额转法务评估</t>
  </si>
  <si>
    <t xml:space="preserve">AR-C08</t>
  </si>
  <si>
    <t xml:space="preserve">销售把回款奖金作为唯一目标</t>
  </si>
  <si>
    <t xml:space="preserve">分析是否诱导提前压货、异常退款或短期行为</t>
  </si>
  <si>
    <t xml:space="preserve">销售管理层、HR</t>
  </si>
  <si>
    <t xml:space="preserve">收入、毛利、回款、逾期和退货联合考核</t>
  </si>
  <si>
    <t xml:space="preserve">政策调整由财务经理推动</t>
  </si>
  <si>
    <t xml:space="preserve">AR-C09</t>
  </si>
  <si>
    <t xml:space="preserve">客户破产但账龄只有60天</t>
  </si>
  <si>
    <t xml:space="preserve">启动个别评估，不机械套用账龄比例</t>
  </si>
  <si>
    <t xml:space="preserve">法务、销售、财务经理</t>
  </si>
  <si>
    <t xml:space="preserve">结合破产信息、担保、受偿顺序和预计现金流计提</t>
  </si>
  <si>
    <t xml:space="preserve">重大减值及时报告管理层</t>
  </si>
  <si>
    <t xml:space="preserve">AR-C10</t>
  </si>
  <si>
    <t xml:space="preserve">以前年度坏账已核销，本期又收回</t>
  </si>
  <si>
    <t xml:space="preserve">核对原核销审批、到账和客户</t>
  </si>
  <si>
    <t xml:space="preserve">AR、总账</t>
  </si>
  <si>
    <t xml:space="preserve">账销案存并按准则进行收回处理</t>
  </si>
  <si>
    <t xml:space="preserve">防止形成账外资金</t>
  </si>
  <si>
    <t xml:space="preserve">AR-C11</t>
  </si>
  <si>
    <t xml:space="preserve">客户以质量问题抵扣货款</t>
  </si>
  <si>
    <t xml:space="preserve">取得质量报告、索赔条款、退换货和双方确认</t>
  </si>
  <si>
    <t xml:space="preserve">质量、销售、法务</t>
  </si>
  <si>
    <t xml:space="preserve">区分折让、退款、赔偿和无依据扣款</t>
  </si>
  <si>
    <t xml:space="preserve">影响收入、税务或产品质量时升级</t>
  </si>
  <si>
    <t xml:space="preserve">AR-C12</t>
  </si>
  <si>
    <t xml:space="preserve">销售人员私下承诺延长账期</t>
  </si>
  <si>
    <t xml:space="preserve">核对权限、邮件、合同变更和客户证据</t>
  </si>
  <si>
    <t xml:space="preserve">销售总监、法务</t>
  </si>
  <si>
    <t xml:space="preserve">未经授权承诺不得自动改变系统信用条件</t>
  </si>
  <si>
    <t xml:space="preserve">评估表见代理及法律风险</t>
  </si>
  <si>
    <t xml:space="preserve">AR-C13</t>
  </si>
  <si>
    <t xml:space="preserve">客户回款被核销到错误发票</t>
  </si>
  <si>
    <t xml:space="preserve">按客户、金额、时间和指定用途复核并更正核销</t>
  </si>
  <si>
    <t xml:space="preserve">保持客户余额和账龄准确</t>
  </si>
  <si>
    <t xml:space="preserve">影响催收或ECL时当月修正</t>
  </si>
  <si>
    <t xml:space="preserve">AR-C14</t>
  </si>
  <si>
    <t xml:space="preserve">月末大量未开票收入形成合同资产</t>
  </si>
  <si>
    <t xml:space="preserve">核对履约、无条件收款权和开票条件</t>
  </si>
  <si>
    <t xml:space="preserve">项目、销售、总账</t>
  </si>
  <si>
    <t xml:space="preserve">合同资产与应收账款不得混淆</t>
  </si>
  <si>
    <t xml:space="preserve">重大判断由财务经理批准</t>
  </si>
  <si>
    <t xml:space="preserve">AR-C15</t>
  </si>
  <si>
    <t xml:space="preserve">老板要求不给长期客户计提坏账</t>
  </si>
  <si>
    <t xml:space="preserve">以预期信用损失证据和敏感性测算说明影响</t>
  </si>
  <si>
    <t xml:space="preserve">财务经理、总经理</t>
  </si>
  <si>
    <t xml:space="preserve">不能因关系好或关联方身份免于评估</t>
  </si>
  <si>
    <t xml:space="preserve">涉及报表失真时书面升级</t>
  </si>
  <si>
    <t xml:space="preserve">准则 法律与内控依据</t>
  </si>
  <si>
    <t xml:space="preserve">区分会计准则、法律、内控指引和企业内部政策。</t>
  </si>
  <si>
    <t xml:space="preserve">名称</t>
  </si>
  <si>
    <t xml:space="preserve">文件号</t>
  </si>
  <si>
    <t xml:space="preserve">关系</t>
  </si>
  <si>
    <t xml:space="preserve">官方网址</t>
  </si>
  <si>
    <t xml:space="preserve">企业会计准则第14号 收入</t>
  </si>
  <si>
    <t xml:space="preserve">财会〔2017〕22号</t>
  </si>
  <si>
    <t xml:space="preserve">收入确认、合同资产与应收款边界</t>
  </si>
  <si>
    <t xml:space="preserve">https://kjs.mof.gov.cn/zt/kjzzss/kuaijizhunzeshishi/201709/t20170907_2694006.htm</t>
  </si>
  <si>
    <t xml:space="preserve">企业会计准则第22号 金融工具确认和计量</t>
  </si>
  <si>
    <t xml:space="preserve">财会〔2017〕7号</t>
  </si>
  <si>
    <t xml:space="preserve">预期信用损失、减值计量</t>
  </si>
  <si>
    <t xml:space="preserve">https://www.mof.gov.cn/zcsjtsgb/gfxwj/201703/t20170331_3583504.htm</t>
  </si>
  <si>
    <t xml:space="preserve">关于严格执行企业会计准则切实做好企业2025年年报工作的通知</t>
  </si>
  <si>
    <t xml:space="preserve">财政部会计司 2025年通知</t>
  </si>
  <si>
    <t xml:space="preserve">不得无依据少提应收款项预期信用损失</t>
  </si>
  <si>
    <t xml:space="preserve">https://kjs.mof.gov.cn/gongzuotongzhi/202512/t20251224_3980024.htm</t>
  </si>
  <si>
    <t xml:space="preserve">企业内部控制应用指引第9号 销售业务</t>
  </si>
  <si>
    <t xml:space="preserve">财会〔2010〕11号配套指引</t>
  </si>
  <si>
    <t xml:space="preserve">信用、发货、收款、对账、坏账和职责分离</t>
  </si>
  <si>
    <t xml:space="preserve">https://www.mof.gov.cn/gp/xxgkml/hjs/201005/P020100518351827137241.pdf</t>
  </si>
  <si>
    <t xml:space="preserve">中华人民共和国民法典</t>
  </si>
  <si>
    <t xml:space="preserve">主席令第四十五号</t>
  </si>
  <si>
    <t xml:space="preserve">一般诉讼时效、时效中断等</t>
  </si>
  <si>
    <t xml:space="preserve">https://www.cac.gov.cn/2020-06/01/c_1592561777268319.htm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</si>
</sst>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¥#,##0"/>
    <numFmt numFmtId="166" formatCode="0.0%"/>
    <numFmt numFmtId="167" formatCode="yyyy\-mm\-dd"/>
  </numFmts>
  <fonts count="9">
    <font>
      <sz val="10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name val="Calibri"/>
      <family val="0"/>
      <charset val="1"/>
    </font>
    <font>
      <b val="true"/>
      <sz val="16"/>
      <color rgb="FF000000"/>
      <name val="Microsoft YaHei"/>
      <family val="0"/>
      <charset val="1"/>
    </font>
    <font>
      <i val="true"/>
      <sz val="9"/>
      <color rgb="FF666666"/>
      <name val="Microsoft YaHei"/>
      <family val="0"/>
      <charset val="1"/>
    </font>
    <font>
      <b val="true"/>
      <sz val="8"/>
      <color rgb="FFFFFFFF"/>
      <name val="Microsoft YaHei"/>
      <family val="0"/>
      <charset val="1"/>
    </font>
    <font>
      <sz val="8"/>
      <name val="Microsoft YaHe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FFF2CC"/>
        <bgColor rgb="FFFCE4D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0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3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8" fillId="0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8" fillId="3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3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5">
    <dxf>
      <fill>
        <patternFill patternType="solid">
          <fgColor rgb="FF17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ont>
        <b val="1"/>
        <color rgb="FFC00000"/>
      </font>
      <fill>
        <patternFill>
          <bgColor rgb="FFFCE4D6"/>
        </patternFill>
      </fill>
    </dxf>
    <dxf>
      <font>
        <b val="1"/>
        <color rgb="FF548235"/>
      </font>
      <fill>
        <patternFill>
          <bgColor rgb="FFE2F0D9"/>
        </patternFill>
      </fill>
    </dxf>
    <dxf>
      <font>
        <b val="1"/>
        <color rgb="FFC00000"/>
      </font>
      <fill>
        <patternFill>
          <bgColor rgb="FFFCE4D6"/>
        </patternFill>
      </fill>
    </dxf>
    <dxf>
      <font>
        <b val="1"/>
        <color rgb="FF548235"/>
      </font>
      <fill>
        <patternFill>
          <bgColor rgb="FFE2F0D9"/>
        </patternFill>
      </fill>
    </dxf>
    <dxf>
      <font>
        <b val="1"/>
        <color rgb="FFC00000"/>
      </font>
      <fill>
        <patternFill>
          <bgColor rgb="FFFCE4D6"/>
        </patternFill>
      </fill>
    </dxf>
    <dxf>
      <font>
        <b val="1"/>
        <color rgb="FF548235"/>
      </font>
      <fill>
        <patternFill>
          <bgColor rgb="FFE2F0D9"/>
        </patternFill>
      </fill>
    </dxf>
    <dxf>
      <font>
        <b val="1"/>
        <color rgb="FFC00000"/>
      </font>
      <fill>
        <patternFill>
          <bgColor rgb="FFFCE4D6"/>
        </patternFill>
      </fill>
    </dxf>
    <dxf>
      <font>
        <b val="1"/>
        <color rgb="FF548235"/>
      </font>
      <fill>
        <patternFill>
          <bgColor rgb="FFE2F0D9"/>
        </patternFill>
      </fill>
    </dxf>
    <dxf>
      <font>
        <b val="1"/>
        <color rgb="FFC00000"/>
      </font>
      <fill>
        <patternFill>
          <bgColor rgb="FFFCE4D6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RDetail" displayName="ARDetail" ref="A5:R20" headerRowCount="1" totalsRowCount="0" totalsRowShown="0">
  <tableColumns count="18">
    <tableColumn id="1" name="应收ID"/>
    <tableColumn id="2" name="客户编码"/>
    <tableColumn id="3" name="客户名称"/>
    <tableColumn id="4" name="开票日"/>
    <tableColumn id="5" name="到期日"/>
    <tableColumn id="6" name="订单"/>
    <tableColumn id="7" name="发票"/>
    <tableColumn id="8" name="原值"/>
    <tableColumn id="9" name="已收"/>
    <tableColumn id="10" name="余额"/>
    <tableColumn id="11" name="业务状态"/>
    <tableColumn id="12" name="来源部门"/>
    <tableColumn id="13" name="信用等级"/>
    <tableColumn id="14" name="逾期天数"/>
    <tableColumn id="15" name="账龄段"/>
    <tableColumn id="16" name="到期状态"/>
    <tableColumn id="17" name="争议"/>
    <tableColumn id="18" name="责任销售"/>
  </tableColumns>
</table>
</file>

<file path=xl/tables/table2.xml><?xml version="1.0" encoding="utf-8"?>
<table xmlns="http://schemas.openxmlformats.org/spreadsheetml/2006/main" id="2" name="Cases" displayName="Cases" ref="A5:G20" headerRowCount="1" totalsRowCount="0" totalsRowShown="0">
  <tableColumns count="7">
    <tableColumn id="1" name="编号"/>
    <tableColumn id="2" name="场景"/>
    <tableColumn id="3" name="第一步"/>
    <tableColumn id="4" name="沟通对象"/>
    <tableColumn id="5" name="处理方案"/>
    <tableColumn id="6" name="升级条件"/>
    <tableColumn id="7" name="我的回答"/>
  </tableColumns>
</table>
</file>

<file path=xl/tables/table3.xml><?xml version="1.0" encoding="utf-8"?>
<table xmlns="http://schemas.openxmlformats.org/spreadsheetml/2006/main" id="3" name="Collection" displayName="Collection" ref="A5:M20" headerRowCount="1" totalsRowCount="0" totalsRowShown="0">
  <tableColumns count="13">
    <tableColumn id="1" name="应收ID"/>
    <tableColumn id="2" name="客户编码"/>
    <tableColumn id="3" name="客户"/>
    <tableColumn id="4" name="余额"/>
    <tableColumn id="5" name="逾期天数"/>
    <tableColumn id="6" name="当前状态"/>
    <tableColumn id="7" name="逾期原因"/>
    <tableColumn id="8" name="客户联系人"/>
    <tableColumn id="9" name="承诺金额"/>
    <tableColumn id="10" name="责任销售"/>
    <tableColumn id="11" name="下一步行动"/>
    <tableColumn id="12" name="下次日期"/>
    <tableColumn id="13" name="状态"/>
  </tableColumns>
</table>
</file>

<file path=xl/tables/table4.xml><?xml version="1.0" encoding="utf-8"?>
<table xmlns="http://schemas.openxmlformats.org/spreadsheetml/2006/main" id="4" name="CreditApproval" displayName="CreditApproval" ref="A5:L45" headerRowCount="1" totalsRowCount="0" totalsRowShown="0">
  <tableColumns count="12">
    <tableColumn id="1" name="申请号"/>
    <tableColumn id="2" name="客户"/>
    <tableColumn id="3" name="申请类型"/>
    <tableColumn id="4" name="现有等级"/>
    <tableColumn id="5" name="现有额度"/>
    <tableColumn id="6" name="申请额度"/>
    <tableColumn id="7" name="现有逾期"/>
    <tableColumn id="8" name="新增订单"/>
    <tableColumn id="9" name="担保/预付"/>
    <tableColumn id="10" name="风险分析"/>
    <tableColumn id="11" name="失效日"/>
    <tableColumn id="12" name="状态"/>
  </tableColumns>
</table>
</file>

<file path=xl/tables/table5.xml><?xml version="1.0" encoding="utf-8"?>
<table xmlns="http://schemas.openxmlformats.org/spreadsheetml/2006/main" id="5" name="Customers" displayName="Customers" ref="A5:J17" headerRowCount="1" totalsRowCount="0" totalsRowShown="0">
  <tableColumns count="10">
    <tableColumn id="1" name="客户编码"/>
    <tableColumn id="2" name="客户名称"/>
    <tableColumn id="3" name="客户类型"/>
    <tableColumn id="4" name="信用等级"/>
    <tableColumn id="5" name="信用额度"/>
    <tableColumn id="6" name="账期天数"/>
    <tableColumn id="7" name="责任销售"/>
    <tableColumn id="8" name="区域"/>
    <tableColumn id="9" name="信用状态"/>
    <tableColumn id="10" name="说明"/>
  </tableColumns>
</table>
</file>

<file path=xl/tables/table6.xml><?xml version="1.0" encoding="utf-8"?>
<table xmlns="http://schemas.openxmlformats.org/spreadsheetml/2006/main" id="6" name="Disputes" displayName="Disputes" ref="A5:M45" headerRowCount="1" totalsRowCount="0" totalsRowShown="0">
  <tableColumns count="13">
    <tableColumn id="1" name="争议ID"/>
    <tableColumn id="2" name="客户"/>
    <tableColumn id="3" name="应收ID"/>
    <tableColumn id="4" name="类型"/>
    <tableColumn id="5" name="金额"/>
    <tableColumn id="6" name="客户主张"/>
    <tableColumn id="7" name="公司判断"/>
    <tableColumn id="8" name="责任部门"/>
    <tableColumn id="9" name="下一步"/>
    <tableColumn id="10" name="截止日"/>
    <tableColumn id="11" name="状态"/>
    <tableColumn id="12" name="会计影响"/>
    <tableColumn id="13" name="证据路径"/>
  </tableColumns>
</table>
</file>

<file path=xl/tables/table7.xml><?xml version="1.0" encoding="utf-8"?>
<table xmlns="http://schemas.openxmlformats.org/spreadsheetml/2006/main" id="7" name="ECL" displayName="ECL" ref="A5:L20" headerRowCount="1" totalsRowCount="0" totalsRowShown="0">
  <tableColumns count="12">
    <tableColumn id="1" name="应收ID"/>
    <tableColumn id="2" name="客户"/>
    <tableColumn id="3" name="余额"/>
    <tableColumn id="4" name="逾期天数"/>
    <tableColumn id="5" name="账龄"/>
    <tableColumn id="6" name="个别评估"/>
    <tableColumn id="7" name="争议"/>
    <tableColumn id="8" name="损失率"/>
    <tableColumn id="9" name="组合ECL"/>
    <tableColumn id="10" name="最终ECL"/>
    <tableColumn id="11" name="判断依据"/>
    <tableColumn id="12" name="状态"/>
  </tableColumns>
</table>
</file>

<file path=xl/tables/table8.xml><?xml version="1.0" encoding="utf-8"?>
<table xmlns="http://schemas.openxmlformats.org/spreadsheetml/2006/main" id="8" name="Issues" displayName="Issues" ref="A5:O65" headerRowCount="1" totalsRowCount="0" totalsRowShown="0">
  <tableColumns count="15">
    <tableColumn id="1" name="Issue"/>
    <tableColumn id="2" name="客户"/>
    <tableColumn id="3" name="问题"/>
    <tableColumn id="4" name="来源"/>
    <tableColumn id="5" name="金额"/>
    <tableColumn id="6" name="影响"/>
    <tableColumn id="7" name="Owner"/>
    <tableColumn id="8" name="下一步"/>
    <tableColumn id="9" name="截止日"/>
    <tableColumn id="10" name="临时控制"/>
    <tableColumn id="11" name="会计处理"/>
    <tableColumn id="12" name="管理整改"/>
    <tableColumn id="13" name="复核人"/>
    <tableColumn id="14" name="状态"/>
    <tableColumn id="15" name="Closure证据"/>
  </tableColumns>
</table>
</file>

<file path=xl/tables/table9.xml><?xml version="1.0" encoding="utf-8"?>
<table xmlns="http://schemas.openxmlformats.org/spreadsheetml/2006/main" id="9" name="Metrics" displayName="Metrics" ref="A5:E15" headerRowCount="1" totalsRowCount="0" totalsRowShown="0">
  <tableColumns count="5">
    <tableColumn id="1" name="指标"/>
    <tableColumn id="2" name="定义"/>
    <tableColumn id="3" name="管理意义"/>
    <tableColumn id="4" name="恶化原因"/>
    <tableColumn id="5" name="下钻方向"/>
  </tableColumns>
</table>
</file>

<file path=xl/tables/table10.xml><?xml version="1.0" encoding="utf-8"?>
<table xmlns="http://schemas.openxmlformats.org/spreadsheetml/2006/main" id="10" name="MonthEnd" displayName="MonthEnd" ref="A5:H17" headerRowCount="1" totalsRowCount="0" totalsRowShown="0">
  <tableColumns count="8">
    <tableColumn id="1" name="明确动作"/>
    <tableColumn id="2" name="责任人"/>
    <tableColumn id="3" name="期限"/>
    <tableColumn id="4" name="证据"/>
    <tableColumn id="5" name="关闭标准"/>
    <tableColumn id="6" name="完成状态"/>
    <tableColumn id="7" name="复核人"/>
    <tableColumn id="8" name="复核日"/>
  </tableColumns>
</table>
</file>

<file path=xl/tables/table11.xml><?xml version="1.0" encoding="utf-8"?>
<table xmlns="http://schemas.openxmlformats.org/spreadsheetml/2006/main" id="11" name="RACI" displayName="RACI" ref="A5:E15" headerRowCount="1" totalsRowCount="0" totalsRowShown="0">
  <tableColumns count="5">
    <tableColumn id="1" name="事项"/>
    <tableColumn id="2" name="执行"/>
    <tableColumn id="3" name="财务主管"/>
    <tableColumn id="4" name="协同"/>
    <tableColumn id="5" name="批准"/>
  </tableColumns>
</table>
</file>

<file path=xl/tables/table12.xml><?xml version="1.0" encoding="utf-8"?>
<table xmlns="http://schemas.openxmlformats.org/spreadsheetml/2006/main" id="12" name="Receipts" displayName="Receipts" ref="A5:J65" headerRowCount="1" totalsRowCount="0" totalsRowShown="0">
  <tableColumns count="10">
    <tableColumn id="1" name="流水ID"/>
    <tableColumn id="2" name="到账日"/>
    <tableColumn id="3" name="付款户名"/>
    <tableColumn id="4" name="金额"/>
    <tableColumn id="5" name="摘要/订单"/>
    <tableColumn id="6" name="客户编码"/>
    <tableColumn id="7" name="应收ID"/>
    <tableColumn id="8" name="认领状态"/>
    <tableColumn id="9" name="匹配依据"/>
    <tableColumn id="10" name="责任人"/>
  </tableColumns>
</table>
</file>

<file path=xl/tables/table13.xml><?xml version="1.0" encoding="utf-8"?>
<table xmlns="http://schemas.openxmlformats.org/spreadsheetml/2006/main" id="13" name="RedFlags" displayName="RedFlags" ref="A5:D13" headerRowCount="1" totalsRowCount="0" totalsRowShown="0">
  <tableColumns count="4">
    <tableColumn id="1" name="控制"/>
    <tableColumn id="2" name="风险"/>
    <tableColumn id="3" name="控制动作"/>
    <tableColumn id="4" name="证据"/>
  </tableColumns>
</table>
</file>

<file path=xl/tables/table14.xml><?xml version="1.0" encoding="utf-8"?>
<table xmlns="http://schemas.openxmlformats.org/spreadsheetml/2006/main" id="14" name="Sources" displayName="Sources" ref="A5:D10" headerRowCount="1" totalsRowCount="0" totalsRowShown="0">
  <tableColumns count="4">
    <tableColumn id="1" name="名称"/>
    <tableColumn id="2" name="文件号"/>
    <tableColumn id="3" name="关系"/>
    <tableColumn id="4" name="官方网址"/>
  </tableColumns>
</table>
</file>

<file path=xl/tables/table15.xml><?xml version="1.0" encoding="utf-8"?>
<table xmlns="http://schemas.openxmlformats.org/spreadsheetml/2006/main" id="15" name="Takeover" displayName="Takeover" ref="A5:E13" headerRowCount="1" totalsRowCount="0" totalsRowShown="0">
  <tableColumns count="5">
    <tableColumn id="1" name="阶段"/>
    <tableColumn id="2" name="事项"/>
    <tableColumn id="3" name="检查动作"/>
    <tableColumn id="4" name="发现/证据"/>
    <tableColumn id="5" name="状态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5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13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table" Target="../tables/table1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8"/>
    <col collapsed="false" customWidth="true" hidden="false" outlineLevel="0" max="4" min="4" style="0" width="4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5" customFormat="false" ht="34" hidden="false" customHeight="true" outlineLevel="0" collapsed="false">
      <c r="A5" s="3" t="s">
        <v>2</v>
      </c>
      <c r="B5" s="3" t="s">
        <v>3</v>
      </c>
      <c r="C5" s="3" t="s">
        <v>4</v>
      </c>
      <c r="D5" s="3" t="s">
        <v>5</v>
      </c>
    </row>
    <row r="6" customFormat="false" ht="15" hidden="false" customHeight="false" outlineLevel="0" collapsed="false">
      <c r="A6" s="4" t="s">
        <v>6</v>
      </c>
      <c r="B6" s="5" t="n">
        <f aca="false">SUM('02-应收明细'!J6:J20)</f>
        <v>23617000</v>
      </c>
      <c r="C6" s="4" t="s">
        <v>7</v>
      </c>
      <c r="D6" s="4" t="s">
        <v>8</v>
      </c>
    </row>
    <row r="7" customFormat="false" ht="15" hidden="false" customHeight="false" outlineLevel="0" collapsed="false">
      <c r="A7" s="4" t="s">
        <v>9</v>
      </c>
      <c r="B7" s="5" t="n">
        <f aca="false">SUMIF('02-应收明细'!P6:P20,"逾期",'02-应收明细'!J6:J20)</f>
        <v>10509000</v>
      </c>
      <c r="C7" s="4" t="s">
        <v>10</v>
      </c>
      <c r="D7" s="4" t="s">
        <v>11</v>
      </c>
    </row>
    <row r="8" customFormat="false" ht="15" hidden="false" customHeight="false" outlineLevel="0" collapsed="false">
      <c r="A8" s="4" t="s">
        <v>12</v>
      </c>
      <c r="B8" s="6" t="n">
        <f aca="false">IF(B6=0,0,B7/B6)</f>
        <v>0.444976076555024</v>
      </c>
      <c r="C8" s="4" t="n">
        <v>0.15</v>
      </c>
      <c r="D8" s="4" t="s">
        <v>13</v>
      </c>
    </row>
    <row r="9" customFormat="false" ht="15" hidden="false" customHeight="false" outlineLevel="0" collapsed="false">
      <c r="A9" s="4" t="s">
        <v>14</v>
      </c>
      <c r="B9" s="5" t="n">
        <f aca="false">SUMIF('02-应收明细'!N6:N20,"&gt;90",'02-应收明细'!J6:J20)</f>
        <v>3277000</v>
      </c>
      <c r="C9" s="4" t="s">
        <v>10</v>
      </c>
      <c r="D9" s="4" t="s">
        <v>15</v>
      </c>
    </row>
    <row r="10" customFormat="false" ht="15" hidden="false" customHeight="false" outlineLevel="0" collapsed="false">
      <c r="A10" s="4" t="s">
        <v>16</v>
      </c>
      <c r="B10" s="6" t="n">
        <f aca="false">IF(B6=0,0,B9/B6)</f>
        <v>0.138755980861244</v>
      </c>
      <c r="C10" s="4" t="n">
        <v>0.08</v>
      </c>
      <c r="D10" s="4" t="s">
        <v>17</v>
      </c>
    </row>
    <row r="11" customFormat="false" ht="15" hidden="false" customHeight="false" outlineLevel="0" collapsed="false">
      <c r="A11" s="4" t="s">
        <v>18</v>
      </c>
      <c r="B11" s="5" t="n">
        <f aca="false">SUMIF('02-应收明细'!Q6:Q20,"是",'02-应收明细'!J6:J20)</f>
        <v>1695000</v>
      </c>
      <c r="C11" s="4" t="s">
        <v>10</v>
      </c>
      <c r="D11" s="4" t="s">
        <v>19</v>
      </c>
    </row>
    <row r="12" customFormat="false" ht="15" hidden="false" customHeight="false" outlineLevel="0" collapsed="false">
      <c r="A12" s="4" t="s">
        <v>20</v>
      </c>
      <c r="B12" s="5" t="n">
        <f aca="false">COUNTIF('01-客户信用'!I6:I17,"冻结")</f>
        <v>2</v>
      </c>
      <c r="C12" s="4" t="n">
        <v>0</v>
      </c>
      <c r="D12" s="4" t="s">
        <v>21</v>
      </c>
    </row>
    <row r="13" customFormat="false" ht="15" hidden="false" customHeight="false" outlineLevel="0" collapsed="false">
      <c r="A13" s="4" t="s">
        <v>22</v>
      </c>
      <c r="B13" s="5" t="n">
        <f aca="false">SUMIF('05-回款认领'!H6:H65,"未认领",'05-回款认领'!D6:D65)</f>
        <v>226000</v>
      </c>
      <c r="C13" s="4" t="n">
        <v>0</v>
      </c>
      <c r="D13" s="4" t="s">
        <v>23</v>
      </c>
    </row>
    <row r="14" customFormat="false" ht="15" hidden="false" customHeight="false" outlineLevel="0" collapsed="false">
      <c r="A14" s="4" t="s">
        <v>24</v>
      </c>
      <c r="B14" s="5" t="n">
        <f aca="false">SUM('07-ECL测算'!J6:J20)</f>
        <v>1655450</v>
      </c>
      <c r="C14" s="4" t="s">
        <v>25</v>
      </c>
      <c r="D14" s="4" t="s">
        <v>26</v>
      </c>
    </row>
    <row r="15" customFormat="false" ht="15" hidden="false" customHeight="false" outlineLevel="0" collapsed="false">
      <c r="A15" s="4" t="s">
        <v>27</v>
      </c>
      <c r="B15" s="4" t="n">
        <f aca="false">COUNTIF('12-Issue Log'!N6:N65,"Open")</f>
        <v>2</v>
      </c>
      <c r="C15" s="4" t="n">
        <v>0</v>
      </c>
      <c r="D15" s="4" t="s">
        <v>28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8" min="7" style="0" width="14"/>
    <col collapsed="false" customWidth="true" hidden="false" outlineLevel="0" max="9" min="9" style="0" width="13"/>
    <col collapsed="false" customWidth="true" hidden="false" outlineLevel="0" max="10" min="10" style="0" width="38"/>
  </cols>
  <sheetData>
    <row r="1" customFormat="false" ht="30" hidden="false" customHeight="true" outlineLevel="0" collapsed="false">
      <c r="A1" s="1" t="s">
        <v>29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8" hidden="false" customHeight="true" outlineLevel="0" collapsed="false">
      <c r="A2" s="2" t="s">
        <v>30</v>
      </c>
      <c r="B2" s="2"/>
      <c r="C2" s="2"/>
      <c r="D2" s="2"/>
      <c r="E2" s="2"/>
      <c r="F2" s="2"/>
      <c r="G2" s="2"/>
      <c r="H2" s="2"/>
      <c r="I2" s="2"/>
      <c r="J2" s="2"/>
    </row>
    <row r="5" customFormat="false" ht="34" hidden="false" customHeight="true" outlineLevel="0" collapsed="false">
      <c r="A5" s="3" t="s">
        <v>31</v>
      </c>
      <c r="B5" s="3" t="s">
        <v>32</v>
      </c>
      <c r="C5" s="3" t="s">
        <v>33</v>
      </c>
      <c r="D5" s="3" t="s">
        <v>34</v>
      </c>
      <c r="E5" s="3" t="s">
        <v>35</v>
      </c>
      <c r="F5" s="3" t="s">
        <v>36</v>
      </c>
      <c r="G5" s="3" t="s">
        <v>37</v>
      </c>
      <c r="H5" s="3" t="s">
        <v>38</v>
      </c>
      <c r="I5" s="3" t="s">
        <v>39</v>
      </c>
      <c r="J5" s="3" t="s">
        <v>40</v>
      </c>
    </row>
    <row r="6" customFormat="false" ht="15" hidden="false" customHeight="false" outlineLevel="0" collapsed="false">
      <c r="A6" s="4" t="s">
        <v>41</v>
      </c>
      <c r="B6" s="4" t="s">
        <v>42</v>
      </c>
      <c r="C6" s="4" t="s">
        <v>43</v>
      </c>
      <c r="D6" s="4" t="s">
        <v>44</v>
      </c>
      <c r="E6" s="7" t="n">
        <v>5000000</v>
      </c>
      <c r="F6" s="8" t="n">
        <v>60</v>
      </c>
      <c r="G6" s="4" t="s">
        <v>45</v>
      </c>
      <c r="H6" s="4" t="s">
        <v>46</v>
      </c>
      <c r="I6" s="8" t="s">
        <v>47</v>
      </c>
      <c r="J6" s="8" t="s">
        <v>48</v>
      </c>
    </row>
    <row r="7" customFormat="false" ht="15" hidden="false" customHeight="false" outlineLevel="0" collapsed="false">
      <c r="A7" s="4" t="s">
        <v>49</v>
      </c>
      <c r="B7" s="4" t="s">
        <v>50</v>
      </c>
      <c r="C7" s="4" t="s">
        <v>51</v>
      </c>
      <c r="D7" s="4" t="s">
        <v>52</v>
      </c>
      <c r="E7" s="7" t="n">
        <v>3000000</v>
      </c>
      <c r="F7" s="8" t="n">
        <v>60</v>
      </c>
      <c r="G7" s="4" t="s">
        <v>53</v>
      </c>
      <c r="H7" s="4" t="s">
        <v>54</v>
      </c>
      <c r="I7" s="8" t="s">
        <v>55</v>
      </c>
      <c r="J7" s="8" t="s">
        <v>56</v>
      </c>
    </row>
    <row r="8" customFormat="false" ht="15" hidden="false" customHeight="false" outlineLevel="0" collapsed="false">
      <c r="A8" s="4" t="s">
        <v>57</v>
      </c>
      <c r="B8" s="4" t="s">
        <v>58</v>
      </c>
      <c r="C8" s="4" t="s">
        <v>51</v>
      </c>
      <c r="D8" s="4" t="s">
        <v>59</v>
      </c>
      <c r="E8" s="7" t="n">
        <v>1500000</v>
      </c>
      <c r="F8" s="8" t="n">
        <v>45</v>
      </c>
      <c r="G8" s="4" t="s">
        <v>60</v>
      </c>
      <c r="H8" s="4" t="s">
        <v>61</v>
      </c>
      <c r="I8" s="8" t="s">
        <v>62</v>
      </c>
      <c r="J8" s="8" t="s">
        <v>63</v>
      </c>
    </row>
    <row r="9" customFormat="false" ht="15" hidden="false" customHeight="false" outlineLevel="0" collapsed="false">
      <c r="A9" s="4" t="s">
        <v>64</v>
      </c>
      <c r="B9" s="4" t="s">
        <v>65</v>
      </c>
      <c r="C9" s="4" t="s">
        <v>43</v>
      </c>
      <c r="D9" s="4" t="s">
        <v>44</v>
      </c>
      <c r="E9" s="7" t="n">
        <v>4000000</v>
      </c>
      <c r="F9" s="8" t="n">
        <v>90</v>
      </c>
      <c r="G9" s="4" t="s">
        <v>66</v>
      </c>
      <c r="H9" s="4" t="s">
        <v>67</v>
      </c>
      <c r="I9" s="8" t="s">
        <v>47</v>
      </c>
      <c r="J9" s="8" t="s">
        <v>68</v>
      </c>
    </row>
    <row r="10" customFormat="false" ht="15" hidden="false" customHeight="false" outlineLevel="0" collapsed="false">
      <c r="A10" s="4" t="s">
        <v>69</v>
      </c>
      <c r="B10" s="4" t="s">
        <v>70</v>
      </c>
      <c r="C10" s="4" t="s">
        <v>71</v>
      </c>
      <c r="D10" s="4" t="s">
        <v>59</v>
      </c>
      <c r="E10" s="7" t="n">
        <v>500000</v>
      </c>
      <c r="F10" s="8" t="n">
        <v>30</v>
      </c>
      <c r="G10" s="4" t="s">
        <v>72</v>
      </c>
      <c r="H10" s="4" t="s">
        <v>46</v>
      </c>
      <c r="I10" s="8" t="s">
        <v>55</v>
      </c>
      <c r="J10" s="8" t="s">
        <v>73</v>
      </c>
    </row>
    <row r="11" customFormat="false" ht="15" hidden="false" customHeight="false" outlineLevel="0" collapsed="false">
      <c r="A11" s="4" t="s">
        <v>74</v>
      </c>
      <c r="B11" s="4" t="s">
        <v>75</v>
      </c>
      <c r="C11" s="4" t="s">
        <v>76</v>
      </c>
      <c r="D11" s="4" t="s">
        <v>52</v>
      </c>
      <c r="E11" s="7" t="n">
        <v>2000000</v>
      </c>
      <c r="F11" s="8" t="n">
        <v>45</v>
      </c>
      <c r="G11" s="4" t="s">
        <v>77</v>
      </c>
      <c r="H11" s="4" t="s">
        <v>78</v>
      </c>
      <c r="I11" s="8" t="s">
        <v>47</v>
      </c>
      <c r="J11" s="8" t="s">
        <v>79</v>
      </c>
    </row>
    <row r="12" customFormat="false" ht="15" hidden="false" customHeight="false" outlineLevel="0" collapsed="false">
      <c r="A12" s="4" t="s">
        <v>80</v>
      </c>
      <c r="B12" s="4" t="s">
        <v>81</v>
      </c>
      <c r="C12" s="4" t="s">
        <v>51</v>
      </c>
      <c r="D12" s="4" t="s">
        <v>52</v>
      </c>
      <c r="E12" s="7" t="n">
        <v>1800000</v>
      </c>
      <c r="F12" s="8" t="n">
        <v>60</v>
      </c>
      <c r="G12" s="4" t="s">
        <v>82</v>
      </c>
      <c r="H12" s="4" t="s">
        <v>83</v>
      </c>
      <c r="I12" s="8" t="s">
        <v>47</v>
      </c>
      <c r="J12" s="8"/>
    </row>
    <row r="13" customFormat="false" ht="15" hidden="false" customHeight="false" outlineLevel="0" collapsed="false">
      <c r="A13" s="4" t="s">
        <v>84</v>
      </c>
      <c r="B13" s="4" t="s">
        <v>85</v>
      </c>
      <c r="C13" s="4" t="s">
        <v>51</v>
      </c>
      <c r="D13" s="4" t="s">
        <v>52</v>
      </c>
      <c r="E13" s="7" t="n">
        <v>1200000</v>
      </c>
      <c r="F13" s="8" t="n">
        <v>45</v>
      </c>
      <c r="G13" s="4" t="s">
        <v>86</v>
      </c>
      <c r="H13" s="4" t="s">
        <v>54</v>
      </c>
      <c r="I13" s="8" t="s">
        <v>55</v>
      </c>
      <c r="J13" s="8" t="s">
        <v>87</v>
      </c>
    </row>
    <row r="14" customFormat="false" ht="15" hidden="false" customHeight="false" outlineLevel="0" collapsed="false">
      <c r="A14" s="4" t="s">
        <v>88</v>
      </c>
      <c r="B14" s="4" t="s">
        <v>89</v>
      </c>
      <c r="C14" s="4" t="s">
        <v>90</v>
      </c>
      <c r="D14" s="4" t="s">
        <v>44</v>
      </c>
      <c r="E14" s="7" t="n">
        <v>6000000</v>
      </c>
      <c r="F14" s="8" t="n">
        <v>120</v>
      </c>
      <c r="G14" s="4" t="s">
        <v>91</v>
      </c>
      <c r="H14" s="4" t="s">
        <v>92</v>
      </c>
      <c r="I14" s="8" t="s">
        <v>47</v>
      </c>
      <c r="J14" s="8" t="s">
        <v>93</v>
      </c>
    </row>
    <row r="15" customFormat="false" ht="15" hidden="false" customHeight="false" outlineLevel="0" collapsed="false">
      <c r="A15" s="4" t="s">
        <v>94</v>
      </c>
      <c r="B15" s="4" t="s">
        <v>95</v>
      </c>
      <c r="C15" s="4" t="s">
        <v>96</v>
      </c>
      <c r="D15" s="4" t="s">
        <v>59</v>
      </c>
      <c r="E15" s="7" t="n">
        <v>800000</v>
      </c>
      <c r="F15" s="8" t="n">
        <v>30</v>
      </c>
      <c r="G15" s="4" t="s">
        <v>97</v>
      </c>
      <c r="H15" s="4" t="s">
        <v>98</v>
      </c>
      <c r="I15" s="8" t="s">
        <v>62</v>
      </c>
      <c r="J15" s="8" t="s">
        <v>99</v>
      </c>
    </row>
    <row r="16" customFormat="false" ht="15" hidden="false" customHeight="false" outlineLevel="0" collapsed="false">
      <c r="A16" s="4" t="s">
        <v>100</v>
      </c>
      <c r="B16" s="4" t="s">
        <v>101</v>
      </c>
      <c r="C16" s="4" t="s">
        <v>51</v>
      </c>
      <c r="D16" s="4" t="s">
        <v>52</v>
      </c>
      <c r="E16" s="7" t="n">
        <v>1500000</v>
      </c>
      <c r="F16" s="8" t="n">
        <v>60</v>
      </c>
      <c r="G16" s="4" t="s">
        <v>53</v>
      </c>
      <c r="H16" s="4" t="s">
        <v>54</v>
      </c>
      <c r="I16" s="8" t="s">
        <v>47</v>
      </c>
      <c r="J16" s="8"/>
    </row>
    <row r="17" customFormat="false" ht="15" hidden="false" customHeight="false" outlineLevel="0" collapsed="false">
      <c r="A17" s="4" t="s">
        <v>102</v>
      </c>
      <c r="B17" s="4" t="s">
        <v>103</v>
      </c>
      <c r="C17" s="4" t="s">
        <v>104</v>
      </c>
      <c r="D17" s="4" t="s">
        <v>44</v>
      </c>
      <c r="E17" s="7" t="n">
        <v>3500000</v>
      </c>
      <c r="F17" s="8" t="n">
        <v>75</v>
      </c>
      <c r="G17" s="4" t="s">
        <v>45</v>
      </c>
      <c r="H17" s="4" t="s">
        <v>46</v>
      </c>
      <c r="I17" s="8" t="s">
        <v>47</v>
      </c>
      <c r="J17" s="8"/>
    </row>
  </sheetData>
  <mergeCells count="2">
    <mergeCell ref="A1:J1"/>
    <mergeCell ref="A2:J2"/>
  </mergeCells>
  <dataValidations count="1">
    <dataValidation allowBlank="false" errorStyle="stop" operator="between" showDropDown="false" showErrorMessage="false" showInputMessage="false" sqref="I6:I17" type="list">
      <formula1>"正常,关注,冻结"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4"/>
    <col collapsed="false" customWidth="true" hidden="false" outlineLevel="0" max="10" min="4" style="0" width="14"/>
    <col collapsed="false" customWidth="true" hidden="false" outlineLevel="0" max="11" min="11" style="0" width="18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13"/>
    <col collapsed="false" customWidth="true" hidden="false" outlineLevel="0" max="15" min="15" style="0" width="14"/>
    <col collapsed="false" customWidth="true" hidden="false" outlineLevel="0" max="16" min="16" style="0" width="13"/>
    <col collapsed="false" customWidth="true" hidden="false" outlineLevel="0" max="17" min="17" style="0" width="10"/>
    <col collapsed="false" customWidth="true" hidden="false" outlineLevel="0" max="18" min="18" style="0" width="14"/>
  </cols>
  <sheetData>
    <row r="1" customFormat="false" ht="30" hidden="false" customHeight="true" outlineLevel="0" collapsed="false">
      <c r="A1" s="1" t="s">
        <v>105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28" hidden="false" customHeight="true" outlineLevel="0" collapsed="false">
      <c r="A2" s="2" t="s">
        <v>106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5" customFormat="false" ht="34" hidden="false" customHeight="true" outlineLevel="0" collapsed="false">
      <c r="A5" s="3" t="s">
        <v>107</v>
      </c>
      <c r="B5" s="3" t="s">
        <v>31</v>
      </c>
      <c r="C5" s="3" t="s">
        <v>32</v>
      </c>
      <c r="D5" s="3" t="s">
        <v>108</v>
      </c>
      <c r="E5" s="3" t="s">
        <v>109</v>
      </c>
      <c r="F5" s="3" t="s">
        <v>110</v>
      </c>
      <c r="G5" s="3" t="s">
        <v>111</v>
      </c>
      <c r="H5" s="3" t="s">
        <v>112</v>
      </c>
      <c r="I5" s="3" t="s">
        <v>113</v>
      </c>
      <c r="J5" s="3" t="s">
        <v>114</v>
      </c>
      <c r="K5" s="3" t="s">
        <v>115</v>
      </c>
      <c r="L5" s="3" t="s">
        <v>116</v>
      </c>
      <c r="M5" s="3" t="s">
        <v>34</v>
      </c>
      <c r="N5" s="3" t="s">
        <v>117</v>
      </c>
      <c r="O5" s="3" t="s">
        <v>118</v>
      </c>
      <c r="P5" s="3" t="s">
        <v>119</v>
      </c>
      <c r="Q5" s="3" t="s">
        <v>120</v>
      </c>
      <c r="R5" s="3" t="s">
        <v>37</v>
      </c>
    </row>
    <row r="6" customFormat="false" ht="15" hidden="false" customHeight="false" outlineLevel="0" collapsed="false">
      <c r="A6" s="4" t="s">
        <v>121</v>
      </c>
      <c r="B6" s="4" t="s">
        <v>41</v>
      </c>
      <c r="C6" s="4" t="s">
        <v>42</v>
      </c>
      <c r="D6" s="9" t="n">
        <v>46230</v>
      </c>
      <c r="E6" s="9" t="n">
        <v>46260</v>
      </c>
      <c r="F6" s="4" t="s">
        <v>122</v>
      </c>
      <c r="G6" s="4" t="s">
        <v>123</v>
      </c>
      <c r="H6" s="7" t="n">
        <v>1130000</v>
      </c>
      <c r="I6" s="7" t="n">
        <v>0</v>
      </c>
      <c r="J6" s="5" t="n">
        <v>1130000</v>
      </c>
      <c r="K6" s="4" t="s">
        <v>47</v>
      </c>
      <c r="L6" s="4" t="s">
        <v>124</v>
      </c>
      <c r="M6" s="4" t="s">
        <v>44</v>
      </c>
      <c r="N6" s="4" t="n">
        <f aca="false">MAX(0,DATE(2026,8,31)-E6)</f>
        <v>5</v>
      </c>
      <c r="O6" s="4" t="str">
        <f aca="false">IF(N6=0,"未到期",IF(N6&lt;=30,"1-30天",IF(N6&lt;=90,"31-90天",IF(N6&lt;=180,"91-180天",IF(N6&lt;=365,"181-365天","365天以上")))))</f>
        <v>1-30天</v>
      </c>
      <c r="P6" s="4" t="str">
        <f aca="false">IF(DATE(2026,8,31)&gt;E6,"逾期","未到期")</f>
        <v>逾期</v>
      </c>
      <c r="Q6" s="8" t="s">
        <v>125</v>
      </c>
      <c r="R6" s="4" t="s">
        <v>45</v>
      </c>
    </row>
    <row r="7" customFormat="false" ht="15" hidden="false" customHeight="false" outlineLevel="0" collapsed="false">
      <c r="A7" s="4" t="s">
        <v>126</v>
      </c>
      <c r="B7" s="4" t="s">
        <v>41</v>
      </c>
      <c r="C7" s="4" t="s">
        <v>42</v>
      </c>
      <c r="D7" s="9" t="n">
        <v>46255</v>
      </c>
      <c r="E7" s="9" t="n">
        <v>46315</v>
      </c>
      <c r="F7" s="4" t="s">
        <v>127</v>
      </c>
      <c r="G7" s="4" t="s">
        <v>128</v>
      </c>
      <c r="H7" s="7" t="n">
        <v>2260000</v>
      </c>
      <c r="I7" s="7" t="n">
        <v>0</v>
      </c>
      <c r="J7" s="5" t="n">
        <v>2260000</v>
      </c>
      <c r="K7" s="4" t="s">
        <v>129</v>
      </c>
      <c r="L7" s="4" t="s">
        <v>124</v>
      </c>
      <c r="M7" s="4" t="s">
        <v>44</v>
      </c>
      <c r="N7" s="4" t="n">
        <f aca="false">MAX(0,DATE(2026,8,31)-E7)</f>
        <v>0</v>
      </c>
      <c r="O7" s="4" t="str">
        <f aca="false">IF(N7=0,"未到期",IF(N7&lt;=30,"1-30天",IF(N7&lt;=90,"31-90天",IF(N7&lt;=180,"91-180天",IF(N7&lt;=365,"181-365天","365天以上")))))</f>
        <v>未到期</v>
      </c>
      <c r="P7" s="4" t="str">
        <f aca="false">IF(DATE(2026,8,31)&gt;E7,"逾期","未到期")</f>
        <v>未到期</v>
      </c>
      <c r="Q7" s="8" t="s">
        <v>125</v>
      </c>
      <c r="R7" s="4" t="s">
        <v>45</v>
      </c>
    </row>
    <row r="8" customFormat="false" ht="15" hidden="false" customHeight="false" outlineLevel="0" collapsed="false">
      <c r="A8" s="4" t="s">
        <v>130</v>
      </c>
      <c r="B8" s="4" t="s">
        <v>49</v>
      </c>
      <c r="C8" s="4" t="s">
        <v>50</v>
      </c>
      <c r="D8" s="9" t="n">
        <v>46165</v>
      </c>
      <c r="E8" s="9" t="n">
        <v>46225</v>
      </c>
      <c r="F8" s="4" t="s">
        <v>131</v>
      </c>
      <c r="G8" s="4" t="s">
        <v>132</v>
      </c>
      <c r="H8" s="7" t="n">
        <v>1695000</v>
      </c>
      <c r="I8" s="7" t="n">
        <v>0</v>
      </c>
      <c r="J8" s="5" t="n">
        <v>1695000</v>
      </c>
      <c r="K8" s="4" t="s">
        <v>133</v>
      </c>
      <c r="L8" s="4" t="s">
        <v>124</v>
      </c>
      <c r="M8" s="4" t="s">
        <v>52</v>
      </c>
      <c r="N8" s="4" t="n">
        <f aca="false">MAX(0,DATE(2026,8,31)-E8)</f>
        <v>40</v>
      </c>
      <c r="O8" s="4" t="str">
        <f aca="false">IF(N8=0,"未到期",IF(N8&lt;=30,"1-30天",IF(N8&lt;=90,"31-90天",IF(N8&lt;=180,"91-180天",IF(N8&lt;=365,"181-365天","365天以上")))))</f>
        <v>31-90天</v>
      </c>
      <c r="P8" s="4" t="str">
        <f aca="false">IF(DATE(2026,8,31)&gt;E8,"逾期","未到期")</f>
        <v>逾期</v>
      </c>
      <c r="Q8" s="8" t="s">
        <v>125</v>
      </c>
      <c r="R8" s="4" t="s">
        <v>53</v>
      </c>
    </row>
    <row r="9" customFormat="false" ht="15" hidden="false" customHeight="false" outlineLevel="0" collapsed="false">
      <c r="A9" s="4" t="s">
        <v>134</v>
      </c>
      <c r="B9" s="4" t="s">
        <v>57</v>
      </c>
      <c r="C9" s="4" t="s">
        <v>58</v>
      </c>
      <c r="D9" s="9" t="n">
        <v>46105</v>
      </c>
      <c r="E9" s="9" t="n">
        <v>46150</v>
      </c>
      <c r="F9" s="4" t="s">
        <v>135</v>
      </c>
      <c r="G9" s="4" t="s">
        <v>136</v>
      </c>
      <c r="H9" s="7" t="n">
        <v>904000</v>
      </c>
      <c r="I9" s="7" t="n">
        <v>0</v>
      </c>
      <c r="J9" s="5" t="n">
        <v>904000</v>
      </c>
      <c r="K9" s="4" t="s">
        <v>137</v>
      </c>
      <c r="L9" s="4" t="s">
        <v>124</v>
      </c>
      <c r="M9" s="4" t="s">
        <v>59</v>
      </c>
      <c r="N9" s="4" t="n">
        <f aca="false">MAX(0,DATE(2026,8,31)-E9)</f>
        <v>115</v>
      </c>
      <c r="O9" s="4" t="str">
        <f aca="false">IF(N9=0,"未到期",IF(N9&lt;=30,"1-30天",IF(N9&lt;=90,"31-90天",IF(N9&lt;=180,"91-180天",IF(N9&lt;=365,"181-365天","365天以上")))))</f>
        <v>91-180天</v>
      </c>
      <c r="P9" s="4" t="str">
        <f aca="false">IF(DATE(2026,8,31)&gt;E9,"逾期","未到期")</f>
        <v>逾期</v>
      </c>
      <c r="Q9" s="8" t="s">
        <v>138</v>
      </c>
      <c r="R9" s="4" t="s">
        <v>60</v>
      </c>
    </row>
    <row r="10" customFormat="false" ht="15" hidden="false" customHeight="false" outlineLevel="0" collapsed="false">
      <c r="A10" s="4" t="s">
        <v>139</v>
      </c>
      <c r="B10" s="4" t="s">
        <v>64</v>
      </c>
      <c r="C10" s="4" t="s">
        <v>65</v>
      </c>
      <c r="D10" s="9" t="n">
        <v>46185</v>
      </c>
      <c r="E10" s="9" t="n">
        <v>46275</v>
      </c>
      <c r="F10" s="4" t="s">
        <v>140</v>
      </c>
      <c r="G10" s="4" t="s">
        <v>141</v>
      </c>
      <c r="H10" s="7" t="n">
        <v>3390000</v>
      </c>
      <c r="I10" s="7" t="n">
        <v>0</v>
      </c>
      <c r="J10" s="5" t="n">
        <v>3390000</v>
      </c>
      <c r="K10" s="4" t="s">
        <v>129</v>
      </c>
      <c r="L10" s="4" t="s">
        <v>124</v>
      </c>
      <c r="M10" s="4" t="s">
        <v>44</v>
      </c>
      <c r="N10" s="4" t="n">
        <f aca="false">MAX(0,DATE(2026,8,31)-E10)</f>
        <v>0</v>
      </c>
      <c r="O10" s="4" t="str">
        <f aca="false">IF(N10=0,"未到期",IF(N10&lt;=30,"1-30天",IF(N10&lt;=90,"31-90天",IF(N10&lt;=180,"91-180天",IF(N10&lt;=365,"181-365天","365天以上")))))</f>
        <v>未到期</v>
      </c>
      <c r="P10" s="4" t="str">
        <f aca="false">IF(DATE(2026,8,31)&gt;E10,"逾期","未到期")</f>
        <v>未到期</v>
      </c>
      <c r="Q10" s="8" t="s">
        <v>125</v>
      </c>
      <c r="R10" s="4" t="s">
        <v>66</v>
      </c>
    </row>
    <row r="11" customFormat="false" ht="15" hidden="false" customHeight="false" outlineLevel="0" collapsed="false">
      <c r="A11" s="4" t="s">
        <v>142</v>
      </c>
      <c r="B11" s="4" t="s">
        <v>69</v>
      </c>
      <c r="C11" s="4" t="s">
        <v>70</v>
      </c>
      <c r="D11" s="9" t="n">
        <v>46220</v>
      </c>
      <c r="E11" s="9" t="n">
        <v>46250</v>
      </c>
      <c r="F11" s="4" t="s">
        <v>143</v>
      </c>
      <c r="G11" s="4" t="s">
        <v>144</v>
      </c>
      <c r="H11" s="7" t="n">
        <v>452000</v>
      </c>
      <c r="I11" s="7" t="n">
        <v>0</v>
      </c>
      <c r="J11" s="5" t="n">
        <v>452000</v>
      </c>
      <c r="K11" s="4" t="s">
        <v>55</v>
      </c>
      <c r="L11" s="4" t="s">
        <v>124</v>
      </c>
      <c r="M11" s="4" t="s">
        <v>59</v>
      </c>
      <c r="N11" s="4" t="n">
        <f aca="false">MAX(0,DATE(2026,8,31)-E11)</f>
        <v>15</v>
      </c>
      <c r="O11" s="4" t="str">
        <f aca="false">IF(N11=0,"未到期",IF(N11&lt;=30,"1-30天",IF(N11&lt;=90,"31-90天",IF(N11&lt;=180,"91-180天",IF(N11&lt;=365,"181-365天","365天以上")))))</f>
        <v>1-30天</v>
      </c>
      <c r="P11" s="4" t="str">
        <f aca="false">IF(DATE(2026,8,31)&gt;E11,"逾期","未到期")</f>
        <v>逾期</v>
      </c>
      <c r="Q11" s="8" t="s">
        <v>125</v>
      </c>
      <c r="R11" s="4" t="s">
        <v>72</v>
      </c>
    </row>
    <row r="12" customFormat="false" ht="15" hidden="false" customHeight="false" outlineLevel="0" collapsed="false">
      <c r="A12" s="4" t="s">
        <v>145</v>
      </c>
      <c r="B12" s="4" t="s">
        <v>74</v>
      </c>
      <c r="C12" s="4" t="s">
        <v>75</v>
      </c>
      <c r="D12" s="9" t="n">
        <v>46210</v>
      </c>
      <c r="E12" s="9" t="n">
        <v>46255</v>
      </c>
      <c r="F12" s="4" t="s">
        <v>146</v>
      </c>
      <c r="G12" s="4" t="s">
        <v>147</v>
      </c>
      <c r="H12" s="7" t="n">
        <v>1130000</v>
      </c>
      <c r="I12" s="7" t="n">
        <v>0</v>
      </c>
      <c r="J12" s="5" t="n">
        <v>1130000</v>
      </c>
      <c r="K12" s="4" t="s">
        <v>133</v>
      </c>
      <c r="L12" s="4" t="s">
        <v>124</v>
      </c>
      <c r="M12" s="4" t="s">
        <v>52</v>
      </c>
      <c r="N12" s="4" t="n">
        <f aca="false">MAX(0,DATE(2026,8,31)-E12)</f>
        <v>10</v>
      </c>
      <c r="O12" s="4" t="str">
        <f aca="false">IF(N12=0,"未到期",IF(N12&lt;=30,"1-30天",IF(N12&lt;=90,"31-90天",IF(N12&lt;=180,"91-180天",IF(N12&lt;=365,"181-365天","365天以上")))))</f>
        <v>1-30天</v>
      </c>
      <c r="P12" s="4" t="str">
        <f aca="false">IF(DATE(2026,8,31)&gt;E12,"逾期","未到期")</f>
        <v>逾期</v>
      </c>
      <c r="Q12" s="8" t="s">
        <v>125</v>
      </c>
      <c r="R12" s="4" t="s">
        <v>77</v>
      </c>
    </row>
    <row r="13" customFormat="false" ht="15" hidden="false" customHeight="false" outlineLevel="0" collapsed="false">
      <c r="A13" s="4" t="s">
        <v>148</v>
      </c>
      <c r="B13" s="4" t="s">
        <v>80</v>
      </c>
      <c r="C13" s="4" t="s">
        <v>81</v>
      </c>
      <c r="D13" s="9" t="n">
        <v>46235</v>
      </c>
      <c r="E13" s="9" t="n">
        <v>46295</v>
      </c>
      <c r="F13" s="4" t="s">
        <v>149</v>
      </c>
      <c r="G13" s="4" t="s">
        <v>150</v>
      </c>
      <c r="H13" s="7" t="n">
        <v>2034000</v>
      </c>
      <c r="I13" s="7" t="n">
        <v>0</v>
      </c>
      <c r="J13" s="5" t="n">
        <v>2034000</v>
      </c>
      <c r="K13" s="4" t="s">
        <v>129</v>
      </c>
      <c r="L13" s="4" t="s">
        <v>124</v>
      </c>
      <c r="M13" s="4" t="s">
        <v>52</v>
      </c>
      <c r="N13" s="4" t="n">
        <f aca="false">MAX(0,DATE(2026,8,31)-E13)</f>
        <v>0</v>
      </c>
      <c r="O13" s="4" t="str">
        <f aca="false">IF(N13=0,"未到期",IF(N13&lt;=30,"1-30天",IF(N13&lt;=90,"31-90天",IF(N13&lt;=180,"91-180天",IF(N13&lt;=365,"181-365天","365天以上")))))</f>
        <v>未到期</v>
      </c>
      <c r="P13" s="4" t="str">
        <f aca="false">IF(DATE(2026,8,31)&gt;E13,"逾期","未到期")</f>
        <v>未到期</v>
      </c>
      <c r="Q13" s="8" t="s">
        <v>125</v>
      </c>
      <c r="R13" s="4" t="s">
        <v>82</v>
      </c>
    </row>
    <row r="14" customFormat="false" ht="15" hidden="false" customHeight="false" outlineLevel="0" collapsed="false">
      <c r="A14" s="4" t="s">
        <v>151</v>
      </c>
      <c r="B14" s="4" t="s">
        <v>84</v>
      </c>
      <c r="C14" s="4" t="s">
        <v>85</v>
      </c>
      <c r="D14" s="9" t="n">
        <v>46125</v>
      </c>
      <c r="E14" s="9" t="n">
        <v>46170</v>
      </c>
      <c r="F14" s="4" t="s">
        <v>152</v>
      </c>
      <c r="G14" s="4" t="s">
        <v>153</v>
      </c>
      <c r="H14" s="7" t="n">
        <v>791000</v>
      </c>
      <c r="I14" s="7" t="n">
        <v>0</v>
      </c>
      <c r="J14" s="5" t="n">
        <v>791000</v>
      </c>
      <c r="K14" s="4" t="s">
        <v>137</v>
      </c>
      <c r="L14" s="4" t="s">
        <v>124</v>
      </c>
      <c r="M14" s="4" t="s">
        <v>52</v>
      </c>
      <c r="N14" s="4" t="n">
        <f aca="false">MAX(0,DATE(2026,8,31)-E14)</f>
        <v>95</v>
      </c>
      <c r="O14" s="4" t="str">
        <f aca="false">IF(N14=0,"未到期",IF(N14&lt;=30,"1-30天",IF(N14&lt;=90,"31-90天",IF(N14&lt;=180,"91-180天",IF(N14&lt;=365,"181-365天","365天以上")))))</f>
        <v>91-180天</v>
      </c>
      <c r="P14" s="4" t="str">
        <f aca="false">IF(DATE(2026,8,31)&gt;E14,"逾期","未到期")</f>
        <v>逾期</v>
      </c>
      <c r="Q14" s="8" t="s">
        <v>138</v>
      </c>
      <c r="R14" s="4" t="s">
        <v>86</v>
      </c>
    </row>
    <row r="15" customFormat="false" ht="15" hidden="false" customHeight="false" outlineLevel="0" collapsed="false">
      <c r="A15" s="4" t="s">
        <v>154</v>
      </c>
      <c r="B15" s="4" t="s">
        <v>88</v>
      </c>
      <c r="C15" s="4" t="s">
        <v>89</v>
      </c>
      <c r="D15" s="9" t="n">
        <v>46195</v>
      </c>
      <c r="E15" s="9" t="n">
        <v>46315</v>
      </c>
      <c r="F15" s="4" t="s">
        <v>155</v>
      </c>
      <c r="G15" s="4" t="s">
        <v>156</v>
      </c>
      <c r="H15" s="7" t="n">
        <v>4520000</v>
      </c>
      <c r="I15" s="7" t="n">
        <v>0</v>
      </c>
      <c r="J15" s="5" t="n">
        <v>4520000</v>
      </c>
      <c r="K15" s="4" t="s">
        <v>129</v>
      </c>
      <c r="L15" s="4" t="s">
        <v>124</v>
      </c>
      <c r="M15" s="4" t="s">
        <v>44</v>
      </c>
      <c r="N15" s="4" t="n">
        <f aca="false">MAX(0,DATE(2026,8,31)-E15)</f>
        <v>0</v>
      </c>
      <c r="O15" s="4" t="str">
        <f aca="false">IF(N15=0,"未到期",IF(N15&lt;=30,"1-30天",IF(N15&lt;=90,"31-90天",IF(N15&lt;=180,"91-180天",IF(N15&lt;=365,"181-365天","365天以上")))))</f>
        <v>未到期</v>
      </c>
      <c r="P15" s="4" t="str">
        <f aca="false">IF(DATE(2026,8,31)&gt;E15,"逾期","未到期")</f>
        <v>未到期</v>
      </c>
      <c r="Q15" s="8" t="s">
        <v>125</v>
      </c>
      <c r="R15" s="4" t="s">
        <v>91</v>
      </c>
    </row>
    <row r="16" customFormat="false" ht="15" hidden="false" customHeight="false" outlineLevel="0" collapsed="false">
      <c r="A16" s="4" t="s">
        <v>157</v>
      </c>
      <c r="B16" s="4" t="s">
        <v>94</v>
      </c>
      <c r="C16" s="4" t="s">
        <v>95</v>
      </c>
      <c r="D16" s="9" t="n">
        <v>46135</v>
      </c>
      <c r="E16" s="9" t="n">
        <v>46165</v>
      </c>
      <c r="F16" s="4" t="s">
        <v>158</v>
      </c>
      <c r="G16" s="4" t="s">
        <v>159</v>
      </c>
      <c r="H16" s="7" t="n">
        <v>1017000</v>
      </c>
      <c r="I16" s="7" t="n">
        <v>0</v>
      </c>
      <c r="J16" s="5" t="n">
        <v>1017000</v>
      </c>
      <c r="K16" s="4" t="s">
        <v>160</v>
      </c>
      <c r="L16" s="4" t="s">
        <v>124</v>
      </c>
      <c r="M16" s="4" t="s">
        <v>59</v>
      </c>
      <c r="N16" s="4" t="n">
        <f aca="false">MAX(0,DATE(2026,8,31)-E16)</f>
        <v>100</v>
      </c>
      <c r="O16" s="4" t="str">
        <f aca="false">IF(N16=0,"未到期",IF(N16&lt;=30,"1-30天",IF(N16&lt;=90,"31-90天",IF(N16&lt;=180,"91-180天",IF(N16&lt;=365,"181-365天","365天以上")))))</f>
        <v>91-180天</v>
      </c>
      <c r="P16" s="4" t="str">
        <f aca="false">IF(DATE(2026,8,31)&gt;E16,"逾期","未到期")</f>
        <v>逾期</v>
      </c>
      <c r="Q16" s="8" t="s">
        <v>125</v>
      </c>
      <c r="R16" s="4" t="s">
        <v>97</v>
      </c>
    </row>
    <row r="17" customFormat="false" ht="15" hidden="false" customHeight="false" outlineLevel="0" collapsed="false">
      <c r="A17" s="4" t="s">
        <v>161</v>
      </c>
      <c r="B17" s="4" t="s">
        <v>100</v>
      </c>
      <c r="C17" s="4" t="s">
        <v>101</v>
      </c>
      <c r="D17" s="9" t="n">
        <v>46240</v>
      </c>
      <c r="E17" s="9" t="n">
        <v>46300</v>
      </c>
      <c r="F17" s="4" t="s">
        <v>162</v>
      </c>
      <c r="G17" s="4" t="s">
        <v>163</v>
      </c>
      <c r="H17" s="7" t="n">
        <v>678000</v>
      </c>
      <c r="I17" s="7" t="n">
        <v>0</v>
      </c>
      <c r="J17" s="5" t="n">
        <v>678000</v>
      </c>
      <c r="K17" s="4" t="s">
        <v>129</v>
      </c>
      <c r="L17" s="4" t="s">
        <v>124</v>
      </c>
      <c r="M17" s="4" t="s">
        <v>52</v>
      </c>
      <c r="N17" s="4" t="n">
        <f aca="false">MAX(0,DATE(2026,8,31)-E17)</f>
        <v>0</v>
      </c>
      <c r="O17" s="4" t="str">
        <f aca="false">IF(N17=0,"未到期",IF(N17&lt;=30,"1-30天",IF(N17&lt;=90,"31-90天",IF(N17&lt;=180,"91-180天",IF(N17&lt;=365,"181-365天","365天以上")))))</f>
        <v>未到期</v>
      </c>
      <c r="P17" s="4" t="str">
        <f aca="false">IF(DATE(2026,8,31)&gt;E17,"逾期","未到期")</f>
        <v>未到期</v>
      </c>
      <c r="Q17" s="8" t="s">
        <v>125</v>
      </c>
      <c r="R17" s="4" t="s">
        <v>53</v>
      </c>
    </row>
    <row r="18" customFormat="false" ht="15" hidden="false" customHeight="false" outlineLevel="0" collapsed="false">
      <c r="A18" s="4" t="s">
        <v>164</v>
      </c>
      <c r="B18" s="4" t="s">
        <v>102</v>
      </c>
      <c r="C18" s="4" t="s">
        <v>103</v>
      </c>
      <c r="D18" s="9" t="n">
        <v>46175</v>
      </c>
      <c r="E18" s="9" t="n">
        <v>46250</v>
      </c>
      <c r="F18" s="4" t="s">
        <v>165</v>
      </c>
      <c r="G18" s="4" t="s">
        <v>166</v>
      </c>
      <c r="H18" s="7" t="n">
        <v>2825000</v>
      </c>
      <c r="I18" s="7" t="n">
        <v>0</v>
      </c>
      <c r="J18" s="5" t="n">
        <v>2825000</v>
      </c>
      <c r="K18" s="4" t="s">
        <v>133</v>
      </c>
      <c r="L18" s="4" t="s">
        <v>124</v>
      </c>
      <c r="M18" s="4" t="s">
        <v>44</v>
      </c>
      <c r="N18" s="4" t="n">
        <f aca="false">MAX(0,DATE(2026,8,31)-E18)</f>
        <v>15</v>
      </c>
      <c r="O18" s="4" t="str">
        <f aca="false">IF(N18=0,"未到期",IF(N18&lt;=30,"1-30天",IF(N18&lt;=90,"31-90天",IF(N18&lt;=180,"91-180天",IF(N18&lt;=365,"181-365天","365天以上")))))</f>
        <v>1-30天</v>
      </c>
      <c r="P18" s="4" t="str">
        <f aca="false">IF(DATE(2026,8,31)&gt;E18,"逾期","未到期")</f>
        <v>逾期</v>
      </c>
      <c r="Q18" s="8" t="s">
        <v>125</v>
      </c>
      <c r="R18" s="4" t="s">
        <v>45</v>
      </c>
    </row>
    <row r="19" customFormat="false" ht="15" hidden="false" customHeight="false" outlineLevel="0" collapsed="false">
      <c r="A19" s="4" t="s">
        <v>167</v>
      </c>
      <c r="B19" s="4" t="s">
        <v>57</v>
      </c>
      <c r="C19" s="4" t="s">
        <v>58</v>
      </c>
      <c r="D19" s="9" t="n">
        <v>46245</v>
      </c>
      <c r="E19" s="9" t="n">
        <v>46290</v>
      </c>
      <c r="F19" s="4" t="s">
        <v>168</v>
      </c>
      <c r="G19" s="4" t="s">
        <v>169</v>
      </c>
      <c r="H19" s="7" t="n">
        <v>226000</v>
      </c>
      <c r="I19" s="7" t="n">
        <v>0</v>
      </c>
      <c r="J19" s="5" t="n">
        <v>226000</v>
      </c>
      <c r="K19" s="4" t="s">
        <v>170</v>
      </c>
      <c r="L19" s="4" t="s">
        <v>124</v>
      </c>
      <c r="M19" s="4" t="s">
        <v>59</v>
      </c>
      <c r="N19" s="4" t="n">
        <f aca="false">MAX(0,DATE(2026,8,31)-E19)</f>
        <v>0</v>
      </c>
      <c r="O19" s="4" t="str">
        <f aca="false">IF(N19=0,"未到期",IF(N19&lt;=30,"1-30天",IF(N19&lt;=90,"31-90天",IF(N19&lt;=180,"91-180天",IF(N19&lt;=365,"181-365天","365天以上")))))</f>
        <v>未到期</v>
      </c>
      <c r="P19" s="4" t="str">
        <f aca="false">IF(DATE(2026,8,31)&gt;E19,"逾期","未到期")</f>
        <v>未到期</v>
      </c>
      <c r="Q19" s="8" t="s">
        <v>125</v>
      </c>
      <c r="R19" s="4" t="s">
        <v>60</v>
      </c>
    </row>
    <row r="20" customFormat="false" ht="15" hidden="false" customHeight="false" outlineLevel="0" collapsed="false">
      <c r="A20" s="4" t="s">
        <v>171</v>
      </c>
      <c r="B20" s="4" t="s">
        <v>49</v>
      </c>
      <c r="C20" s="4" t="s">
        <v>50</v>
      </c>
      <c r="D20" s="9" t="n">
        <v>46055</v>
      </c>
      <c r="E20" s="9" t="n">
        <v>46115</v>
      </c>
      <c r="F20" s="4" t="s">
        <v>172</v>
      </c>
      <c r="G20" s="4" t="s">
        <v>173</v>
      </c>
      <c r="H20" s="7" t="n">
        <v>565000</v>
      </c>
      <c r="I20" s="7" t="n">
        <v>0</v>
      </c>
      <c r="J20" s="5" t="n">
        <v>565000</v>
      </c>
      <c r="K20" s="4" t="s">
        <v>174</v>
      </c>
      <c r="L20" s="4" t="s">
        <v>124</v>
      </c>
      <c r="M20" s="4" t="s">
        <v>52</v>
      </c>
      <c r="N20" s="4" t="n">
        <f aca="false">MAX(0,DATE(2026,8,31)-E20)</f>
        <v>150</v>
      </c>
      <c r="O20" s="4" t="str">
        <f aca="false">IF(N20=0,"未到期",IF(N20&lt;=30,"1-30天",IF(N20&lt;=90,"31-90天",IF(N20&lt;=180,"91-180天",IF(N20&lt;=365,"181-365天","365天以上")))))</f>
        <v>91-180天</v>
      </c>
      <c r="P20" s="4" t="str">
        <f aca="false">IF(DATE(2026,8,31)&gt;E20,"逾期","未到期")</f>
        <v>逾期</v>
      </c>
      <c r="Q20" s="8" t="s">
        <v>125</v>
      </c>
      <c r="R20" s="4" t="s">
        <v>53</v>
      </c>
    </row>
  </sheetData>
  <mergeCells count="2">
    <mergeCell ref="A1:R1"/>
    <mergeCell ref="A2:R2"/>
  </mergeCells>
  <conditionalFormatting sqref="P6:P20">
    <cfRule type="containsText" priority="2" operator="containsText" aboveAverage="0" equalAverage="0" bottom="0" percent="0" rank="0" text="逾期" dxfId="6">
      <formula>NOT(ISERROR(SEARCH("逾期",P6)))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8"/>
    <col collapsed="false" customWidth="true" hidden="false" outlineLevel="0" max="7" min="7" style="0" width="30"/>
    <col collapsed="false" customWidth="true" hidden="false" outlineLevel="0" max="8" min="8" style="0" width="18"/>
    <col collapsed="false" customWidth="true" hidden="false" outlineLevel="0" max="10" min="9" style="0" width="14"/>
    <col collapsed="false" customWidth="true" hidden="false" outlineLevel="0" max="11" min="11" style="0" width="34"/>
    <col collapsed="false" customWidth="true" hidden="false" outlineLevel="0" max="12" min="12" style="0" width="14"/>
    <col collapsed="false" customWidth="true" hidden="false" outlineLevel="0" max="13" min="13" style="0" width="12"/>
  </cols>
  <sheetData>
    <row r="1" customFormat="false" ht="30" hidden="false" customHeight="true" outlineLevel="0" collapsed="false">
      <c r="A1" s="1" t="s">
        <v>175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8" hidden="false" customHeight="true" outlineLevel="0" collapsed="false">
      <c r="A2" s="2" t="s">
        <v>176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5" customFormat="false" ht="34" hidden="false" customHeight="true" outlineLevel="0" collapsed="false">
      <c r="A5" s="3" t="s">
        <v>107</v>
      </c>
      <c r="B5" s="3" t="s">
        <v>31</v>
      </c>
      <c r="C5" s="3" t="s">
        <v>177</v>
      </c>
      <c r="D5" s="3" t="s">
        <v>114</v>
      </c>
      <c r="E5" s="3" t="s">
        <v>117</v>
      </c>
      <c r="F5" s="3" t="s">
        <v>178</v>
      </c>
      <c r="G5" s="3" t="s">
        <v>179</v>
      </c>
      <c r="H5" s="3" t="s">
        <v>180</v>
      </c>
      <c r="I5" s="3" t="s">
        <v>181</v>
      </c>
      <c r="J5" s="3" t="s">
        <v>37</v>
      </c>
      <c r="K5" s="3" t="s">
        <v>182</v>
      </c>
      <c r="L5" s="3" t="s">
        <v>183</v>
      </c>
      <c r="M5" s="3" t="s">
        <v>184</v>
      </c>
    </row>
    <row r="6" customFormat="false" ht="15" hidden="false" customHeight="false" outlineLevel="0" collapsed="false">
      <c r="A6" s="4" t="s">
        <v>121</v>
      </c>
      <c r="B6" s="4" t="s">
        <v>41</v>
      </c>
      <c r="C6" s="4" t="s">
        <v>42</v>
      </c>
      <c r="D6" s="5" t="n">
        <v>1130000</v>
      </c>
      <c r="E6" s="4" t="n">
        <f aca="false">MAX(0,DATE(2026,8,31)-DATE(2026,8,26))</f>
        <v>5</v>
      </c>
      <c r="F6" s="4" t="s">
        <v>47</v>
      </c>
      <c r="G6" s="8"/>
      <c r="H6" s="8"/>
      <c r="I6" s="7"/>
      <c r="J6" s="8" t="s">
        <v>45</v>
      </c>
      <c r="K6" s="8"/>
      <c r="L6" s="10"/>
      <c r="M6" s="8" t="s">
        <v>185</v>
      </c>
    </row>
    <row r="7" customFormat="false" ht="15" hidden="false" customHeight="false" outlineLevel="0" collapsed="false">
      <c r="A7" s="4" t="s">
        <v>126</v>
      </c>
      <c r="B7" s="4" t="s">
        <v>41</v>
      </c>
      <c r="C7" s="4" t="s">
        <v>42</v>
      </c>
      <c r="D7" s="5" t="n">
        <v>2260000</v>
      </c>
      <c r="E7" s="4" t="n">
        <f aca="false">MAX(0,DATE(2026,8,31)-DATE(2026,10,20))</f>
        <v>0</v>
      </c>
      <c r="F7" s="4" t="s">
        <v>129</v>
      </c>
      <c r="G7" s="8"/>
      <c r="H7" s="8"/>
      <c r="I7" s="7"/>
      <c r="J7" s="8" t="s">
        <v>45</v>
      </c>
      <c r="K7" s="8"/>
      <c r="L7" s="10"/>
      <c r="M7" s="8" t="s">
        <v>185</v>
      </c>
    </row>
    <row r="8" customFormat="false" ht="15" hidden="false" customHeight="false" outlineLevel="0" collapsed="false">
      <c r="A8" s="4" t="s">
        <v>130</v>
      </c>
      <c r="B8" s="4" t="s">
        <v>49</v>
      </c>
      <c r="C8" s="4" t="s">
        <v>50</v>
      </c>
      <c r="D8" s="5" t="n">
        <v>1695000</v>
      </c>
      <c r="E8" s="4" t="n">
        <f aca="false">MAX(0,DATE(2026,8,31)-DATE(2026,7,22))</f>
        <v>40</v>
      </c>
      <c r="F8" s="4" t="s">
        <v>133</v>
      </c>
      <c r="G8" s="8"/>
      <c r="H8" s="8"/>
      <c r="I8" s="7"/>
      <c r="J8" s="8" t="s">
        <v>53</v>
      </c>
      <c r="K8" s="8"/>
      <c r="L8" s="10"/>
      <c r="M8" s="8" t="s">
        <v>185</v>
      </c>
    </row>
    <row r="9" customFormat="false" ht="15" hidden="false" customHeight="false" outlineLevel="0" collapsed="false">
      <c r="A9" s="4" t="s">
        <v>134</v>
      </c>
      <c r="B9" s="4" t="s">
        <v>57</v>
      </c>
      <c r="C9" s="4" t="s">
        <v>58</v>
      </c>
      <c r="D9" s="5" t="n">
        <v>904000</v>
      </c>
      <c r="E9" s="4" t="n">
        <f aca="false">MAX(0,DATE(2026,8,31)-DATE(2026,5,8))</f>
        <v>115</v>
      </c>
      <c r="F9" s="4" t="s">
        <v>137</v>
      </c>
      <c r="G9" s="8"/>
      <c r="H9" s="8"/>
      <c r="I9" s="7"/>
      <c r="J9" s="8" t="s">
        <v>60</v>
      </c>
      <c r="K9" s="8"/>
      <c r="L9" s="10"/>
      <c r="M9" s="8" t="s">
        <v>185</v>
      </c>
    </row>
    <row r="10" customFormat="false" ht="15" hidden="false" customHeight="false" outlineLevel="0" collapsed="false">
      <c r="A10" s="4" t="s">
        <v>139</v>
      </c>
      <c r="B10" s="4" t="s">
        <v>64</v>
      </c>
      <c r="C10" s="4" t="s">
        <v>65</v>
      </c>
      <c r="D10" s="5" t="n">
        <v>3390000</v>
      </c>
      <c r="E10" s="4" t="n">
        <f aca="false">MAX(0,DATE(2026,8,31)-DATE(2026,9,10))</f>
        <v>0</v>
      </c>
      <c r="F10" s="4" t="s">
        <v>129</v>
      </c>
      <c r="G10" s="8"/>
      <c r="H10" s="8"/>
      <c r="I10" s="7"/>
      <c r="J10" s="8" t="s">
        <v>66</v>
      </c>
      <c r="K10" s="8"/>
      <c r="L10" s="10"/>
      <c r="M10" s="8" t="s">
        <v>185</v>
      </c>
    </row>
    <row r="11" customFormat="false" ht="15" hidden="false" customHeight="false" outlineLevel="0" collapsed="false">
      <c r="A11" s="4" t="s">
        <v>142</v>
      </c>
      <c r="B11" s="4" t="s">
        <v>69</v>
      </c>
      <c r="C11" s="4" t="s">
        <v>70</v>
      </c>
      <c r="D11" s="5" t="n">
        <v>452000</v>
      </c>
      <c r="E11" s="4" t="n">
        <f aca="false">MAX(0,DATE(2026,8,31)-DATE(2026,8,16))</f>
        <v>15</v>
      </c>
      <c r="F11" s="4" t="s">
        <v>55</v>
      </c>
      <c r="G11" s="8"/>
      <c r="H11" s="8"/>
      <c r="I11" s="7"/>
      <c r="J11" s="8" t="s">
        <v>72</v>
      </c>
      <c r="K11" s="8"/>
      <c r="L11" s="10"/>
      <c r="M11" s="8" t="s">
        <v>185</v>
      </c>
    </row>
    <row r="12" customFormat="false" ht="15" hidden="false" customHeight="false" outlineLevel="0" collapsed="false">
      <c r="A12" s="4" t="s">
        <v>145</v>
      </c>
      <c r="B12" s="4" t="s">
        <v>74</v>
      </c>
      <c r="C12" s="4" t="s">
        <v>75</v>
      </c>
      <c r="D12" s="5" t="n">
        <v>1130000</v>
      </c>
      <c r="E12" s="4" t="n">
        <f aca="false">MAX(0,DATE(2026,8,31)-DATE(2026,8,21))</f>
        <v>10</v>
      </c>
      <c r="F12" s="4" t="s">
        <v>133</v>
      </c>
      <c r="G12" s="8"/>
      <c r="H12" s="8"/>
      <c r="I12" s="7"/>
      <c r="J12" s="8" t="s">
        <v>77</v>
      </c>
      <c r="K12" s="8"/>
      <c r="L12" s="10"/>
      <c r="M12" s="8" t="s">
        <v>185</v>
      </c>
    </row>
    <row r="13" customFormat="false" ht="15" hidden="false" customHeight="false" outlineLevel="0" collapsed="false">
      <c r="A13" s="4" t="s">
        <v>148</v>
      </c>
      <c r="B13" s="4" t="s">
        <v>80</v>
      </c>
      <c r="C13" s="4" t="s">
        <v>81</v>
      </c>
      <c r="D13" s="5" t="n">
        <v>2034000</v>
      </c>
      <c r="E13" s="4" t="n">
        <f aca="false">MAX(0,DATE(2026,8,31)-DATE(2026,9,30))</f>
        <v>0</v>
      </c>
      <c r="F13" s="4" t="s">
        <v>129</v>
      </c>
      <c r="G13" s="8"/>
      <c r="H13" s="8"/>
      <c r="I13" s="7"/>
      <c r="J13" s="8" t="s">
        <v>82</v>
      </c>
      <c r="K13" s="8"/>
      <c r="L13" s="10"/>
      <c r="M13" s="8" t="s">
        <v>185</v>
      </c>
    </row>
    <row r="14" customFormat="false" ht="15" hidden="false" customHeight="false" outlineLevel="0" collapsed="false">
      <c r="A14" s="4" t="s">
        <v>151</v>
      </c>
      <c r="B14" s="4" t="s">
        <v>84</v>
      </c>
      <c r="C14" s="4" t="s">
        <v>85</v>
      </c>
      <c r="D14" s="5" t="n">
        <v>791000</v>
      </c>
      <c r="E14" s="4" t="n">
        <f aca="false">MAX(0,DATE(2026,8,31)-DATE(2026,5,28))</f>
        <v>95</v>
      </c>
      <c r="F14" s="4" t="s">
        <v>137</v>
      </c>
      <c r="G14" s="8"/>
      <c r="H14" s="8"/>
      <c r="I14" s="7"/>
      <c r="J14" s="8" t="s">
        <v>86</v>
      </c>
      <c r="K14" s="8"/>
      <c r="L14" s="10"/>
      <c r="M14" s="8" t="s">
        <v>185</v>
      </c>
    </row>
    <row r="15" customFormat="false" ht="15" hidden="false" customHeight="false" outlineLevel="0" collapsed="false">
      <c r="A15" s="4" t="s">
        <v>154</v>
      </c>
      <c r="B15" s="4" t="s">
        <v>88</v>
      </c>
      <c r="C15" s="4" t="s">
        <v>89</v>
      </c>
      <c r="D15" s="5" t="n">
        <v>4520000</v>
      </c>
      <c r="E15" s="4" t="n">
        <f aca="false">MAX(0,DATE(2026,8,31)-DATE(2026,10,20))</f>
        <v>0</v>
      </c>
      <c r="F15" s="4" t="s">
        <v>129</v>
      </c>
      <c r="G15" s="8"/>
      <c r="H15" s="8"/>
      <c r="I15" s="7"/>
      <c r="J15" s="8" t="s">
        <v>91</v>
      </c>
      <c r="K15" s="8"/>
      <c r="L15" s="10"/>
      <c r="M15" s="8" t="s">
        <v>185</v>
      </c>
    </row>
    <row r="16" customFormat="false" ht="15" hidden="false" customHeight="false" outlineLevel="0" collapsed="false">
      <c r="A16" s="4" t="s">
        <v>157</v>
      </c>
      <c r="B16" s="4" t="s">
        <v>94</v>
      </c>
      <c r="C16" s="4" t="s">
        <v>95</v>
      </c>
      <c r="D16" s="5" t="n">
        <v>1017000</v>
      </c>
      <c r="E16" s="4" t="n">
        <f aca="false">MAX(0,DATE(2026,8,31)-DATE(2026,5,23))</f>
        <v>100</v>
      </c>
      <c r="F16" s="4" t="s">
        <v>160</v>
      </c>
      <c r="G16" s="8"/>
      <c r="H16" s="8"/>
      <c r="I16" s="7"/>
      <c r="J16" s="8" t="s">
        <v>97</v>
      </c>
      <c r="K16" s="8"/>
      <c r="L16" s="10"/>
      <c r="M16" s="8" t="s">
        <v>185</v>
      </c>
    </row>
    <row r="17" customFormat="false" ht="15" hidden="false" customHeight="false" outlineLevel="0" collapsed="false">
      <c r="A17" s="4" t="s">
        <v>161</v>
      </c>
      <c r="B17" s="4" t="s">
        <v>100</v>
      </c>
      <c r="C17" s="4" t="s">
        <v>101</v>
      </c>
      <c r="D17" s="5" t="n">
        <v>678000</v>
      </c>
      <c r="E17" s="4" t="n">
        <f aca="false">MAX(0,DATE(2026,8,31)-DATE(2026,10,5))</f>
        <v>0</v>
      </c>
      <c r="F17" s="4" t="s">
        <v>129</v>
      </c>
      <c r="G17" s="8"/>
      <c r="H17" s="8"/>
      <c r="I17" s="7"/>
      <c r="J17" s="8" t="s">
        <v>53</v>
      </c>
      <c r="K17" s="8"/>
      <c r="L17" s="10"/>
      <c r="M17" s="8" t="s">
        <v>185</v>
      </c>
    </row>
    <row r="18" customFormat="false" ht="15" hidden="false" customHeight="false" outlineLevel="0" collapsed="false">
      <c r="A18" s="4" t="s">
        <v>164</v>
      </c>
      <c r="B18" s="4" t="s">
        <v>102</v>
      </c>
      <c r="C18" s="4" t="s">
        <v>103</v>
      </c>
      <c r="D18" s="5" t="n">
        <v>2825000</v>
      </c>
      <c r="E18" s="4" t="n">
        <f aca="false">MAX(0,DATE(2026,8,31)-DATE(2026,8,16))</f>
        <v>15</v>
      </c>
      <c r="F18" s="4" t="s">
        <v>133</v>
      </c>
      <c r="G18" s="8"/>
      <c r="H18" s="8"/>
      <c r="I18" s="7"/>
      <c r="J18" s="8" t="s">
        <v>45</v>
      </c>
      <c r="K18" s="8"/>
      <c r="L18" s="10"/>
      <c r="M18" s="8" t="s">
        <v>185</v>
      </c>
    </row>
    <row r="19" customFormat="false" ht="15" hidden="false" customHeight="false" outlineLevel="0" collapsed="false">
      <c r="A19" s="4" t="s">
        <v>167</v>
      </c>
      <c r="B19" s="4" t="s">
        <v>57</v>
      </c>
      <c r="C19" s="4" t="s">
        <v>58</v>
      </c>
      <c r="D19" s="5" t="n">
        <v>226000</v>
      </c>
      <c r="E19" s="4" t="n">
        <f aca="false">MAX(0,DATE(2026,8,31)-DATE(2026,9,25))</f>
        <v>0</v>
      </c>
      <c r="F19" s="4" t="s">
        <v>170</v>
      </c>
      <c r="G19" s="8"/>
      <c r="H19" s="8"/>
      <c r="I19" s="7"/>
      <c r="J19" s="8" t="s">
        <v>60</v>
      </c>
      <c r="K19" s="8"/>
      <c r="L19" s="10"/>
      <c r="M19" s="8" t="s">
        <v>185</v>
      </c>
    </row>
    <row r="20" customFormat="false" ht="15" hidden="false" customHeight="false" outlineLevel="0" collapsed="false">
      <c r="A20" s="4" t="s">
        <v>171</v>
      </c>
      <c r="B20" s="4" t="s">
        <v>49</v>
      </c>
      <c r="C20" s="4" t="s">
        <v>50</v>
      </c>
      <c r="D20" s="5" t="n">
        <v>565000</v>
      </c>
      <c r="E20" s="4" t="n">
        <f aca="false">MAX(0,DATE(2026,8,31)-DATE(2026,4,3))</f>
        <v>150</v>
      </c>
      <c r="F20" s="4" t="s">
        <v>174</v>
      </c>
      <c r="G20" s="8"/>
      <c r="H20" s="8"/>
      <c r="I20" s="7"/>
      <c r="J20" s="8" t="s">
        <v>53</v>
      </c>
      <c r="K20" s="8"/>
      <c r="L20" s="10"/>
      <c r="M20" s="8" t="s">
        <v>185</v>
      </c>
    </row>
  </sheetData>
  <mergeCells count="2">
    <mergeCell ref="A1:M1"/>
    <mergeCell ref="A2:M2"/>
  </mergeCells>
  <conditionalFormatting sqref="M6:M20">
    <cfRule type="containsText" priority="2" operator="containsText" aboveAverage="0" equalAverage="0" bottom="0" percent="0" rank="0" text="已完成" dxfId="7">
      <formula>NOT(ISERROR(SEARCH("已完成",M6)))</formula>
    </cfRule>
    <cfRule type="containsText" priority="3" operator="containsText" aboveAverage="0" equalAverage="0" bottom="0" percent="0" rank="0" text="高" dxfId="8">
      <formula>NOT(ISERROR(SEARCH("高",M6)))</formula>
    </cfRule>
  </conditionalFormatting>
  <dataValidations count="1">
    <dataValidation allowBlank="false" errorStyle="stop" operator="between" showDropDown="false" showErrorMessage="false" showInputMessage="false" sqref="M6:M20" type="list">
      <formula1>"未开始,进行中,待复核,已完成"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7" min="6" style="0" width="34"/>
    <col collapsed="false" customWidth="true" hidden="false" outlineLevel="0" max="8" min="8" style="0" width="16"/>
    <col collapsed="false" customWidth="true" hidden="false" outlineLevel="0" max="9" min="9" style="0" width="34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28"/>
    <col collapsed="false" customWidth="true" hidden="false" outlineLevel="0" max="13" min="13" style="0" width="38"/>
  </cols>
  <sheetData>
    <row r="1" customFormat="false" ht="30" hidden="false" customHeight="true" outlineLevel="0" collapsed="false">
      <c r="A1" s="1" t="s">
        <v>186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8" hidden="false" customHeight="true" outlineLevel="0" collapsed="false">
      <c r="A2" s="2" t="s">
        <v>187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5" customFormat="false" ht="34" hidden="false" customHeight="true" outlineLevel="0" collapsed="false">
      <c r="A5" s="3" t="s">
        <v>188</v>
      </c>
      <c r="B5" s="3" t="s">
        <v>177</v>
      </c>
      <c r="C5" s="3" t="s">
        <v>107</v>
      </c>
      <c r="D5" s="3" t="s">
        <v>189</v>
      </c>
      <c r="E5" s="3" t="s">
        <v>190</v>
      </c>
      <c r="F5" s="3" t="s">
        <v>191</v>
      </c>
      <c r="G5" s="3" t="s">
        <v>192</v>
      </c>
      <c r="H5" s="3" t="s">
        <v>193</v>
      </c>
      <c r="I5" s="3" t="s">
        <v>194</v>
      </c>
      <c r="J5" s="3" t="s">
        <v>195</v>
      </c>
      <c r="K5" s="3" t="s">
        <v>184</v>
      </c>
      <c r="L5" s="3" t="s">
        <v>196</v>
      </c>
      <c r="M5" s="3" t="s">
        <v>197</v>
      </c>
    </row>
    <row r="6" customFormat="false" ht="15" hidden="false" customHeight="false" outlineLevel="0" collapsed="false">
      <c r="A6" s="4" t="s">
        <v>198</v>
      </c>
      <c r="B6" s="8"/>
      <c r="C6" s="8"/>
      <c r="D6" s="8"/>
      <c r="E6" s="7"/>
      <c r="F6" s="8"/>
      <c r="G6" s="8"/>
      <c r="H6" s="8"/>
      <c r="I6" s="8"/>
      <c r="J6" s="10"/>
      <c r="K6" s="8" t="s">
        <v>199</v>
      </c>
      <c r="L6" s="8"/>
      <c r="M6" s="8"/>
    </row>
    <row r="7" customFormat="false" ht="15" hidden="false" customHeight="false" outlineLevel="0" collapsed="false">
      <c r="A7" s="4" t="s">
        <v>200</v>
      </c>
      <c r="B7" s="8"/>
      <c r="C7" s="8"/>
      <c r="D7" s="8"/>
      <c r="E7" s="7"/>
      <c r="F7" s="8"/>
      <c r="G7" s="8"/>
      <c r="H7" s="8"/>
      <c r="I7" s="8"/>
      <c r="J7" s="10"/>
      <c r="K7" s="8" t="s">
        <v>199</v>
      </c>
      <c r="L7" s="8"/>
      <c r="M7" s="8"/>
    </row>
    <row r="8" customFormat="false" ht="15" hidden="false" customHeight="false" outlineLevel="0" collapsed="false">
      <c r="A8" s="4" t="s">
        <v>201</v>
      </c>
      <c r="B8" s="8"/>
      <c r="C8" s="8"/>
      <c r="D8" s="8"/>
      <c r="E8" s="7"/>
      <c r="F8" s="8"/>
      <c r="G8" s="8"/>
      <c r="H8" s="8"/>
      <c r="I8" s="8"/>
      <c r="J8" s="10"/>
      <c r="K8" s="8" t="s">
        <v>199</v>
      </c>
      <c r="L8" s="8"/>
      <c r="M8" s="8"/>
    </row>
    <row r="9" customFormat="false" ht="15" hidden="false" customHeight="false" outlineLevel="0" collapsed="false">
      <c r="A9" s="4" t="s">
        <v>202</v>
      </c>
      <c r="B9" s="8"/>
      <c r="C9" s="8"/>
      <c r="D9" s="8"/>
      <c r="E9" s="7"/>
      <c r="F9" s="8"/>
      <c r="G9" s="8"/>
      <c r="H9" s="8"/>
      <c r="I9" s="8"/>
      <c r="J9" s="10"/>
      <c r="K9" s="8" t="s">
        <v>199</v>
      </c>
      <c r="L9" s="8"/>
      <c r="M9" s="8"/>
    </row>
    <row r="10" customFormat="false" ht="15" hidden="false" customHeight="false" outlineLevel="0" collapsed="false">
      <c r="A10" s="4" t="s">
        <v>203</v>
      </c>
      <c r="B10" s="8"/>
      <c r="C10" s="8"/>
      <c r="D10" s="8"/>
      <c r="E10" s="7"/>
      <c r="F10" s="8"/>
      <c r="G10" s="8"/>
      <c r="H10" s="8"/>
      <c r="I10" s="8"/>
      <c r="J10" s="10"/>
      <c r="K10" s="8" t="s">
        <v>199</v>
      </c>
      <c r="L10" s="8"/>
      <c r="M10" s="8"/>
    </row>
    <row r="11" customFormat="false" ht="15" hidden="false" customHeight="false" outlineLevel="0" collapsed="false">
      <c r="A11" s="4" t="s">
        <v>204</v>
      </c>
      <c r="B11" s="8"/>
      <c r="C11" s="8"/>
      <c r="D11" s="8"/>
      <c r="E11" s="7"/>
      <c r="F11" s="8"/>
      <c r="G11" s="8"/>
      <c r="H11" s="8"/>
      <c r="I11" s="8"/>
      <c r="J11" s="10"/>
      <c r="K11" s="8" t="s">
        <v>199</v>
      </c>
      <c r="L11" s="8"/>
      <c r="M11" s="8"/>
    </row>
    <row r="12" customFormat="false" ht="15" hidden="false" customHeight="false" outlineLevel="0" collapsed="false">
      <c r="A12" s="4" t="s">
        <v>205</v>
      </c>
      <c r="B12" s="8"/>
      <c r="C12" s="8"/>
      <c r="D12" s="8"/>
      <c r="E12" s="7"/>
      <c r="F12" s="8"/>
      <c r="G12" s="8"/>
      <c r="H12" s="8"/>
      <c r="I12" s="8"/>
      <c r="J12" s="10"/>
      <c r="K12" s="8" t="s">
        <v>199</v>
      </c>
      <c r="L12" s="8"/>
      <c r="M12" s="8"/>
    </row>
    <row r="13" customFormat="false" ht="15" hidden="false" customHeight="false" outlineLevel="0" collapsed="false">
      <c r="A13" s="4" t="s">
        <v>206</v>
      </c>
      <c r="B13" s="8"/>
      <c r="C13" s="8"/>
      <c r="D13" s="8"/>
      <c r="E13" s="7"/>
      <c r="F13" s="8"/>
      <c r="G13" s="8"/>
      <c r="H13" s="8"/>
      <c r="I13" s="8"/>
      <c r="J13" s="10"/>
      <c r="K13" s="8" t="s">
        <v>199</v>
      </c>
      <c r="L13" s="8"/>
      <c r="M13" s="8"/>
    </row>
    <row r="14" customFormat="false" ht="15" hidden="false" customHeight="false" outlineLevel="0" collapsed="false">
      <c r="A14" s="4" t="s">
        <v>207</v>
      </c>
      <c r="B14" s="8"/>
      <c r="C14" s="8"/>
      <c r="D14" s="8"/>
      <c r="E14" s="7"/>
      <c r="F14" s="8"/>
      <c r="G14" s="8"/>
      <c r="H14" s="8"/>
      <c r="I14" s="8"/>
      <c r="J14" s="10"/>
      <c r="K14" s="8" t="s">
        <v>199</v>
      </c>
      <c r="L14" s="8"/>
      <c r="M14" s="8"/>
    </row>
    <row r="15" customFormat="false" ht="15" hidden="false" customHeight="false" outlineLevel="0" collapsed="false">
      <c r="A15" s="4" t="s">
        <v>208</v>
      </c>
      <c r="B15" s="8"/>
      <c r="C15" s="8"/>
      <c r="D15" s="8"/>
      <c r="E15" s="7"/>
      <c r="F15" s="8"/>
      <c r="G15" s="8"/>
      <c r="H15" s="8"/>
      <c r="I15" s="8"/>
      <c r="J15" s="10"/>
      <c r="K15" s="8" t="s">
        <v>199</v>
      </c>
      <c r="L15" s="8"/>
      <c r="M15" s="8"/>
    </row>
    <row r="16" customFormat="false" ht="15" hidden="false" customHeight="false" outlineLevel="0" collapsed="false">
      <c r="A16" s="4" t="s">
        <v>209</v>
      </c>
      <c r="B16" s="8"/>
      <c r="C16" s="8"/>
      <c r="D16" s="8"/>
      <c r="E16" s="7"/>
      <c r="F16" s="8"/>
      <c r="G16" s="8"/>
      <c r="H16" s="8"/>
      <c r="I16" s="8"/>
      <c r="J16" s="10"/>
      <c r="K16" s="8" t="s">
        <v>199</v>
      </c>
      <c r="L16" s="8"/>
      <c r="M16" s="8"/>
    </row>
    <row r="17" customFormat="false" ht="15" hidden="false" customHeight="false" outlineLevel="0" collapsed="false">
      <c r="A17" s="4" t="s">
        <v>210</v>
      </c>
      <c r="B17" s="8"/>
      <c r="C17" s="8"/>
      <c r="D17" s="8"/>
      <c r="E17" s="7"/>
      <c r="F17" s="8"/>
      <c r="G17" s="8"/>
      <c r="H17" s="8"/>
      <c r="I17" s="8"/>
      <c r="J17" s="10"/>
      <c r="K17" s="8" t="s">
        <v>199</v>
      </c>
      <c r="L17" s="8"/>
      <c r="M17" s="8"/>
    </row>
    <row r="18" customFormat="false" ht="15" hidden="false" customHeight="false" outlineLevel="0" collapsed="false">
      <c r="A18" s="4" t="s">
        <v>211</v>
      </c>
      <c r="B18" s="8"/>
      <c r="C18" s="8"/>
      <c r="D18" s="8"/>
      <c r="E18" s="7"/>
      <c r="F18" s="8"/>
      <c r="G18" s="8"/>
      <c r="H18" s="8"/>
      <c r="I18" s="8"/>
      <c r="J18" s="10"/>
      <c r="K18" s="8" t="s">
        <v>199</v>
      </c>
      <c r="L18" s="8"/>
      <c r="M18" s="8"/>
    </row>
    <row r="19" customFormat="false" ht="15" hidden="false" customHeight="false" outlineLevel="0" collapsed="false">
      <c r="A19" s="4" t="s">
        <v>212</v>
      </c>
      <c r="B19" s="8"/>
      <c r="C19" s="8"/>
      <c r="D19" s="8"/>
      <c r="E19" s="7"/>
      <c r="F19" s="8"/>
      <c r="G19" s="8"/>
      <c r="H19" s="8"/>
      <c r="I19" s="8"/>
      <c r="J19" s="10"/>
      <c r="K19" s="8" t="s">
        <v>199</v>
      </c>
      <c r="L19" s="8"/>
      <c r="M19" s="8"/>
    </row>
    <row r="20" customFormat="false" ht="15" hidden="false" customHeight="false" outlineLevel="0" collapsed="false">
      <c r="A20" s="4" t="s">
        <v>213</v>
      </c>
      <c r="B20" s="8"/>
      <c r="C20" s="8"/>
      <c r="D20" s="8"/>
      <c r="E20" s="7"/>
      <c r="F20" s="8"/>
      <c r="G20" s="8"/>
      <c r="H20" s="8"/>
      <c r="I20" s="8"/>
      <c r="J20" s="10"/>
      <c r="K20" s="8" t="s">
        <v>199</v>
      </c>
      <c r="L20" s="8"/>
      <c r="M20" s="8"/>
    </row>
    <row r="21" customFormat="false" ht="15" hidden="false" customHeight="false" outlineLevel="0" collapsed="false">
      <c r="A21" s="4" t="s">
        <v>214</v>
      </c>
      <c r="B21" s="8"/>
      <c r="C21" s="8"/>
      <c r="D21" s="8"/>
      <c r="E21" s="7"/>
      <c r="F21" s="8"/>
      <c r="G21" s="8"/>
      <c r="H21" s="8"/>
      <c r="I21" s="8"/>
      <c r="J21" s="10"/>
      <c r="K21" s="8" t="s">
        <v>199</v>
      </c>
      <c r="L21" s="8"/>
      <c r="M21" s="8"/>
    </row>
    <row r="22" customFormat="false" ht="15" hidden="false" customHeight="false" outlineLevel="0" collapsed="false">
      <c r="A22" s="4" t="s">
        <v>215</v>
      </c>
      <c r="B22" s="8"/>
      <c r="C22" s="8"/>
      <c r="D22" s="8"/>
      <c r="E22" s="7"/>
      <c r="F22" s="8"/>
      <c r="G22" s="8"/>
      <c r="H22" s="8"/>
      <c r="I22" s="8"/>
      <c r="J22" s="10"/>
      <c r="K22" s="8" t="s">
        <v>199</v>
      </c>
      <c r="L22" s="8"/>
      <c r="M22" s="8"/>
    </row>
    <row r="23" customFormat="false" ht="15" hidden="false" customHeight="false" outlineLevel="0" collapsed="false">
      <c r="A23" s="4" t="s">
        <v>216</v>
      </c>
      <c r="B23" s="8"/>
      <c r="C23" s="8"/>
      <c r="D23" s="8"/>
      <c r="E23" s="7"/>
      <c r="F23" s="8"/>
      <c r="G23" s="8"/>
      <c r="H23" s="8"/>
      <c r="I23" s="8"/>
      <c r="J23" s="10"/>
      <c r="K23" s="8" t="s">
        <v>199</v>
      </c>
      <c r="L23" s="8"/>
      <c r="M23" s="8"/>
    </row>
    <row r="24" customFormat="false" ht="15" hidden="false" customHeight="false" outlineLevel="0" collapsed="false">
      <c r="A24" s="4" t="s">
        <v>217</v>
      </c>
      <c r="B24" s="8"/>
      <c r="C24" s="8"/>
      <c r="D24" s="8"/>
      <c r="E24" s="7"/>
      <c r="F24" s="8"/>
      <c r="G24" s="8"/>
      <c r="H24" s="8"/>
      <c r="I24" s="8"/>
      <c r="J24" s="10"/>
      <c r="K24" s="8" t="s">
        <v>199</v>
      </c>
      <c r="L24" s="8"/>
      <c r="M24" s="8"/>
    </row>
    <row r="25" customFormat="false" ht="15" hidden="false" customHeight="false" outlineLevel="0" collapsed="false">
      <c r="A25" s="4" t="s">
        <v>218</v>
      </c>
      <c r="B25" s="8"/>
      <c r="C25" s="8"/>
      <c r="D25" s="8"/>
      <c r="E25" s="7"/>
      <c r="F25" s="8"/>
      <c r="G25" s="8"/>
      <c r="H25" s="8"/>
      <c r="I25" s="8"/>
      <c r="J25" s="10"/>
      <c r="K25" s="8" t="s">
        <v>199</v>
      </c>
      <c r="L25" s="8"/>
      <c r="M25" s="8"/>
    </row>
    <row r="26" customFormat="false" ht="15" hidden="false" customHeight="false" outlineLevel="0" collapsed="false">
      <c r="A26" s="4" t="s">
        <v>219</v>
      </c>
      <c r="B26" s="8"/>
      <c r="C26" s="8"/>
      <c r="D26" s="8"/>
      <c r="E26" s="7"/>
      <c r="F26" s="8"/>
      <c r="G26" s="8"/>
      <c r="H26" s="8"/>
      <c r="I26" s="8"/>
      <c r="J26" s="10"/>
      <c r="K26" s="8" t="s">
        <v>199</v>
      </c>
      <c r="L26" s="8"/>
      <c r="M26" s="8"/>
    </row>
    <row r="27" customFormat="false" ht="15" hidden="false" customHeight="false" outlineLevel="0" collapsed="false">
      <c r="A27" s="4" t="s">
        <v>220</v>
      </c>
      <c r="B27" s="8"/>
      <c r="C27" s="8"/>
      <c r="D27" s="8"/>
      <c r="E27" s="7"/>
      <c r="F27" s="8"/>
      <c r="G27" s="8"/>
      <c r="H27" s="8"/>
      <c r="I27" s="8"/>
      <c r="J27" s="10"/>
      <c r="K27" s="8" t="s">
        <v>199</v>
      </c>
      <c r="L27" s="8"/>
      <c r="M27" s="8"/>
    </row>
    <row r="28" customFormat="false" ht="15" hidden="false" customHeight="false" outlineLevel="0" collapsed="false">
      <c r="A28" s="4" t="s">
        <v>221</v>
      </c>
      <c r="B28" s="8"/>
      <c r="C28" s="8"/>
      <c r="D28" s="8"/>
      <c r="E28" s="7"/>
      <c r="F28" s="8"/>
      <c r="G28" s="8"/>
      <c r="H28" s="8"/>
      <c r="I28" s="8"/>
      <c r="J28" s="10"/>
      <c r="K28" s="8" t="s">
        <v>199</v>
      </c>
      <c r="L28" s="8"/>
      <c r="M28" s="8"/>
    </row>
    <row r="29" customFormat="false" ht="15" hidden="false" customHeight="false" outlineLevel="0" collapsed="false">
      <c r="A29" s="4" t="s">
        <v>222</v>
      </c>
      <c r="B29" s="8"/>
      <c r="C29" s="8"/>
      <c r="D29" s="8"/>
      <c r="E29" s="7"/>
      <c r="F29" s="8"/>
      <c r="G29" s="8"/>
      <c r="H29" s="8"/>
      <c r="I29" s="8"/>
      <c r="J29" s="10"/>
      <c r="K29" s="8" t="s">
        <v>199</v>
      </c>
      <c r="L29" s="8"/>
      <c r="M29" s="8"/>
    </row>
    <row r="30" customFormat="false" ht="15" hidden="false" customHeight="false" outlineLevel="0" collapsed="false">
      <c r="A30" s="4" t="s">
        <v>223</v>
      </c>
      <c r="B30" s="8"/>
      <c r="C30" s="8"/>
      <c r="D30" s="8"/>
      <c r="E30" s="7"/>
      <c r="F30" s="8"/>
      <c r="G30" s="8"/>
      <c r="H30" s="8"/>
      <c r="I30" s="8"/>
      <c r="J30" s="10"/>
      <c r="K30" s="8" t="s">
        <v>199</v>
      </c>
      <c r="L30" s="8"/>
      <c r="M30" s="8"/>
    </row>
    <row r="31" customFormat="false" ht="15" hidden="false" customHeight="false" outlineLevel="0" collapsed="false">
      <c r="A31" s="4" t="s">
        <v>224</v>
      </c>
      <c r="B31" s="8"/>
      <c r="C31" s="8"/>
      <c r="D31" s="8"/>
      <c r="E31" s="7"/>
      <c r="F31" s="8"/>
      <c r="G31" s="8"/>
      <c r="H31" s="8"/>
      <c r="I31" s="8"/>
      <c r="J31" s="10"/>
      <c r="K31" s="8" t="s">
        <v>199</v>
      </c>
      <c r="L31" s="8"/>
      <c r="M31" s="8"/>
    </row>
    <row r="32" customFormat="false" ht="15" hidden="false" customHeight="false" outlineLevel="0" collapsed="false">
      <c r="A32" s="4" t="s">
        <v>225</v>
      </c>
      <c r="B32" s="8"/>
      <c r="C32" s="8"/>
      <c r="D32" s="8"/>
      <c r="E32" s="7"/>
      <c r="F32" s="8"/>
      <c r="G32" s="8"/>
      <c r="H32" s="8"/>
      <c r="I32" s="8"/>
      <c r="J32" s="10"/>
      <c r="K32" s="8" t="s">
        <v>199</v>
      </c>
      <c r="L32" s="8"/>
      <c r="M32" s="8"/>
    </row>
    <row r="33" customFormat="false" ht="15" hidden="false" customHeight="false" outlineLevel="0" collapsed="false">
      <c r="A33" s="4" t="s">
        <v>226</v>
      </c>
      <c r="B33" s="8"/>
      <c r="C33" s="8"/>
      <c r="D33" s="8"/>
      <c r="E33" s="7"/>
      <c r="F33" s="8"/>
      <c r="G33" s="8"/>
      <c r="H33" s="8"/>
      <c r="I33" s="8"/>
      <c r="J33" s="10"/>
      <c r="K33" s="8" t="s">
        <v>199</v>
      </c>
      <c r="L33" s="8"/>
      <c r="M33" s="8"/>
    </row>
    <row r="34" customFormat="false" ht="15" hidden="false" customHeight="false" outlineLevel="0" collapsed="false">
      <c r="A34" s="4" t="s">
        <v>227</v>
      </c>
      <c r="B34" s="8"/>
      <c r="C34" s="8"/>
      <c r="D34" s="8"/>
      <c r="E34" s="7"/>
      <c r="F34" s="8"/>
      <c r="G34" s="8"/>
      <c r="H34" s="8"/>
      <c r="I34" s="8"/>
      <c r="J34" s="10"/>
      <c r="K34" s="8" t="s">
        <v>199</v>
      </c>
      <c r="L34" s="8"/>
      <c r="M34" s="8"/>
    </row>
    <row r="35" customFormat="false" ht="15" hidden="false" customHeight="false" outlineLevel="0" collapsed="false">
      <c r="A35" s="4" t="s">
        <v>228</v>
      </c>
      <c r="B35" s="8"/>
      <c r="C35" s="8"/>
      <c r="D35" s="8"/>
      <c r="E35" s="7"/>
      <c r="F35" s="8"/>
      <c r="G35" s="8"/>
      <c r="H35" s="8"/>
      <c r="I35" s="8"/>
      <c r="J35" s="10"/>
      <c r="K35" s="8" t="s">
        <v>199</v>
      </c>
      <c r="L35" s="8"/>
      <c r="M35" s="8"/>
    </row>
    <row r="36" customFormat="false" ht="15" hidden="false" customHeight="false" outlineLevel="0" collapsed="false">
      <c r="A36" s="4" t="s">
        <v>229</v>
      </c>
      <c r="B36" s="8"/>
      <c r="C36" s="8"/>
      <c r="D36" s="8"/>
      <c r="E36" s="7"/>
      <c r="F36" s="8"/>
      <c r="G36" s="8"/>
      <c r="H36" s="8"/>
      <c r="I36" s="8"/>
      <c r="J36" s="10"/>
      <c r="K36" s="8" t="s">
        <v>199</v>
      </c>
      <c r="L36" s="8"/>
      <c r="M36" s="8"/>
    </row>
    <row r="37" customFormat="false" ht="15" hidden="false" customHeight="false" outlineLevel="0" collapsed="false">
      <c r="A37" s="4" t="s">
        <v>230</v>
      </c>
      <c r="B37" s="8"/>
      <c r="C37" s="8"/>
      <c r="D37" s="8"/>
      <c r="E37" s="7"/>
      <c r="F37" s="8"/>
      <c r="G37" s="8"/>
      <c r="H37" s="8"/>
      <c r="I37" s="8"/>
      <c r="J37" s="10"/>
      <c r="K37" s="8" t="s">
        <v>199</v>
      </c>
      <c r="L37" s="8"/>
      <c r="M37" s="8"/>
    </row>
    <row r="38" customFormat="false" ht="15" hidden="false" customHeight="false" outlineLevel="0" collapsed="false">
      <c r="A38" s="4" t="s">
        <v>231</v>
      </c>
      <c r="B38" s="8"/>
      <c r="C38" s="8"/>
      <c r="D38" s="8"/>
      <c r="E38" s="7"/>
      <c r="F38" s="8"/>
      <c r="G38" s="8"/>
      <c r="H38" s="8"/>
      <c r="I38" s="8"/>
      <c r="J38" s="10"/>
      <c r="K38" s="8" t="s">
        <v>199</v>
      </c>
      <c r="L38" s="8"/>
      <c r="M38" s="8"/>
    </row>
    <row r="39" customFormat="false" ht="15" hidden="false" customHeight="false" outlineLevel="0" collapsed="false">
      <c r="A39" s="4" t="s">
        <v>232</v>
      </c>
      <c r="B39" s="8"/>
      <c r="C39" s="8"/>
      <c r="D39" s="8"/>
      <c r="E39" s="7"/>
      <c r="F39" s="8"/>
      <c r="G39" s="8"/>
      <c r="H39" s="8"/>
      <c r="I39" s="8"/>
      <c r="J39" s="10"/>
      <c r="K39" s="8" t="s">
        <v>199</v>
      </c>
      <c r="L39" s="8"/>
      <c r="M39" s="8"/>
    </row>
    <row r="40" customFormat="false" ht="15" hidden="false" customHeight="false" outlineLevel="0" collapsed="false">
      <c r="A40" s="4" t="s">
        <v>233</v>
      </c>
      <c r="B40" s="8"/>
      <c r="C40" s="8"/>
      <c r="D40" s="8"/>
      <c r="E40" s="7"/>
      <c r="F40" s="8"/>
      <c r="G40" s="8"/>
      <c r="H40" s="8"/>
      <c r="I40" s="8"/>
      <c r="J40" s="10"/>
      <c r="K40" s="8" t="s">
        <v>199</v>
      </c>
      <c r="L40" s="8"/>
      <c r="M40" s="8"/>
    </row>
    <row r="41" customFormat="false" ht="15" hidden="false" customHeight="false" outlineLevel="0" collapsed="false">
      <c r="A41" s="4" t="s">
        <v>234</v>
      </c>
      <c r="B41" s="8"/>
      <c r="C41" s="8"/>
      <c r="D41" s="8"/>
      <c r="E41" s="7"/>
      <c r="F41" s="8"/>
      <c r="G41" s="8"/>
      <c r="H41" s="8"/>
      <c r="I41" s="8"/>
      <c r="J41" s="10"/>
      <c r="K41" s="8" t="s">
        <v>199</v>
      </c>
      <c r="L41" s="8"/>
      <c r="M41" s="8"/>
    </row>
    <row r="42" customFormat="false" ht="15" hidden="false" customHeight="false" outlineLevel="0" collapsed="false">
      <c r="A42" s="4" t="s">
        <v>235</v>
      </c>
      <c r="B42" s="8"/>
      <c r="C42" s="8"/>
      <c r="D42" s="8"/>
      <c r="E42" s="7"/>
      <c r="F42" s="8"/>
      <c r="G42" s="8"/>
      <c r="H42" s="8"/>
      <c r="I42" s="8"/>
      <c r="J42" s="10"/>
      <c r="K42" s="8" t="s">
        <v>199</v>
      </c>
      <c r="L42" s="8"/>
      <c r="M42" s="8"/>
    </row>
    <row r="43" customFormat="false" ht="15" hidden="false" customHeight="false" outlineLevel="0" collapsed="false">
      <c r="A43" s="4" t="s">
        <v>236</v>
      </c>
      <c r="B43" s="8"/>
      <c r="C43" s="8"/>
      <c r="D43" s="8"/>
      <c r="E43" s="7"/>
      <c r="F43" s="8"/>
      <c r="G43" s="8"/>
      <c r="H43" s="8"/>
      <c r="I43" s="8"/>
      <c r="J43" s="10"/>
      <c r="K43" s="8" t="s">
        <v>199</v>
      </c>
      <c r="L43" s="8"/>
      <c r="M43" s="8"/>
    </row>
    <row r="44" customFormat="false" ht="15" hidden="false" customHeight="false" outlineLevel="0" collapsed="false">
      <c r="A44" s="4" t="s">
        <v>237</v>
      </c>
      <c r="B44" s="8"/>
      <c r="C44" s="8"/>
      <c r="D44" s="8"/>
      <c r="E44" s="7"/>
      <c r="F44" s="8"/>
      <c r="G44" s="8"/>
      <c r="H44" s="8"/>
      <c r="I44" s="8"/>
      <c r="J44" s="10"/>
      <c r="K44" s="8" t="s">
        <v>199</v>
      </c>
      <c r="L44" s="8"/>
      <c r="M44" s="8"/>
    </row>
    <row r="45" customFormat="false" ht="15" hidden="false" customHeight="false" outlineLevel="0" collapsed="false">
      <c r="A45" s="4" t="s">
        <v>238</v>
      </c>
      <c r="B45" s="8"/>
      <c r="C45" s="8"/>
      <c r="D45" s="8"/>
      <c r="E45" s="7"/>
      <c r="F45" s="8"/>
      <c r="G45" s="8"/>
      <c r="H45" s="8"/>
      <c r="I45" s="8"/>
      <c r="J45" s="10"/>
      <c r="K45" s="8" t="s">
        <v>199</v>
      </c>
      <c r="L45" s="8"/>
      <c r="M45" s="8"/>
    </row>
  </sheetData>
  <mergeCells count="2">
    <mergeCell ref="A1:M1"/>
    <mergeCell ref="A2:M2"/>
  </mergeCells>
  <dataValidations count="1">
    <dataValidation allowBlank="false" errorStyle="stop" operator="between" showDropDown="false" showErrorMessage="false" showInputMessage="false" sqref="K6:K45" type="list">
      <formula1>"Open,In Progress,Resolved,Closed"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15"/>
    <col collapsed="false" customWidth="true" hidden="false" outlineLevel="0" max="5" min="5" style="0" width="24"/>
    <col collapsed="false" customWidth="true" hidden="false" outlineLevel="0" max="7" min="6" style="0" width="12"/>
    <col collapsed="false" customWidth="true" hidden="false" outlineLevel="0" max="8" min="8" style="0" width="13"/>
    <col collapsed="false" customWidth="true" hidden="false" outlineLevel="0" max="9" min="9" style="0" width="42"/>
    <col collapsed="false" customWidth="true" hidden="false" outlineLevel="0" max="10" min="10" style="0" width="14"/>
  </cols>
  <sheetData>
    <row r="1" customFormat="false" ht="30" hidden="false" customHeight="true" outlineLevel="0" collapsed="false">
      <c r="A1" s="1" t="s">
        <v>239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8" hidden="false" customHeight="true" outlineLevel="0" collapsed="false">
      <c r="A2" s="2" t="s">
        <v>240</v>
      </c>
      <c r="B2" s="2"/>
      <c r="C2" s="2"/>
      <c r="D2" s="2"/>
      <c r="E2" s="2"/>
      <c r="F2" s="2"/>
      <c r="G2" s="2"/>
      <c r="H2" s="2"/>
      <c r="I2" s="2"/>
      <c r="J2" s="2"/>
    </row>
    <row r="5" customFormat="false" ht="34" hidden="false" customHeight="true" outlineLevel="0" collapsed="false">
      <c r="A5" s="3" t="s">
        <v>241</v>
      </c>
      <c r="B5" s="3" t="s">
        <v>242</v>
      </c>
      <c r="C5" s="3" t="s">
        <v>243</v>
      </c>
      <c r="D5" s="3" t="s">
        <v>190</v>
      </c>
      <c r="E5" s="3" t="s">
        <v>244</v>
      </c>
      <c r="F5" s="3" t="s">
        <v>31</v>
      </c>
      <c r="G5" s="3" t="s">
        <v>107</v>
      </c>
      <c r="H5" s="3" t="s">
        <v>245</v>
      </c>
      <c r="I5" s="3" t="s">
        <v>246</v>
      </c>
      <c r="J5" s="3" t="s">
        <v>247</v>
      </c>
    </row>
    <row r="6" customFormat="false" ht="15" hidden="false" customHeight="false" outlineLevel="0" collapsed="false">
      <c r="A6" s="4" t="s">
        <v>248</v>
      </c>
      <c r="B6" s="9" t="s">
        <v>249</v>
      </c>
      <c r="C6" s="4" t="s">
        <v>250</v>
      </c>
      <c r="D6" s="5" t="n">
        <v>1130000</v>
      </c>
      <c r="E6" s="8" t="s">
        <v>122</v>
      </c>
      <c r="F6" s="8" t="s">
        <v>41</v>
      </c>
      <c r="G6" s="8" t="s">
        <v>121</v>
      </c>
      <c r="H6" s="8" t="s">
        <v>251</v>
      </c>
      <c r="I6" s="8" t="s">
        <v>252</v>
      </c>
      <c r="J6" s="8" t="s">
        <v>253</v>
      </c>
    </row>
    <row r="7" customFormat="false" ht="15" hidden="false" customHeight="false" outlineLevel="0" collapsed="false">
      <c r="A7" s="4" t="s">
        <v>254</v>
      </c>
      <c r="B7" s="9" t="s">
        <v>249</v>
      </c>
      <c r="C7" s="4" t="s">
        <v>255</v>
      </c>
      <c r="D7" s="5" t="n">
        <v>226000</v>
      </c>
      <c r="E7" s="8"/>
      <c r="F7" s="8"/>
      <c r="G7" s="8"/>
      <c r="H7" s="8" t="s">
        <v>256</v>
      </c>
      <c r="I7" s="8" t="s">
        <v>257</v>
      </c>
      <c r="J7" s="8" t="s">
        <v>258</v>
      </c>
    </row>
    <row r="8" customFormat="false" ht="15" hidden="false" customHeight="false" outlineLevel="0" collapsed="false">
      <c r="A8" s="4" t="s">
        <v>259</v>
      </c>
      <c r="B8" s="9"/>
      <c r="C8" s="4"/>
      <c r="D8" s="5"/>
      <c r="E8" s="8"/>
      <c r="F8" s="8"/>
      <c r="G8" s="8"/>
      <c r="H8" s="8" t="s">
        <v>256</v>
      </c>
      <c r="I8" s="8"/>
      <c r="J8" s="8"/>
    </row>
    <row r="9" customFormat="false" ht="15" hidden="false" customHeight="false" outlineLevel="0" collapsed="false">
      <c r="A9" s="4" t="s">
        <v>260</v>
      </c>
      <c r="B9" s="9"/>
      <c r="C9" s="4"/>
      <c r="D9" s="5"/>
      <c r="E9" s="8"/>
      <c r="F9" s="8"/>
      <c r="G9" s="8"/>
      <c r="H9" s="8" t="s">
        <v>256</v>
      </c>
      <c r="I9" s="8"/>
      <c r="J9" s="8"/>
    </row>
    <row r="10" customFormat="false" ht="15" hidden="false" customHeight="false" outlineLevel="0" collapsed="false">
      <c r="A10" s="4" t="s">
        <v>261</v>
      </c>
      <c r="B10" s="9"/>
      <c r="C10" s="4"/>
      <c r="D10" s="5"/>
      <c r="E10" s="8"/>
      <c r="F10" s="8"/>
      <c r="G10" s="8"/>
      <c r="H10" s="8" t="s">
        <v>256</v>
      </c>
      <c r="I10" s="8"/>
      <c r="J10" s="8"/>
    </row>
    <row r="11" customFormat="false" ht="15" hidden="false" customHeight="false" outlineLevel="0" collapsed="false">
      <c r="A11" s="4" t="s">
        <v>262</v>
      </c>
      <c r="B11" s="9"/>
      <c r="C11" s="4"/>
      <c r="D11" s="5"/>
      <c r="E11" s="8"/>
      <c r="F11" s="8"/>
      <c r="G11" s="8"/>
      <c r="H11" s="8" t="s">
        <v>256</v>
      </c>
      <c r="I11" s="8"/>
      <c r="J11" s="8"/>
    </row>
    <row r="12" customFormat="false" ht="15" hidden="false" customHeight="false" outlineLevel="0" collapsed="false">
      <c r="A12" s="4" t="s">
        <v>263</v>
      </c>
      <c r="B12" s="9"/>
      <c r="C12" s="4"/>
      <c r="D12" s="5"/>
      <c r="E12" s="8"/>
      <c r="F12" s="8"/>
      <c r="G12" s="8"/>
      <c r="H12" s="8" t="s">
        <v>256</v>
      </c>
      <c r="I12" s="8"/>
      <c r="J12" s="8"/>
    </row>
    <row r="13" customFormat="false" ht="15" hidden="false" customHeight="false" outlineLevel="0" collapsed="false">
      <c r="A13" s="4" t="s">
        <v>264</v>
      </c>
      <c r="B13" s="9"/>
      <c r="C13" s="4"/>
      <c r="D13" s="5"/>
      <c r="E13" s="8"/>
      <c r="F13" s="8"/>
      <c r="G13" s="8"/>
      <c r="H13" s="8" t="s">
        <v>256</v>
      </c>
      <c r="I13" s="8"/>
      <c r="J13" s="8"/>
    </row>
    <row r="14" customFormat="false" ht="15" hidden="false" customHeight="false" outlineLevel="0" collapsed="false">
      <c r="A14" s="4" t="s">
        <v>265</v>
      </c>
      <c r="B14" s="9"/>
      <c r="C14" s="4"/>
      <c r="D14" s="5"/>
      <c r="E14" s="8"/>
      <c r="F14" s="8"/>
      <c r="G14" s="8"/>
      <c r="H14" s="8" t="s">
        <v>256</v>
      </c>
      <c r="I14" s="8"/>
      <c r="J14" s="8"/>
    </row>
    <row r="15" customFormat="false" ht="15" hidden="false" customHeight="false" outlineLevel="0" collapsed="false">
      <c r="A15" s="4" t="s">
        <v>266</v>
      </c>
      <c r="B15" s="9"/>
      <c r="C15" s="4"/>
      <c r="D15" s="5"/>
      <c r="E15" s="8"/>
      <c r="F15" s="8"/>
      <c r="G15" s="8"/>
      <c r="H15" s="8" t="s">
        <v>256</v>
      </c>
      <c r="I15" s="8"/>
      <c r="J15" s="8"/>
    </row>
    <row r="16" customFormat="false" ht="15" hidden="false" customHeight="false" outlineLevel="0" collapsed="false">
      <c r="A16" s="4" t="s">
        <v>267</v>
      </c>
      <c r="B16" s="9"/>
      <c r="C16" s="4"/>
      <c r="D16" s="5"/>
      <c r="E16" s="8"/>
      <c r="F16" s="8"/>
      <c r="G16" s="8"/>
      <c r="H16" s="8" t="s">
        <v>256</v>
      </c>
      <c r="I16" s="8"/>
      <c r="J16" s="8"/>
    </row>
    <row r="17" customFormat="false" ht="15" hidden="false" customHeight="false" outlineLevel="0" collapsed="false">
      <c r="A17" s="4" t="s">
        <v>268</v>
      </c>
      <c r="B17" s="9"/>
      <c r="C17" s="4"/>
      <c r="D17" s="5"/>
      <c r="E17" s="8"/>
      <c r="F17" s="8"/>
      <c r="G17" s="8"/>
      <c r="H17" s="8" t="s">
        <v>256</v>
      </c>
      <c r="I17" s="8"/>
      <c r="J17" s="8"/>
    </row>
    <row r="18" customFormat="false" ht="15" hidden="false" customHeight="false" outlineLevel="0" collapsed="false">
      <c r="A18" s="4" t="s">
        <v>269</v>
      </c>
      <c r="B18" s="9"/>
      <c r="C18" s="4"/>
      <c r="D18" s="5"/>
      <c r="E18" s="8"/>
      <c r="F18" s="8"/>
      <c r="G18" s="8"/>
      <c r="H18" s="8" t="s">
        <v>256</v>
      </c>
      <c r="I18" s="8"/>
      <c r="J18" s="8"/>
    </row>
    <row r="19" customFormat="false" ht="15" hidden="false" customHeight="false" outlineLevel="0" collapsed="false">
      <c r="A19" s="4" t="s">
        <v>270</v>
      </c>
      <c r="B19" s="9"/>
      <c r="C19" s="4"/>
      <c r="D19" s="5"/>
      <c r="E19" s="8"/>
      <c r="F19" s="8"/>
      <c r="G19" s="8"/>
      <c r="H19" s="8" t="s">
        <v>256</v>
      </c>
      <c r="I19" s="8"/>
      <c r="J19" s="8"/>
    </row>
    <row r="20" customFormat="false" ht="15" hidden="false" customHeight="false" outlineLevel="0" collapsed="false">
      <c r="A20" s="4" t="s">
        <v>271</v>
      </c>
      <c r="B20" s="9"/>
      <c r="C20" s="4"/>
      <c r="D20" s="5"/>
      <c r="E20" s="8"/>
      <c r="F20" s="8"/>
      <c r="G20" s="8"/>
      <c r="H20" s="8" t="s">
        <v>256</v>
      </c>
      <c r="I20" s="8"/>
      <c r="J20" s="8"/>
    </row>
    <row r="21" customFormat="false" ht="15" hidden="false" customHeight="false" outlineLevel="0" collapsed="false">
      <c r="A21" s="4" t="s">
        <v>272</v>
      </c>
      <c r="B21" s="9"/>
      <c r="C21" s="4"/>
      <c r="D21" s="5"/>
      <c r="E21" s="8"/>
      <c r="F21" s="8"/>
      <c r="G21" s="8"/>
      <c r="H21" s="8" t="s">
        <v>256</v>
      </c>
      <c r="I21" s="8"/>
      <c r="J21" s="8"/>
    </row>
    <row r="22" customFormat="false" ht="15" hidden="false" customHeight="false" outlineLevel="0" collapsed="false">
      <c r="A22" s="4" t="s">
        <v>273</v>
      </c>
      <c r="B22" s="9"/>
      <c r="C22" s="4"/>
      <c r="D22" s="5"/>
      <c r="E22" s="8"/>
      <c r="F22" s="8"/>
      <c r="G22" s="8"/>
      <c r="H22" s="8" t="s">
        <v>256</v>
      </c>
      <c r="I22" s="8"/>
      <c r="J22" s="8"/>
    </row>
    <row r="23" customFormat="false" ht="15" hidden="false" customHeight="false" outlineLevel="0" collapsed="false">
      <c r="A23" s="4" t="s">
        <v>274</v>
      </c>
      <c r="B23" s="9"/>
      <c r="C23" s="4"/>
      <c r="D23" s="5"/>
      <c r="E23" s="8"/>
      <c r="F23" s="8"/>
      <c r="G23" s="8"/>
      <c r="H23" s="8" t="s">
        <v>256</v>
      </c>
      <c r="I23" s="8"/>
      <c r="J23" s="8"/>
    </row>
    <row r="24" customFormat="false" ht="15" hidden="false" customHeight="false" outlineLevel="0" collapsed="false">
      <c r="A24" s="4" t="s">
        <v>275</v>
      </c>
      <c r="B24" s="9"/>
      <c r="C24" s="4"/>
      <c r="D24" s="5"/>
      <c r="E24" s="8"/>
      <c r="F24" s="8"/>
      <c r="G24" s="8"/>
      <c r="H24" s="8" t="s">
        <v>256</v>
      </c>
      <c r="I24" s="8"/>
      <c r="J24" s="8"/>
    </row>
    <row r="25" customFormat="false" ht="15" hidden="false" customHeight="false" outlineLevel="0" collapsed="false">
      <c r="A25" s="4" t="s">
        <v>276</v>
      </c>
      <c r="B25" s="9"/>
      <c r="C25" s="4"/>
      <c r="D25" s="5"/>
      <c r="E25" s="8"/>
      <c r="F25" s="8"/>
      <c r="G25" s="8"/>
      <c r="H25" s="8" t="s">
        <v>256</v>
      </c>
      <c r="I25" s="8"/>
      <c r="J25" s="8"/>
    </row>
    <row r="26" customFormat="false" ht="15" hidden="false" customHeight="false" outlineLevel="0" collapsed="false">
      <c r="A26" s="4" t="s">
        <v>277</v>
      </c>
      <c r="B26" s="9"/>
      <c r="C26" s="4"/>
      <c r="D26" s="5"/>
      <c r="E26" s="8"/>
      <c r="F26" s="8"/>
      <c r="G26" s="8"/>
      <c r="H26" s="8" t="s">
        <v>256</v>
      </c>
      <c r="I26" s="8"/>
      <c r="J26" s="8"/>
    </row>
    <row r="27" customFormat="false" ht="15" hidden="false" customHeight="false" outlineLevel="0" collapsed="false">
      <c r="A27" s="4" t="s">
        <v>278</v>
      </c>
      <c r="B27" s="9"/>
      <c r="C27" s="4"/>
      <c r="D27" s="5"/>
      <c r="E27" s="8"/>
      <c r="F27" s="8"/>
      <c r="G27" s="8"/>
      <c r="H27" s="8" t="s">
        <v>256</v>
      </c>
      <c r="I27" s="8"/>
      <c r="J27" s="8"/>
    </row>
    <row r="28" customFormat="false" ht="15" hidden="false" customHeight="false" outlineLevel="0" collapsed="false">
      <c r="A28" s="4" t="s">
        <v>279</v>
      </c>
      <c r="B28" s="9"/>
      <c r="C28" s="4"/>
      <c r="D28" s="5"/>
      <c r="E28" s="8"/>
      <c r="F28" s="8"/>
      <c r="G28" s="8"/>
      <c r="H28" s="8" t="s">
        <v>256</v>
      </c>
      <c r="I28" s="8"/>
      <c r="J28" s="8"/>
    </row>
    <row r="29" customFormat="false" ht="15" hidden="false" customHeight="false" outlineLevel="0" collapsed="false">
      <c r="A29" s="4" t="s">
        <v>280</v>
      </c>
      <c r="B29" s="9"/>
      <c r="C29" s="4"/>
      <c r="D29" s="5"/>
      <c r="E29" s="8"/>
      <c r="F29" s="8"/>
      <c r="G29" s="8"/>
      <c r="H29" s="8" t="s">
        <v>256</v>
      </c>
      <c r="I29" s="8"/>
      <c r="J29" s="8"/>
    </row>
    <row r="30" customFormat="false" ht="15" hidden="false" customHeight="false" outlineLevel="0" collapsed="false">
      <c r="A30" s="4" t="s">
        <v>281</v>
      </c>
      <c r="B30" s="9"/>
      <c r="C30" s="4"/>
      <c r="D30" s="5"/>
      <c r="E30" s="8"/>
      <c r="F30" s="8"/>
      <c r="G30" s="8"/>
      <c r="H30" s="8" t="s">
        <v>256</v>
      </c>
      <c r="I30" s="8"/>
      <c r="J30" s="8"/>
    </row>
    <row r="31" customFormat="false" ht="15" hidden="false" customHeight="false" outlineLevel="0" collapsed="false">
      <c r="A31" s="4" t="s">
        <v>282</v>
      </c>
      <c r="B31" s="9"/>
      <c r="C31" s="4"/>
      <c r="D31" s="5"/>
      <c r="E31" s="8"/>
      <c r="F31" s="8"/>
      <c r="G31" s="8"/>
      <c r="H31" s="8" t="s">
        <v>256</v>
      </c>
      <c r="I31" s="8"/>
      <c r="J31" s="8"/>
    </row>
    <row r="32" customFormat="false" ht="15" hidden="false" customHeight="false" outlineLevel="0" collapsed="false">
      <c r="A32" s="4" t="s">
        <v>283</v>
      </c>
      <c r="B32" s="9"/>
      <c r="C32" s="4"/>
      <c r="D32" s="5"/>
      <c r="E32" s="8"/>
      <c r="F32" s="8"/>
      <c r="G32" s="8"/>
      <c r="H32" s="8" t="s">
        <v>256</v>
      </c>
      <c r="I32" s="8"/>
      <c r="J32" s="8"/>
    </row>
    <row r="33" customFormat="false" ht="15" hidden="false" customHeight="false" outlineLevel="0" collapsed="false">
      <c r="A33" s="4" t="s">
        <v>284</v>
      </c>
      <c r="B33" s="9"/>
      <c r="C33" s="4"/>
      <c r="D33" s="5"/>
      <c r="E33" s="8"/>
      <c r="F33" s="8"/>
      <c r="G33" s="8"/>
      <c r="H33" s="8" t="s">
        <v>256</v>
      </c>
      <c r="I33" s="8"/>
      <c r="J33" s="8"/>
    </row>
    <row r="34" customFormat="false" ht="15" hidden="false" customHeight="false" outlineLevel="0" collapsed="false">
      <c r="A34" s="4" t="s">
        <v>285</v>
      </c>
      <c r="B34" s="9"/>
      <c r="C34" s="4"/>
      <c r="D34" s="5"/>
      <c r="E34" s="8"/>
      <c r="F34" s="8"/>
      <c r="G34" s="8"/>
      <c r="H34" s="8" t="s">
        <v>256</v>
      </c>
      <c r="I34" s="8"/>
      <c r="J34" s="8"/>
    </row>
    <row r="35" customFormat="false" ht="15" hidden="false" customHeight="false" outlineLevel="0" collapsed="false">
      <c r="A35" s="4" t="s">
        <v>286</v>
      </c>
      <c r="B35" s="9"/>
      <c r="C35" s="4"/>
      <c r="D35" s="5"/>
      <c r="E35" s="8"/>
      <c r="F35" s="8"/>
      <c r="G35" s="8"/>
      <c r="H35" s="8" t="s">
        <v>256</v>
      </c>
      <c r="I35" s="8"/>
      <c r="J35" s="8"/>
    </row>
    <row r="36" customFormat="false" ht="15" hidden="false" customHeight="false" outlineLevel="0" collapsed="false">
      <c r="A36" s="4" t="s">
        <v>287</v>
      </c>
      <c r="B36" s="9"/>
      <c r="C36" s="4"/>
      <c r="D36" s="5"/>
      <c r="E36" s="8"/>
      <c r="F36" s="8"/>
      <c r="G36" s="8"/>
      <c r="H36" s="8" t="s">
        <v>256</v>
      </c>
      <c r="I36" s="8"/>
      <c r="J36" s="8"/>
    </row>
    <row r="37" customFormat="false" ht="15" hidden="false" customHeight="false" outlineLevel="0" collapsed="false">
      <c r="A37" s="4" t="s">
        <v>288</v>
      </c>
      <c r="B37" s="9"/>
      <c r="C37" s="4"/>
      <c r="D37" s="5"/>
      <c r="E37" s="8"/>
      <c r="F37" s="8"/>
      <c r="G37" s="8"/>
      <c r="H37" s="8" t="s">
        <v>256</v>
      </c>
      <c r="I37" s="8"/>
      <c r="J37" s="8"/>
    </row>
    <row r="38" customFormat="false" ht="15" hidden="false" customHeight="false" outlineLevel="0" collapsed="false">
      <c r="A38" s="4" t="s">
        <v>289</v>
      </c>
      <c r="B38" s="9"/>
      <c r="C38" s="4"/>
      <c r="D38" s="5"/>
      <c r="E38" s="8"/>
      <c r="F38" s="8"/>
      <c r="G38" s="8"/>
      <c r="H38" s="8" t="s">
        <v>256</v>
      </c>
      <c r="I38" s="8"/>
      <c r="J38" s="8"/>
    </row>
    <row r="39" customFormat="false" ht="15" hidden="false" customHeight="false" outlineLevel="0" collapsed="false">
      <c r="A39" s="4" t="s">
        <v>290</v>
      </c>
      <c r="B39" s="9"/>
      <c r="C39" s="4"/>
      <c r="D39" s="5"/>
      <c r="E39" s="8"/>
      <c r="F39" s="8"/>
      <c r="G39" s="8"/>
      <c r="H39" s="8" t="s">
        <v>256</v>
      </c>
      <c r="I39" s="8"/>
      <c r="J39" s="8"/>
    </row>
    <row r="40" customFormat="false" ht="15" hidden="false" customHeight="false" outlineLevel="0" collapsed="false">
      <c r="A40" s="4" t="s">
        <v>291</v>
      </c>
      <c r="B40" s="9"/>
      <c r="C40" s="4"/>
      <c r="D40" s="5"/>
      <c r="E40" s="8"/>
      <c r="F40" s="8"/>
      <c r="G40" s="8"/>
      <c r="H40" s="8" t="s">
        <v>256</v>
      </c>
      <c r="I40" s="8"/>
      <c r="J40" s="8"/>
    </row>
    <row r="41" customFormat="false" ht="15" hidden="false" customHeight="false" outlineLevel="0" collapsed="false">
      <c r="A41" s="4" t="s">
        <v>292</v>
      </c>
      <c r="B41" s="9"/>
      <c r="C41" s="4"/>
      <c r="D41" s="5"/>
      <c r="E41" s="8"/>
      <c r="F41" s="8"/>
      <c r="G41" s="8"/>
      <c r="H41" s="8" t="s">
        <v>256</v>
      </c>
      <c r="I41" s="8"/>
      <c r="J41" s="8"/>
    </row>
    <row r="42" customFormat="false" ht="15" hidden="false" customHeight="false" outlineLevel="0" collapsed="false">
      <c r="A42" s="4" t="s">
        <v>293</v>
      </c>
      <c r="B42" s="9"/>
      <c r="C42" s="4"/>
      <c r="D42" s="5"/>
      <c r="E42" s="8"/>
      <c r="F42" s="8"/>
      <c r="G42" s="8"/>
      <c r="H42" s="8" t="s">
        <v>256</v>
      </c>
      <c r="I42" s="8"/>
      <c r="J42" s="8"/>
    </row>
    <row r="43" customFormat="false" ht="15" hidden="false" customHeight="false" outlineLevel="0" collapsed="false">
      <c r="A43" s="4" t="s">
        <v>294</v>
      </c>
      <c r="B43" s="9"/>
      <c r="C43" s="4"/>
      <c r="D43" s="5"/>
      <c r="E43" s="8"/>
      <c r="F43" s="8"/>
      <c r="G43" s="8"/>
      <c r="H43" s="8" t="s">
        <v>256</v>
      </c>
      <c r="I43" s="8"/>
      <c r="J43" s="8"/>
    </row>
    <row r="44" customFormat="false" ht="15" hidden="false" customHeight="false" outlineLevel="0" collapsed="false">
      <c r="A44" s="4" t="s">
        <v>295</v>
      </c>
      <c r="B44" s="9"/>
      <c r="C44" s="4"/>
      <c r="D44" s="5"/>
      <c r="E44" s="8"/>
      <c r="F44" s="8"/>
      <c r="G44" s="8"/>
      <c r="H44" s="8" t="s">
        <v>256</v>
      </c>
      <c r="I44" s="8"/>
      <c r="J44" s="8"/>
    </row>
    <row r="45" customFormat="false" ht="15" hidden="false" customHeight="false" outlineLevel="0" collapsed="false">
      <c r="A45" s="4" t="s">
        <v>296</v>
      </c>
      <c r="B45" s="9"/>
      <c r="C45" s="4"/>
      <c r="D45" s="5"/>
      <c r="E45" s="8"/>
      <c r="F45" s="8"/>
      <c r="G45" s="8"/>
      <c r="H45" s="8" t="s">
        <v>256</v>
      </c>
      <c r="I45" s="8"/>
      <c r="J45" s="8"/>
    </row>
    <row r="46" customFormat="false" ht="15" hidden="false" customHeight="false" outlineLevel="0" collapsed="false">
      <c r="A46" s="4" t="s">
        <v>297</v>
      </c>
      <c r="B46" s="9"/>
      <c r="C46" s="4"/>
      <c r="D46" s="5"/>
      <c r="E46" s="8"/>
      <c r="F46" s="8"/>
      <c r="G46" s="8"/>
      <c r="H46" s="8" t="s">
        <v>256</v>
      </c>
      <c r="I46" s="8"/>
      <c r="J46" s="8"/>
    </row>
    <row r="47" customFormat="false" ht="15" hidden="false" customHeight="false" outlineLevel="0" collapsed="false">
      <c r="A47" s="4" t="s">
        <v>298</v>
      </c>
      <c r="B47" s="9"/>
      <c r="C47" s="4"/>
      <c r="D47" s="5"/>
      <c r="E47" s="8"/>
      <c r="F47" s="8"/>
      <c r="G47" s="8"/>
      <c r="H47" s="8" t="s">
        <v>256</v>
      </c>
      <c r="I47" s="8"/>
      <c r="J47" s="8"/>
    </row>
    <row r="48" customFormat="false" ht="15" hidden="false" customHeight="false" outlineLevel="0" collapsed="false">
      <c r="A48" s="4" t="s">
        <v>299</v>
      </c>
      <c r="B48" s="9"/>
      <c r="C48" s="4"/>
      <c r="D48" s="5"/>
      <c r="E48" s="8"/>
      <c r="F48" s="8"/>
      <c r="G48" s="8"/>
      <c r="H48" s="8" t="s">
        <v>256</v>
      </c>
      <c r="I48" s="8"/>
      <c r="J48" s="8"/>
    </row>
    <row r="49" customFormat="false" ht="15" hidden="false" customHeight="false" outlineLevel="0" collapsed="false">
      <c r="A49" s="4" t="s">
        <v>300</v>
      </c>
      <c r="B49" s="9"/>
      <c r="C49" s="4"/>
      <c r="D49" s="5"/>
      <c r="E49" s="8"/>
      <c r="F49" s="8"/>
      <c r="G49" s="8"/>
      <c r="H49" s="8" t="s">
        <v>256</v>
      </c>
      <c r="I49" s="8"/>
      <c r="J49" s="8"/>
    </row>
    <row r="50" customFormat="false" ht="15" hidden="false" customHeight="false" outlineLevel="0" collapsed="false">
      <c r="A50" s="4" t="s">
        <v>301</v>
      </c>
      <c r="B50" s="9"/>
      <c r="C50" s="4"/>
      <c r="D50" s="5"/>
      <c r="E50" s="8"/>
      <c r="F50" s="8"/>
      <c r="G50" s="8"/>
      <c r="H50" s="8" t="s">
        <v>256</v>
      </c>
      <c r="I50" s="8"/>
      <c r="J50" s="8"/>
    </row>
    <row r="51" customFormat="false" ht="15" hidden="false" customHeight="false" outlineLevel="0" collapsed="false">
      <c r="A51" s="4" t="s">
        <v>302</v>
      </c>
      <c r="B51" s="9"/>
      <c r="C51" s="4"/>
      <c r="D51" s="5"/>
      <c r="E51" s="8"/>
      <c r="F51" s="8"/>
      <c r="G51" s="8"/>
      <c r="H51" s="8" t="s">
        <v>256</v>
      </c>
      <c r="I51" s="8"/>
      <c r="J51" s="8"/>
    </row>
    <row r="52" customFormat="false" ht="15" hidden="false" customHeight="false" outlineLevel="0" collapsed="false">
      <c r="A52" s="4" t="s">
        <v>303</v>
      </c>
      <c r="B52" s="9"/>
      <c r="C52" s="4"/>
      <c r="D52" s="5"/>
      <c r="E52" s="8"/>
      <c r="F52" s="8"/>
      <c r="G52" s="8"/>
      <c r="H52" s="8" t="s">
        <v>256</v>
      </c>
      <c r="I52" s="8"/>
      <c r="J52" s="8"/>
    </row>
    <row r="53" customFormat="false" ht="15" hidden="false" customHeight="false" outlineLevel="0" collapsed="false">
      <c r="A53" s="4" t="s">
        <v>304</v>
      </c>
      <c r="B53" s="9"/>
      <c r="C53" s="4"/>
      <c r="D53" s="5"/>
      <c r="E53" s="8"/>
      <c r="F53" s="8"/>
      <c r="G53" s="8"/>
      <c r="H53" s="8" t="s">
        <v>256</v>
      </c>
      <c r="I53" s="8"/>
      <c r="J53" s="8"/>
    </row>
    <row r="54" customFormat="false" ht="15" hidden="false" customHeight="false" outlineLevel="0" collapsed="false">
      <c r="A54" s="4" t="s">
        <v>305</v>
      </c>
      <c r="B54" s="9"/>
      <c r="C54" s="4"/>
      <c r="D54" s="5"/>
      <c r="E54" s="8"/>
      <c r="F54" s="8"/>
      <c r="G54" s="8"/>
      <c r="H54" s="8" t="s">
        <v>256</v>
      </c>
      <c r="I54" s="8"/>
      <c r="J54" s="8"/>
    </row>
    <row r="55" customFormat="false" ht="15" hidden="false" customHeight="false" outlineLevel="0" collapsed="false">
      <c r="A55" s="4" t="s">
        <v>306</v>
      </c>
      <c r="B55" s="9"/>
      <c r="C55" s="4"/>
      <c r="D55" s="5"/>
      <c r="E55" s="8"/>
      <c r="F55" s="8"/>
      <c r="G55" s="8"/>
      <c r="H55" s="8" t="s">
        <v>256</v>
      </c>
      <c r="I55" s="8"/>
      <c r="J55" s="8"/>
    </row>
    <row r="56" customFormat="false" ht="15" hidden="false" customHeight="false" outlineLevel="0" collapsed="false">
      <c r="A56" s="4" t="s">
        <v>307</v>
      </c>
      <c r="B56" s="9"/>
      <c r="C56" s="4"/>
      <c r="D56" s="5"/>
      <c r="E56" s="8"/>
      <c r="F56" s="8"/>
      <c r="G56" s="8"/>
      <c r="H56" s="8" t="s">
        <v>256</v>
      </c>
      <c r="I56" s="8"/>
      <c r="J56" s="8"/>
    </row>
    <row r="57" customFormat="false" ht="15" hidden="false" customHeight="false" outlineLevel="0" collapsed="false">
      <c r="A57" s="4" t="s">
        <v>308</v>
      </c>
      <c r="B57" s="9"/>
      <c r="C57" s="4"/>
      <c r="D57" s="5"/>
      <c r="E57" s="8"/>
      <c r="F57" s="8"/>
      <c r="G57" s="8"/>
      <c r="H57" s="8" t="s">
        <v>256</v>
      </c>
      <c r="I57" s="8"/>
      <c r="J57" s="8"/>
    </row>
    <row r="58" customFormat="false" ht="15" hidden="false" customHeight="false" outlineLevel="0" collapsed="false">
      <c r="A58" s="4" t="s">
        <v>309</v>
      </c>
      <c r="B58" s="9"/>
      <c r="C58" s="4"/>
      <c r="D58" s="5"/>
      <c r="E58" s="8"/>
      <c r="F58" s="8"/>
      <c r="G58" s="8"/>
      <c r="H58" s="8" t="s">
        <v>256</v>
      </c>
      <c r="I58" s="8"/>
      <c r="J58" s="8"/>
    </row>
    <row r="59" customFormat="false" ht="15" hidden="false" customHeight="false" outlineLevel="0" collapsed="false">
      <c r="A59" s="4" t="s">
        <v>310</v>
      </c>
      <c r="B59" s="9"/>
      <c r="C59" s="4"/>
      <c r="D59" s="5"/>
      <c r="E59" s="8"/>
      <c r="F59" s="8"/>
      <c r="G59" s="8"/>
      <c r="H59" s="8" t="s">
        <v>256</v>
      </c>
      <c r="I59" s="8"/>
      <c r="J59" s="8"/>
    </row>
    <row r="60" customFormat="false" ht="15" hidden="false" customHeight="false" outlineLevel="0" collapsed="false">
      <c r="A60" s="4" t="s">
        <v>311</v>
      </c>
      <c r="B60" s="9"/>
      <c r="C60" s="4"/>
      <c r="D60" s="5"/>
      <c r="E60" s="8"/>
      <c r="F60" s="8"/>
      <c r="G60" s="8"/>
      <c r="H60" s="8" t="s">
        <v>256</v>
      </c>
      <c r="I60" s="8"/>
      <c r="J60" s="8"/>
    </row>
    <row r="61" customFormat="false" ht="15" hidden="false" customHeight="false" outlineLevel="0" collapsed="false">
      <c r="A61" s="4" t="s">
        <v>312</v>
      </c>
      <c r="B61" s="9"/>
      <c r="C61" s="4"/>
      <c r="D61" s="5"/>
      <c r="E61" s="8"/>
      <c r="F61" s="8"/>
      <c r="G61" s="8"/>
      <c r="H61" s="8" t="s">
        <v>256</v>
      </c>
      <c r="I61" s="8"/>
      <c r="J61" s="8"/>
    </row>
    <row r="62" customFormat="false" ht="15" hidden="false" customHeight="false" outlineLevel="0" collapsed="false">
      <c r="A62" s="4" t="s">
        <v>313</v>
      </c>
      <c r="B62" s="9"/>
      <c r="C62" s="4"/>
      <c r="D62" s="5"/>
      <c r="E62" s="8"/>
      <c r="F62" s="8"/>
      <c r="G62" s="8"/>
      <c r="H62" s="8" t="s">
        <v>256</v>
      </c>
      <c r="I62" s="8"/>
      <c r="J62" s="8"/>
    </row>
    <row r="63" customFormat="false" ht="15" hidden="false" customHeight="false" outlineLevel="0" collapsed="false">
      <c r="A63" s="4" t="s">
        <v>314</v>
      </c>
      <c r="B63" s="9"/>
      <c r="C63" s="4"/>
      <c r="D63" s="5"/>
      <c r="E63" s="8"/>
      <c r="F63" s="8"/>
      <c r="G63" s="8"/>
      <c r="H63" s="8" t="s">
        <v>256</v>
      </c>
      <c r="I63" s="8"/>
      <c r="J63" s="8"/>
    </row>
    <row r="64" customFormat="false" ht="15" hidden="false" customHeight="false" outlineLevel="0" collapsed="false">
      <c r="A64" s="4" t="s">
        <v>315</v>
      </c>
      <c r="B64" s="9"/>
      <c r="C64" s="4"/>
      <c r="D64" s="5"/>
      <c r="E64" s="8"/>
      <c r="F64" s="8"/>
      <c r="G64" s="8"/>
      <c r="H64" s="8" t="s">
        <v>256</v>
      </c>
      <c r="I64" s="8"/>
      <c r="J64" s="8"/>
    </row>
    <row r="65" customFormat="false" ht="15" hidden="false" customHeight="false" outlineLevel="0" collapsed="false">
      <c r="A65" s="4" t="s">
        <v>316</v>
      </c>
      <c r="B65" s="9"/>
      <c r="C65" s="4"/>
      <c r="D65" s="5"/>
      <c r="E65" s="8"/>
      <c r="F65" s="8"/>
      <c r="G65" s="8"/>
      <c r="H65" s="8" t="s">
        <v>256</v>
      </c>
      <c r="I65" s="8"/>
      <c r="J65" s="8"/>
    </row>
  </sheetData>
  <mergeCells count="2">
    <mergeCell ref="A1:J1"/>
    <mergeCell ref="A2:J2"/>
  </mergeCells>
  <dataValidations count="1">
    <dataValidation allowBlank="false" errorStyle="stop" operator="between" showDropDown="false" showErrorMessage="false" showInputMessage="false" sqref="H6:H65" type="list">
      <formula1>"未认领,待确认,已认领,退回"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8" min="5" style="0" width="14"/>
    <col collapsed="false" customWidth="true" hidden="false" outlineLevel="0" max="9" min="9" style="0" width="24"/>
    <col collapsed="false" customWidth="true" hidden="false" outlineLevel="0" max="10" min="10" style="0" width="42"/>
    <col collapsed="false" customWidth="true" hidden="false" outlineLevel="0" max="11" min="11" style="0" width="14"/>
    <col collapsed="false" customWidth="true" hidden="false" outlineLevel="0" max="12" min="12" style="0" width="13"/>
  </cols>
  <sheetData>
    <row r="1" customFormat="false" ht="30" hidden="false" customHeight="true" outlineLevel="0" collapsed="false">
      <c r="A1" s="1" t="s">
        <v>317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8" hidden="false" customHeight="true" outlineLevel="0" collapsed="false">
      <c r="A2" s="2" t="s">
        <v>318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5" customFormat="false" ht="34" hidden="false" customHeight="true" outlineLevel="0" collapsed="false">
      <c r="A5" s="3" t="s">
        <v>319</v>
      </c>
      <c r="B5" s="3" t="s">
        <v>177</v>
      </c>
      <c r="C5" s="3" t="s">
        <v>320</v>
      </c>
      <c r="D5" s="3" t="s">
        <v>321</v>
      </c>
      <c r="E5" s="3" t="s">
        <v>322</v>
      </c>
      <c r="F5" s="3" t="s">
        <v>323</v>
      </c>
      <c r="G5" s="3" t="s">
        <v>324</v>
      </c>
      <c r="H5" s="3" t="s">
        <v>325</v>
      </c>
      <c r="I5" s="3" t="s">
        <v>326</v>
      </c>
      <c r="J5" s="3" t="s">
        <v>327</v>
      </c>
      <c r="K5" s="3" t="s">
        <v>328</v>
      </c>
      <c r="L5" s="3" t="s">
        <v>184</v>
      </c>
    </row>
    <row r="6" customFormat="false" ht="15" hidden="false" customHeight="false" outlineLevel="0" collapsed="false">
      <c r="A6" s="4" t="s">
        <v>329</v>
      </c>
      <c r="B6" s="8"/>
      <c r="C6" s="8"/>
      <c r="D6" s="8"/>
      <c r="E6" s="7" t="n">
        <v>0</v>
      </c>
      <c r="F6" s="7" t="n">
        <v>0</v>
      </c>
      <c r="G6" s="7"/>
      <c r="H6" s="7"/>
      <c r="I6" s="8"/>
      <c r="J6" s="8"/>
      <c r="K6" s="10"/>
      <c r="L6" s="8" t="s">
        <v>330</v>
      </c>
    </row>
    <row r="7" customFormat="false" ht="15" hidden="false" customHeight="false" outlineLevel="0" collapsed="false">
      <c r="A7" s="4" t="s">
        <v>331</v>
      </c>
      <c r="B7" s="8"/>
      <c r="C7" s="8"/>
      <c r="D7" s="8"/>
      <c r="E7" s="7" t="n">
        <v>0</v>
      </c>
      <c r="F7" s="7" t="n">
        <v>0</v>
      </c>
      <c r="G7" s="7"/>
      <c r="H7" s="7"/>
      <c r="I7" s="8"/>
      <c r="J7" s="8"/>
      <c r="K7" s="10"/>
      <c r="L7" s="8" t="s">
        <v>330</v>
      </c>
    </row>
    <row r="8" customFormat="false" ht="15" hidden="false" customHeight="false" outlineLevel="0" collapsed="false">
      <c r="A8" s="4" t="s">
        <v>332</v>
      </c>
      <c r="B8" s="8"/>
      <c r="C8" s="8"/>
      <c r="D8" s="8"/>
      <c r="E8" s="7" t="n">
        <v>0</v>
      </c>
      <c r="F8" s="7" t="n">
        <v>0</v>
      </c>
      <c r="G8" s="7"/>
      <c r="H8" s="7"/>
      <c r="I8" s="8"/>
      <c r="J8" s="8"/>
      <c r="K8" s="10"/>
      <c r="L8" s="8" t="s">
        <v>330</v>
      </c>
    </row>
    <row r="9" customFormat="false" ht="15" hidden="false" customHeight="false" outlineLevel="0" collapsed="false">
      <c r="A9" s="4" t="s">
        <v>333</v>
      </c>
      <c r="B9" s="8"/>
      <c r="C9" s="8"/>
      <c r="D9" s="8"/>
      <c r="E9" s="7" t="n">
        <v>0</v>
      </c>
      <c r="F9" s="7" t="n">
        <v>0</v>
      </c>
      <c r="G9" s="7"/>
      <c r="H9" s="7"/>
      <c r="I9" s="8"/>
      <c r="J9" s="8"/>
      <c r="K9" s="10"/>
      <c r="L9" s="8" t="s">
        <v>330</v>
      </c>
    </row>
    <row r="10" customFormat="false" ht="15" hidden="false" customHeight="false" outlineLevel="0" collapsed="false">
      <c r="A10" s="4" t="s">
        <v>334</v>
      </c>
      <c r="B10" s="8"/>
      <c r="C10" s="8"/>
      <c r="D10" s="8"/>
      <c r="E10" s="7" t="n">
        <v>0</v>
      </c>
      <c r="F10" s="7" t="n">
        <v>0</v>
      </c>
      <c r="G10" s="7"/>
      <c r="H10" s="7"/>
      <c r="I10" s="8"/>
      <c r="J10" s="8"/>
      <c r="K10" s="10"/>
      <c r="L10" s="8" t="s">
        <v>330</v>
      </c>
    </row>
    <row r="11" customFormat="false" ht="15" hidden="false" customHeight="false" outlineLevel="0" collapsed="false">
      <c r="A11" s="4" t="s">
        <v>335</v>
      </c>
      <c r="B11" s="8"/>
      <c r="C11" s="8"/>
      <c r="D11" s="8"/>
      <c r="E11" s="7" t="n">
        <v>0</v>
      </c>
      <c r="F11" s="7" t="n">
        <v>0</v>
      </c>
      <c r="G11" s="7"/>
      <c r="H11" s="7"/>
      <c r="I11" s="8"/>
      <c r="J11" s="8"/>
      <c r="K11" s="10"/>
      <c r="L11" s="8" t="s">
        <v>330</v>
      </c>
    </row>
    <row r="12" customFormat="false" ht="15" hidden="false" customHeight="false" outlineLevel="0" collapsed="false">
      <c r="A12" s="4" t="s">
        <v>336</v>
      </c>
      <c r="B12" s="8"/>
      <c r="C12" s="8"/>
      <c r="D12" s="8"/>
      <c r="E12" s="7" t="n">
        <v>0</v>
      </c>
      <c r="F12" s="7" t="n">
        <v>0</v>
      </c>
      <c r="G12" s="7"/>
      <c r="H12" s="7"/>
      <c r="I12" s="8"/>
      <c r="J12" s="8"/>
      <c r="K12" s="10"/>
      <c r="L12" s="8" t="s">
        <v>330</v>
      </c>
    </row>
    <row r="13" customFormat="false" ht="15" hidden="false" customHeight="false" outlineLevel="0" collapsed="false">
      <c r="A13" s="4" t="s">
        <v>337</v>
      </c>
      <c r="B13" s="8"/>
      <c r="C13" s="8"/>
      <c r="D13" s="8"/>
      <c r="E13" s="7" t="n">
        <v>0</v>
      </c>
      <c r="F13" s="7" t="n">
        <v>0</v>
      </c>
      <c r="G13" s="7"/>
      <c r="H13" s="7"/>
      <c r="I13" s="8"/>
      <c r="J13" s="8"/>
      <c r="K13" s="10"/>
      <c r="L13" s="8" t="s">
        <v>330</v>
      </c>
    </row>
    <row r="14" customFormat="false" ht="15" hidden="false" customHeight="false" outlineLevel="0" collapsed="false">
      <c r="A14" s="4" t="s">
        <v>338</v>
      </c>
      <c r="B14" s="8"/>
      <c r="C14" s="8"/>
      <c r="D14" s="8"/>
      <c r="E14" s="7" t="n">
        <v>0</v>
      </c>
      <c r="F14" s="7" t="n">
        <v>0</v>
      </c>
      <c r="G14" s="7"/>
      <c r="H14" s="7"/>
      <c r="I14" s="8"/>
      <c r="J14" s="8"/>
      <c r="K14" s="10"/>
      <c r="L14" s="8" t="s">
        <v>330</v>
      </c>
    </row>
    <row r="15" customFormat="false" ht="15" hidden="false" customHeight="false" outlineLevel="0" collapsed="false">
      <c r="A15" s="4" t="s">
        <v>339</v>
      </c>
      <c r="B15" s="8"/>
      <c r="C15" s="8"/>
      <c r="D15" s="8"/>
      <c r="E15" s="7" t="n">
        <v>0</v>
      </c>
      <c r="F15" s="7" t="n">
        <v>0</v>
      </c>
      <c r="G15" s="7"/>
      <c r="H15" s="7"/>
      <c r="I15" s="8"/>
      <c r="J15" s="8"/>
      <c r="K15" s="10"/>
      <c r="L15" s="8" t="s">
        <v>330</v>
      </c>
    </row>
    <row r="16" customFormat="false" ht="15" hidden="false" customHeight="false" outlineLevel="0" collapsed="false">
      <c r="A16" s="4" t="s">
        <v>340</v>
      </c>
      <c r="B16" s="8"/>
      <c r="C16" s="8"/>
      <c r="D16" s="8"/>
      <c r="E16" s="7" t="n">
        <v>0</v>
      </c>
      <c r="F16" s="7" t="n">
        <v>0</v>
      </c>
      <c r="G16" s="7"/>
      <c r="H16" s="7"/>
      <c r="I16" s="8"/>
      <c r="J16" s="8"/>
      <c r="K16" s="10"/>
      <c r="L16" s="8" t="s">
        <v>330</v>
      </c>
    </row>
    <row r="17" customFormat="false" ht="15" hidden="false" customHeight="false" outlineLevel="0" collapsed="false">
      <c r="A17" s="4" t="s">
        <v>341</v>
      </c>
      <c r="B17" s="8"/>
      <c r="C17" s="8"/>
      <c r="D17" s="8"/>
      <c r="E17" s="7" t="n">
        <v>0</v>
      </c>
      <c r="F17" s="7" t="n">
        <v>0</v>
      </c>
      <c r="G17" s="7"/>
      <c r="H17" s="7"/>
      <c r="I17" s="8"/>
      <c r="J17" s="8"/>
      <c r="K17" s="10"/>
      <c r="L17" s="8" t="s">
        <v>330</v>
      </c>
    </row>
    <row r="18" customFormat="false" ht="15" hidden="false" customHeight="false" outlineLevel="0" collapsed="false">
      <c r="A18" s="4" t="s">
        <v>342</v>
      </c>
      <c r="B18" s="8"/>
      <c r="C18" s="8"/>
      <c r="D18" s="8"/>
      <c r="E18" s="7" t="n">
        <v>0</v>
      </c>
      <c r="F18" s="7" t="n">
        <v>0</v>
      </c>
      <c r="G18" s="7"/>
      <c r="H18" s="7"/>
      <c r="I18" s="8"/>
      <c r="J18" s="8"/>
      <c r="K18" s="10"/>
      <c r="L18" s="8" t="s">
        <v>330</v>
      </c>
    </row>
    <row r="19" customFormat="false" ht="15" hidden="false" customHeight="false" outlineLevel="0" collapsed="false">
      <c r="A19" s="4" t="s">
        <v>343</v>
      </c>
      <c r="B19" s="8"/>
      <c r="C19" s="8"/>
      <c r="D19" s="8"/>
      <c r="E19" s="7" t="n">
        <v>0</v>
      </c>
      <c r="F19" s="7" t="n">
        <v>0</v>
      </c>
      <c r="G19" s="7"/>
      <c r="H19" s="7"/>
      <c r="I19" s="8"/>
      <c r="J19" s="8"/>
      <c r="K19" s="10"/>
      <c r="L19" s="8" t="s">
        <v>330</v>
      </c>
    </row>
    <row r="20" customFormat="false" ht="15" hidden="false" customHeight="false" outlineLevel="0" collapsed="false">
      <c r="A20" s="4" t="s">
        <v>344</v>
      </c>
      <c r="B20" s="8"/>
      <c r="C20" s="8"/>
      <c r="D20" s="8"/>
      <c r="E20" s="7" t="n">
        <v>0</v>
      </c>
      <c r="F20" s="7" t="n">
        <v>0</v>
      </c>
      <c r="G20" s="7"/>
      <c r="H20" s="7"/>
      <c r="I20" s="8"/>
      <c r="J20" s="8"/>
      <c r="K20" s="10"/>
      <c r="L20" s="8" t="s">
        <v>330</v>
      </c>
    </row>
    <row r="21" customFormat="false" ht="15" hidden="false" customHeight="false" outlineLevel="0" collapsed="false">
      <c r="A21" s="4" t="s">
        <v>345</v>
      </c>
      <c r="B21" s="8"/>
      <c r="C21" s="8"/>
      <c r="D21" s="8"/>
      <c r="E21" s="7" t="n">
        <v>0</v>
      </c>
      <c r="F21" s="7" t="n">
        <v>0</v>
      </c>
      <c r="G21" s="7"/>
      <c r="H21" s="7"/>
      <c r="I21" s="8"/>
      <c r="J21" s="8"/>
      <c r="K21" s="10"/>
      <c r="L21" s="8" t="s">
        <v>330</v>
      </c>
    </row>
    <row r="22" customFormat="false" ht="15" hidden="false" customHeight="false" outlineLevel="0" collapsed="false">
      <c r="A22" s="4" t="s">
        <v>346</v>
      </c>
      <c r="B22" s="8"/>
      <c r="C22" s="8"/>
      <c r="D22" s="8"/>
      <c r="E22" s="7" t="n">
        <v>0</v>
      </c>
      <c r="F22" s="7" t="n">
        <v>0</v>
      </c>
      <c r="G22" s="7"/>
      <c r="H22" s="7"/>
      <c r="I22" s="8"/>
      <c r="J22" s="8"/>
      <c r="K22" s="10"/>
      <c r="L22" s="8" t="s">
        <v>330</v>
      </c>
    </row>
    <row r="23" customFormat="false" ht="15" hidden="false" customHeight="false" outlineLevel="0" collapsed="false">
      <c r="A23" s="4" t="s">
        <v>347</v>
      </c>
      <c r="B23" s="8"/>
      <c r="C23" s="8"/>
      <c r="D23" s="8"/>
      <c r="E23" s="7" t="n">
        <v>0</v>
      </c>
      <c r="F23" s="7" t="n">
        <v>0</v>
      </c>
      <c r="G23" s="7"/>
      <c r="H23" s="7"/>
      <c r="I23" s="8"/>
      <c r="J23" s="8"/>
      <c r="K23" s="10"/>
      <c r="L23" s="8" t="s">
        <v>330</v>
      </c>
    </row>
    <row r="24" customFormat="false" ht="15" hidden="false" customHeight="false" outlineLevel="0" collapsed="false">
      <c r="A24" s="4" t="s">
        <v>348</v>
      </c>
      <c r="B24" s="8"/>
      <c r="C24" s="8"/>
      <c r="D24" s="8"/>
      <c r="E24" s="7" t="n">
        <v>0</v>
      </c>
      <c r="F24" s="7" t="n">
        <v>0</v>
      </c>
      <c r="G24" s="7"/>
      <c r="H24" s="7"/>
      <c r="I24" s="8"/>
      <c r="J24" s="8"/>
      <c r="K24" s="10"/>
      <c r="L24" s="8" t="s">
        <v>330</v>
      </c>
    </row>
    <row r="25" customFormat="false" ht="15" hidden="false" customHeight="false" outlineLevel="0" collapsed="false">
      <c r="A25" s="4" t="s">
        <v>349</v>
      </c>
      <c r="B25" s="8"/>
      <c r="C25" s="8"/>
      <c r="D25" s="8"/>
      <c r="E25" s="7" t="n">
        <v>0</v>
      </c>
      <c r="F25" s="7" t="n">
        <v>0</v>
      </c>
      <c r="G25" s="7"/>
      <c r="H25" s="7"/>
      <c r="I25" s="8"/>
      <c r="J25" s="8"/>
      <c r="K25" s="10"/>
      <c r="L25" s="8" t="s">
        <v>330</v>
      </c>
    </row>
    <row r="26" customFormat="false" ht="15" hidden="false" customHeight="false" outlineLevel="0" collapsed="false">
      <c r="A26" s="4" t="s">
        <v>350</v>
      </c>
      <c r="B26" s="8"/>
      <c r="C26" s="8"/>
      <c r="D26" s="8"/>
      <c r="E26" s="7" t="n">
        <v>0</v>
      </c>
      <c r="F26" s="7" t="n">
        <v>0</v>
      </c>
      <c r="G26" s="7"/>
      <c r="H26" s="7"/>
      <c r="I26" s="8"/>
      <c r="J26" s="8"/>
      <c r="K26" s="10"/>
      <c r="L26" s="8" t="s">
        <v>330</v>
      </c>
    </row>
    <row r="27" customFormat="false" ht="15" hidden="false" customHeight="false" outlineLevel="0" collapsed="false">
      <c r="A27" s="4" t="s">
        <v>351</v>
      </c>
      <c r="B27" s="8"/>
      <c r="C27" s="8"/>
      <c r="D27" s="8"/>
      <c r="E27" s="7" t="n">
        <v>0</v>
      </c>
      <c r="F27" s="7" t="n">
        <v>0</v>
      </c>
      <c r="G27" s="7"/>
      <c r="H27" s="7"/>
      <c r="I27" s="8"/>
      <c r="J27" s="8"/>
      <c r="K27" s="10"/>
      <c r="L27" s="8" t="s">
        <v>330</v>
      </c>
    </row>
    <row r="28" customFormat="false" ht="15" hidden="false" customHeight="false" outlineLevel="0" collapsed="false">
      <c r="A28" s="4" t="s">
        <v>352</v>
      </c>
      <c r="B28" s="8"/>
      <c r="C28" s="8"/>
      <c r="D28" s="8"/>
      <c r="E28" s="7" t="n">
        <v>0</v>
      </c>
      <c r="F28" s="7" t="n">
        <v>0</v>
      </c>
      <c r="G28" s="7"/>
      <c r="H28" s="7"/>
      <c r="I28" s="8"/>
      <c r="J28" s="8"/>
      <c r="K28" s="10"/>
      <c r="L28" s="8" t="s">
        <v>330</v>
      </c>
    </row>
    <row r="29" customFormat="false" ht="15" hidden="false" customHeight="false" outlineLevel="0" collapsed="false">
      <c r="A29" s="4" t="s">
        <v>353</v>
      </c>
      <c r="B29" s="8"/>
      <c r="C29" s="8"/>
      <c r="D29" s="8"/>
      <c r="E29" s="7" t="n">
        <v>0</v>
      </c>
      <c r="F29" s="7" t="n">
        <v>0</v>
      </c>
      <c r="G29" s="7"/>
      <c r="H29" s="7"/>
      <c r="I29" s="8"/>
      <c r="J29" s="8"/>
      <c r="K29" s="10"/>
      <c r="L29" s="8" t="s">
        <v>330</v>
      </c>
    </row>
    <row r="30" customFormat="false" ht="15" hidden="false" customHeight="false" outlineLevel="0" collapsed="false">
      <c r="A30" s="4" t="s">
        <v>354</v>
      </c>
      <c r="B30" s="8"/>
      <c r="C30" s="8"/>
      <c r="D30" s="8"/>
      <c r="E30" s="7" t="n">
        <v>0</v>
      </c>
      <c r="F30" s="7" t="n">
        <v>0</v>
      </c>
      <c r="G30" s="7"/>
      <c r="H30" s="7"/>
      <c r="I30" s="8"/>
      <c r="J30" s="8"/>
      <c r="K30" s="10"/>
      <c r="L30" s="8" t="s">
        <v>330</v>
      </c>
    </row>
    <row r="31" customFormat="false" ht="15" hidden="false" customHeight="false" outlineLevel="0" collapsed="false">
      <c r="A31" s="4" t="s">
        <v>355</v>
      </c>
      <c r="B31" s="8"/>
      <c r="C31" s="8"/>
      <c r="D31" s="8"/>
      <c r="E31" s="7" t="n">
        <v>0</v>
      </c>
      <c r="F31" s="7" t="n">
        <v>0</v>
      </c>
      <c r="G31" s="7"/>
      <c r="H31" s="7"/>
      <c r="I31" s="8"/>
      <c r="J31" s="8"/>
      <c r="K31" s="10"/>
      <c r="L31" s="8" t="s">
        <v>330</v>
      </c>
    </row>
    <row r="32" customFormat="false" ht="15" hidden="false" customHeight="false" outlineLevel="0" collapsed="false">
      <c r="A32" s="4" t="s">
        <v>356</v>
      </c>
      <c r="B32" s="8"/>
      <c r="C32" s="8"/>
      <c r="D32" s="8"/>
      <c r="E32" s="7" t="n">
        <v>0</v>
      </c>
      <c r="F32" s="7" t="n">
        <v>0</v>
      </c>
      <c r="G32" s="7"/>
      <c r="H32" s="7"/>
      <c r="I32" s="8"/>
      <c r="J32" s="8"/>
      <c r="K32" s="10"/>
      <c r="L32" s="8" t="s">
        <v>330</v>
      </c>
    </row>
    <row r="33" customFormat="false" ht="15" hidden="false" customHeight="false" outlineLevel="0" collapsed="false">
      <c r="A33" s="4" t="s">
        <v>357</v>
      </c>
      <c r="B33" s="8"/>
      <c r="C33" s="8"/>
      <c r="D33" s="8"/>
      <c r="E33" s="7" t="n">
        <v>0</v>
      </c>
      <c r="F33" s="7" t="n">
        <v>0</v>
      </c>
      <c r="G33" s="7"/>
      <c r="H33" s="7"/>
      <c r="I33" s="8"/>
      <c r="J33" s="8"/>
      <c r="K33" s="10"/>
      <c r="L33" s="8" t="s">
        <v>330</v>
      </c>
    </row>
    <row r="34" customFormat="false" ht="15" hidden="false" customHeight="false" outlineLevel="0" collapsed="false">
      <c r="A34" s="4" t="s">
        <v>358</v>
      </c>
      <c r="B34" s="8"/>
      <c r="C34" s="8"/>
      <c r="D34" s="8"/>
      <c r="E34" s="7" t="n">
        <v>0</v>
      </c>
      <c r="F34" s="7" t="n">
        <v>0</v>
      </c>
      <c r="G34" s="7"/>
      <c r="H34" s="7"/>
      <c r="I34" s="8"/>
      <c r="J34" s="8"/>
      <c r="K34" s="10"/>
      <c r="L34" s="8" t="s">
        <v>330</v>
      </c>
    </row>
    <row r="35" customFormat="false" ht="15" hidden="false" customHeight="false" outlineLevel="0" collapsed="false">
      <c r="A35" s="4" t="s">
        <v>359</v>
      </c>
      <c r="B35" s="8"/>
      <c r="C35" s="8"/>
      <c r="D35" s="8"/>
      <c r="E35" s="7" t="n">
        <v>0</v>
      </c>
      <c r="F35" s="7" t="n">
        <v>0</v>
      </c>
      <c r="G35" s="7"/>
      <c r="H35" s="7"/>
      <c r="I35" s="8"/>
      <c r="J35" s="8"/>
      <c r="K35" s="10"/>
      <c r="L35" s="8" t="s">
        <v>330</v>
      </c>
    </row>
    <row r="36" customFormat="false" ht="15" hidden="false" customHeight="false" outlineLevel="0" collapsed="false">
      <c r="A36" s="4" t="s">
        <v>360</v>
      </c>
      <c r="B36" s="8"/>
      <c r="C36" s="8"/>
      <c r="D36" s="8"/>
      <c r="E36" s="7" t="n">
        <v>0</v>
      </c>
      <c r="F36" s="7" t="n">
        <v>0</v>
      </c>
      <c r="G36" s="7"/>
      <c r="H36" s="7"/>
      <c r="I36" s="8"/>
      <c r="J36" s="8"/>
      <c r="K36" s="10"/>
      <c r="L36" s="8" t="s">
        <v>330</v>
      </c>
    </row>
    <row r="37" customFormat="false" ht="15" hidden="false" customHeight="false" outlineLevel="0" collapsed="false">
      <c r="A37" s="4" t="s">
        <v>361</v>
      </c>
      <c r="B37" s="8"/>
      <c r="C37" s="8"/>
      <c r="D37" s="8"/>
      <c r="E37" s="7" t="n">
        <v>0</v>
      </c>
      <c r="F37" s="7" t="n">
        <v>0</v>
      </c>
      <c r="G37" s="7"/>
      <c r="H37" s="7"/>
      <c r="I37" s="8"/>
      <c r="J37" s="8"/>
      <c r="K37" s="10"/>
      <c r="L37" s="8" t="s">
        <v>330</v>
      </c>
    </row>
    <row r="38" customFormat="false" ht="15" hidden="false" customHeight="false" outlineLevel="0" collapsed="false">
      <c r="A38" s="4" t="s">
        <v>362</v>
      </c>
      <c r="B38" s="8"/>
      <c r="C38" s="8"/>
      <c r="D38" s="8"/>
      <c r="E38" s="7" t="n">
        <v>0</v>
      </c>
      <c r="F38" s="7" t="n">
        <v>0</v>
      </c>
      <c r="G38" s="7"/>
      <c r="H38" s="7"/>
      <c r="I38" s="8"/>
      <c r="J38" s="8"/>
      <c r="K38" s="10"/>
      <c r="L38" s="8" t="s">
        <v>330</v>
      </c>
    </row>
    <row r="39" customFormat="false" ht="15" hidden="false" customHeight="false" outlineLevel="0" collapsed="false">
      <c r="A39" s="4" t="s">
        <v>363</v>
      </c>
      <c r="B39" s="8"/>
      <c r="C39" s="8"/>
      <c r="D39" s="8"/>
      <c r="E39" s="7" t="n">
        <v>0</v>
      </c>
      <c r="F39" s="7" t="n">
        <v>0</v>
      </c>
      <c r="G39" s="7"/>
      <c r="H39" s="7"/>
      <c r="I39" s="8"/>
      <c r="J39" s="8"/>
      <c r="K39" s="10"/>
      <c r="L39" s="8" t="s">
        <v>330</v>
      </c>
    </row>
    <row r="40" customFormat="false" ht="15" hidden="false" customHeight="false" outlineLevel="0" collapsed="false">
      <c r="A40" s="4" t="s">
        <v>364</v>
      </c>
      <c r="B40" s="8"/>
      <c r="C40" s="8"/>
      <c r="D40" s="8"/>
      <c r="E40" s="7" t="n">
        <v>0</v>
      </c>
      <c r="F40" s="7" t="n">
        <v>0</v>
      </c>
      <c r="G40" s="7"/>
      <c r="H40" s="7"/>
      <c r="I40" s="8"/>
      <c r="J40" s="8"/>
      <c r="K40" s="10"/>
      <c r="L40" s="8" t="s">
        <v>330</v>
      </c>
    </row>
    <row r="41" customFormat="false" ht="15" hidden="false" customHeight="false" outlineLevel="0" collapsed="false">
      <c r="A41" s="4" t="s">
        <v>365</v>
      </c>
      <c r="B41" s="8"/>
      <c r="C41" s="8"/>
      <c r="D41" s="8"/>
      <c r="E41" s="7" t="n">
        <v>0</v>
      </c>
      <c r="F41" s="7" t="n">
        <v>0</v>
      </c>
      <c r="G41" s="7"/>
      <c r="H41" s="7"/>
      <c r="I41" s="8"/>
      <c r="J41" s="8"/>
      <c r="K41" s="10"/>
      <c r="L41" s="8" t="s">
        <v>330</v>
      </c>
    </row>
    <row r="42" customFormat="false" ht="15" hidden="false" customHeight="false" outlineLevel="0" collapsed="false">
      <c r="A42" s="4" t="s">
        <v>366</v>
      </c>
      <c r="B42" s="8"/>
      <c r="C42" s="8"/>
      <c r="D42" s="8"/>
      <c r="E42" s="7" t="n">
        <v>0</v>
      </c>
      <c r="F42" s="7" t="n">
        <v>0</v>
      </c>
      <c r="G42" s="7"/>
      <c r="H42" s="7"/>
      <c r="I42" s="8"/>
      <c r="J42" s="8"/>
      <c r="K42" s="10"/>
      <c r="L42" s="8" t="s">
        <v>330</v>
      </c>
    </row>
    <row r="43" customFormat="false" ht="15" hidden="false" customHeight="false" outlineLevel="0" collapsed="false">
      <c r="A43" s="4" t="s">
        <v>367</v>
      </c>
      <c r="B43" s="8"/>
      <c r="C43" s="8"/>
      <c r="D43" s="8"/>
      <c r="E43" s="7" t="n">
        <v>0</v>
      </c>
      <c r="F43" s="7" t="n">
        <v>0</v>
      </c>
      <c r="G43" s="7"/>
      <c r="H43" s="7"/>
      <c r="I43" s="8"/>
      <c r="J43" s="8"/>
      <c r="K43" s="10"/>
      <c r="L43" s="8" t="s">
        <v>330</v>
      </c>
    </row>
    <row r="44" customFormat="false" ht="15" hidden="false" customHeight="false" outlineLevel="0" collapsed="false">
      <c r="A44" s="4" t="s">
        <v>368</v>
      </c>
      <c r="B44" s="8"/>
      <c r="C44" s="8"/>
      <c r="D44" s="8"/>
      <c r="E44" s="7" t="n">
        <v>0</v>
      </c>
      <c r="F44" s="7" t="n">
        <v>0</v>
      </c>
      <c r="G44" s="7"/>
      <c r="H44" s="7"/>
      <c r="I44" s="8"/>
      <c r="J44" s="8"/>
      <c r="K44" s="10"/>
      <c r="L44" s="8" t="s">
        <v>330</v>
      </c>
    </row>
    <row r="45" customFormat="false" ht="15" hidden="false" customHeight="false" outlineLevel="0" collapsed="false">
      <c r="A45" s="4" t="s">
        <v>369</v>
      </c>
      <c r="B45" s="8"/>
      <c r="C45" s="8"/>
      <c r="D45" s="8"/>
      <c r="E45" s="7" t="n">
        <v>0</v>
      </c>
      <c r="F45" s="7" t="n">
        <v>0</v>
      </c>
      <c r="G45" s="7"/>
      <c r="H45" s="7"/>
      <c r="I45" s="8"/>
      <c r="J45" s="8"/>
      <c r="K45" s="10"/>
      <c r="L45" s="8" t="s">
        <v>330</v>
      </c>
    </row>
  </sheetData>
  <mergeCells count="2">
    <mergeCell ref="A1:L1"/>
    <mergeCell ref="A2:L2"/>
  </mergeCells>
  <dataValidations count="1">
    <dataValidation allowBlank="false" errorStyle="stop" operator="between" showDropDown="false" showErrorMessage="false" showInputMessage="false" sqref="L6:L45" type="list">
      <formula1>"待审批,批准,拒绝,失效"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14"/>
    <col collapsed="false" customWidth="true" hidden="false" outlineLevel="0" max="11" min="11" style="0" width="42"/>
    <col collapsed="false" customWidth="true" hidden="false" outlineLevel="0" max="12" min="12" style="0" width="12"/>
  </cols>
  <sheetData>
    <row r="1" customFormat="false" ht="30" hidden="false" customHeight="true" outlineLevel="0" collapsed="false">
      <c r="A1" s="1" t="s">
        <v>370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8" hidden="false" customHeight="true" outlineLevel="0" collapsed="false">
      <c r="A2" s="2" t="s">
        <v>371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5" customFormat="false" ht="34" hidden="false" customHeight="true" outlineLevel="0" collapsed="false">
      <c r="A5" s="3" t="s">
        <v>107</v>
      </c>
      <c r="B5" s="3" t="s">
        <v>177</v>
      </c>
      <c r="C5" s="3" t="s">
        <v>114</v>
      </c>
      <c r="D5" s="3" t="s">
        <v>117</v>
      </c>
      <c r="E5" s="3" t="s">
        <v>372</v>
      </c>
      <c r="F5" s="3" t="s">
        <v>373</v>
      </c>
      <c r="G5" s="3" t="s">
        <v>120</v>
      </c>
      <c r="H5" s="3" t="s">
        <v>374</v>
      </c>
      <c r="I5" s="3" t="s">
        <v>375</v>
      </c>
      <c r="J5" s="3" t="s">
        <v>376</v>
      </c>
      <c r="K5" s="3" t="s">
        <v>377</v>
      </c>
      <c r="L5" s="3" t="s">
        <v>184</v>
      </c>
    </row>
    <row r="6" customFormat="false" ht="15" hidden="false" customHeight="false" outlineLevel="0" collapsed="false">
      <c r="A6" s="4" t="s">
        <v>121</v>
      </c>
      <c r="B6" s="4" t="s">
        <v>42</v>
      </c>
      <c r="C6" s="5" t="n">
        <v>1130000</v>
      </c>
      <c r="D6" s="4" t="n">
        <f aca="false">'02-应收明细'!N6</f>
        <v>5</v>
      </c>
      <c r="E6" s="4" t="str">
        <f aca="false">'02-应收明细'!O6</f>
        <v>1-30天</v>
      </c>
      <c r="F6" s="4" t="s">
        <v>125</v>
      </c>
      <c r="G6" s="4" t="s">
        <v>125</v>
      </c>
      <c r="H6" s="11" t="n">
        <v>0.03</v>
      </c>
      <c r="I6" s="7" t="n">
        <f aca="false">C6*H6</f>
        <v>33900</v>
      </c>
      <c r="J6" s="7" t="n">
        <f aca="false">I6</f>
        <v>33900</v>
      </c>
      <c r="K6" s="8"/>
      <c r="L6" s="8" t="s">
        <v>378</v>
      </c>
    </row>
    <row r="7" customFormat="false" ht="15" hidden="false" customHeight="false" outlineLevel="0" collapsed="false">
      <c r="A7" s="4" t="s">
        <v>126</v>
      </c>
      <c r="B7" s="4" t="s">
        <v>42</v>
      </c>
      <c r="C7" s="5" t="n">
        <v>2260000</v>
      </c>
      <c r="D7" s="4" t="n">
        <f aca="false">'02-应收明细'!N7</f>
        <v>0</v>
      </c>
      <c r="E7" s="4" t="str">
        <f aca="false">'02-应收明细'!O7</f>
        <v>未到期</v>
      </c>
      <c r="F7" s="4" t="s">
        <v>125</v>
      </c>
      <c r="G7" s="4" t="s">
        <v>125</v>
      </c>
      <c r="H7" s="11" t="n">
        <v>0.03</v>
      </c>
      <c r="I7" s="7" t="n">
        <f aca="false">C7*H7</f>
        <v>67800</v>
      </c>
      <c r="J7" s="7" t="n">
        <f aca="false">I7</f>
        <v>67800</v>
      </c>
      <c r="K7" s="8"/>
      <c r="L7" s="8" t="s">
        <v>378</v>
      </c>
    </row>
    <row r="8" customFormat="false" ht="15" hidden="false" customHeight="false" outlineLevel="0" collapsed="false">
      <c r="A8" s="4" t="s">
        <v>130</v>
      </c>
      <c r="B8" s="4" t="s">
        <v>50</v>
      </c>
      <c r="C8" s="5" t="n">
        <v>1695000</v>
      </c>
      <c r="D8" s="4" t="n">
        <f aca="false">'02-应收明细'!N8</f>
        <v>40</v>
      </c>
      <c r="E8" s="4" t="str">
        <f aca="false">'02-应收明细'!O8</f>
        <v>31-90天</v>
      </c>
      <c r="F8" s="4" t="s">
        <v>125</v>
      </c>
      <c r="G8" s="4" t="s">
        <v>125</v>
      </c>
      <c r="H8" s="11" t="n">
        <v>0.03</v>
      </c>
      <c r="I8" s="7" t="n">
        <f aca="false">C8*H8</f>
        <v>50850</v>
      </c>
      <c r="J8" s="7" t="n">
        <f aca="false">I8</f>
        <v>50850</v>
      </c>
      <c r="K8" s="8"/>
      <c r="L8" s="8" t="s">
        <v>378</v>
      </c>
    </row>
    <row r="9" customFormat="false" ht="15" hidden="false" customHeight="false" outlineLevel="0" collapsed="false">
      <c r="A9" s="4" t="s">
        <v>134</v>
      </c>
      <c r="B9" s="4" t="s">
        <v>58</v>
      </c>
      <c r="C9" s="5" t="n">
        <v>904000</v>
      </c>
      <c r="D9" s="4" t="n">
        <f aca="false">'02-应收明细'!N9</f>
        <v>115</v>
      </c>
      <c r="E9" s="4" t="str">
        <f aca="false">'02-应收明细'!O9</f>
        <v>91-180天</v>
      </c>
      <c r="F9" s="4" t="s">
        <v>125</v>
      </c>
      <c r="G9" s="4" t="s">
        <v>138</v>
      </c>
      <c r="H9" s="11" t="n">
        <v>0.15</v>
      </c>
      <c r="I9" s="7" t="n">
        <f aca="false">C9*H9</f>
        <v>135600</v>
      </c>
      <c r="J9" s="7" t="n">
        <f aca="false">I9</f>
        <v>135600</v>
      </c>
      <c r="K9" s="8"/>
      <c r="L9" s="8" t="s">
        <v>378</v>
      </c>
    </row>
    <row r="10" customFormat="false" ht="15" hidden="false" customHeight="false" outlineLevel="0" collapsed="false">
      <c r="A10" s="4" t="s">
        <v>139</v>
      </c>
      <c r="B10" s="4" t="s">
        <v>65</v>
      </c>
      <c r="C10" s="5" t="n">
        <v>3390000</v>
      </c>
      <c r="D10" s="4" t="n">
        <f aca="false">'02-应收明细'!N10</f>
        <v>0</v>
      </c>
      <c r="E10" s="4" t="str">
        <f aca="false">'02-应收明细'!O10</f>
        <v>未到期</v>
      </c>
      <c r="F10" s="4" t="s">
        <v>125</v>
      </c>
      <c r="G10" s="4" t="s">
        <v>125</v>
      </c>
      <c r="H10" s="11" t="n">
        <v>0.03</v>
      </c>
      <c r="I10" s="7" t="n">
        <f aca="false">C10*H10</f>
        <v>101700</v>
      </c>
      <c r="J10" s="7" t="n">
        <f aca="false">I10</f>
        <v>101700</v>
      </c>
      <c r="K10" s="8"/>
      <c r="L10" s="8" t="s">
        <v>378</v>
      </c>
    </row>
    <row r="11" customFormat="false" ht="15" hidden="false" customHeight="false" outlineLevel="0" collapsed="false">
      <c r="A11" s="4" t="s">
        <v>142</v>
      </c>
      <c r="B11" s="4" t="s">
        <v>70</v>
      </c>
      <c r="C11" s="5" t="n">
        <v>452000</v>
      </c>
      <c r="D11" s="4" t="n">
        <f aca="false">'02-应收明细'!N11</f>
        <v>15</v>
      </c>
      <c r="E11" s="4" t="str">
        <f aca="false">'02-应收明细'!O11</f>
        <v>1-30天</v>
      </c>
      <c r="F11" s="4" t="s">
        <v>125</v>
      </c>
      <c r="G11" s="4" t="s">
        <v>125</v>
      </c>
      <c r="H11" s="11" t="n">
        <v>0.03</v>
      </c>
      <c r="I11" s="7" t="n">
        <f aca="false">C11*H11</f>
        <v>13560</v>
      </c>
      <c r="J11" s="7" t="n">
        <f aca="false">I11</f>
        <v>13560</v>
      </c>
      <c r="K11" s="8"/>
      <c r="L11" s="8" t="s">
        <v>378</v>
      </c>
    </row>
    <row r="12" customFormat="false" ht="15" hidden="false" customHeight="false" outlineLevel="0" collapsed="false">
      <c r="A12" s="4" t="s">
        <v>145</v>
      </c>
      <c r="B12" s="4" t="s">
        <v>75</v>
      </c>
      <c r="C12" s="5" t="n">
        <v>1130000</v>
      </c>
      <c r="D12" s="4" t="n">
        <f aca="false">'02-应收明细'!N12</f>
        <v>10</v>
      </c>
      <c r="E12" s="4" t="str">
        <f aca="false">'02-应收明细'!O12</f>
        <v>1-30天</v>
      </c>
      <c r="F12" s="4" t="s">
        <v>125</v>
      </c>
      <c r="G12" s="4" t="s">
        <v>125</v>
      </c>
      <c r="H12" s="11" t="n">
        <v>0.03</v>
      </c>
      <c r="I12" s="7" t="n">
        <f aca="false">C12*H12</f>
        <v>33900</v>
      </c>
      <c r="J12" s="7" t="n">
        <f aca="false">I12</f>
        <v>33900</v>
      </c>
      <c r="K12" s="8"/>
      <c r="L12" s="8" t="s">
        <v>378</v>
      </c>
    </row>
    <row r="13" customFormat="false" ht="15" hidden="false" customHeight="false" outlineLevel="0" collapsed="false">
      <c r="A13" s="4" t="s">
        <v>148</v>
      </c>
      <c r="B13" s="4" t="s">
        <v>81</v>
      </c>
      <c r="C13" s="5" t="n">
        <v>2034000</v>
      </c>
      <c r="D13" s="4" t="n">
        <f aca="false">'02-应收明细'!N13</f>
        <v>0</v>
      </c>
      <c r="E13" s="4" t="str">
        <f aca="false">'02-应收明细'!O13</f>
        <v>未到期</v>
      </c>
      <c r="F13" s="4" t="s">
        <v>125</v>
      </c>
      <c r="G13" s="4" t="s">
        <v>125</v>
      </c>
      <c r="H13" s="11" t="n">
        <v>0.03</v>
      </c>
      <c r="I13" s="7" t="n">
        <f aca="false">C13*H13</f>
        <v>61020</v>
      </c>
      <c r="J13" s="7" t="n">
        <f aca="false">I13</f>
        <v>61020</v>
      </c>
      <c r="K13" s="8"/>
      <c r="L13" s="8" t="s">
        <v>378</v>
      </c>
    </row>
    <row r="14" customFormat="false" ht="15" hidden="false" customHeight="false" outlineLevel="0" collapsed="false">
      <c r="A14" s="4" t="s">
        <v>151</v>
      </c>
      <c r="B14" s="4" t="s">
        <v>85</v>
      </c>
      <c r="C14" s="5" t="n">
        <v>791000</v>
      </c>
      <c r="D14" s="4" t="n">
        <f aca="false">'02-应收明细'!N14</f>
        <v>95</v>
      </c>
      <c r="E14" s="4" t="str">
        <f aca="false">'02-应收明细'!O14</f>
        <v>91-180天</v>
      </c>
      <c r="F14" s="4" t="s">
        <v>125</v>
      </c>
      <c r="G14" s="4" t="s">
        <v>138</v>
      </c>
      <c r="H14" s="11" t="n">
        <v>0.15</v>
      </c>
      <c r="I14" s="7" t="n">
        <f aca="false">C14*H14</f>
        <v>118650</v>
      </c>
      <c r="J14" s="7" t="n">
        <f aca="false">I14</f>
        <v>118650</v>
      </c>
      <c r="K14" s="8"/>
      <c r="L14" s="8" t="s">
        <v>378</v>
      </c>
    </row>
    <row r="15" customFormat="false" ht="15" hidden="false" customHeight="false" outlineLevel="0" collapsed="false">
      <c r="A15" s="4" t="s">
        <v>154</v>
      </c>
      <c r="B15" s="4" t="s">
        <v>89</v>
      </c>
      <c r="C15" s="5" t="n">
        <v>4520000</v>
      </c>
      <c r="D15" s="4" t="n">
        <f aca="false">'02-应收明细'!N15</f>
        <v>0</v>
      </c>
      <c r="E15" s="4" t="str">
        <f aca="false">'02-应收明细'!O15</f>
        <v>未到期</v>
      </c>
      <c r="F15" s="4" t="s">
        <v>125</v>
      </c>
      <c r="G15" s="4" t="s">
        <v>125</v>
      </c>
      <c r="H15" s="11" t="n">
        <v>0.03</v>
      </c>
      <c r="I15" s="7" t="n">
        <f aca="false">C15*H15</f>
        <v>135600</v>
      </c>
      <c r="J15" s="7" t="n">
        <f aca="false">I15</f>
        <v>135600</v>
      </c>
      <c r="K15" s="8"/>
      <c r="L15" s="8" t="s">
        <v>378</v>
      </c>
    </row>
    <row r="16" customFormat="false" ht="15" hidden="false" customHeight="false" outlineLevel="0" collapsed="false">
      <c r="A16" s="4" t="s">
        <v>157</v>
      </c>
      <c r="B16" s="4" t="s">
        <v>95</v>
      </c>
      <c r="C16" s="5" t="n">
        <v>1017000</v>
      </c>
      <c r="D16" s="4" t="n">
        <f aca="false">'02-应收明细'!N16</f>
        <v>100</v>
      </c>
      <c r="E16" s="4" t="str">
        <f aca="false">'02-应收明细'!O16</f>
        <v>91-180天</v>
      </c>
      <c r="F16" s="4" t="s">
        <v>138</v>
      </c>
      <c r="G16" s="4" t="s">
        <v>125</v>
      </c>
      <c r="H16" s="11" t="n">
        <v>0.5</v>
      </c>
      <c r="I16" s="7" t="n">
        <f aca="false">C16*H16</f>
        <v>508500</v>
      </c>
      <c r="J16" s="7" t="n">
        <f aca="false">I16</f>
        <v>508500</v>
      </c>
      <c r="K16" s="8"/>
      <c r="L16" s="8" t="s">
        <v>378</v>
      </c>
    </row>
    <row r="17" customFormat="false" ht="15" hidden="false" customHeight="false" outlineLevel="0" collapsed="false">
      <c r="A17" s="4" t="s">
        <v>161</v>
      </c>
      <c r="B17" s="4" t="s">
        <v>101</v>
      </c>
      <c r="C17" s="5" t="n">
        <v>678000</v>
      </c>
      <c r="D17" s="4" t="n">
        <f aca="false">'02-应收明细'!N17</f>
        <v>0</v>
      </c>
      <c r="E17" s="4" t="str">
        <f aca="false">'02-应收明细'!O17</f>
        <v>未到期</v>
      </c>
      <c r="F17" s="4" t="s">
        <v>125</v>
      </c>
      <c r="G17" s="4" t="s">
        <v>125</v>
      </c>
      <c r="H17" s="11" t="n">
        <v>0.03</v>
      </c>
      <c r="I17" s="7" t="n">
        <f aca="false">C17*H17</f>
        <v>20340</v>
      </c>
      <c r="J17" s="7" t="n">
        <f aca="false">I17</f>
        <v>20340</v>
      </c>
      <c r="K17" s="8"/>
      <c r="L17" s="8" t="s">
        <v>378</v>
      </c>
    </row>
    <row r="18" customFormat="false" ht="15" hidden="false" customHeight="false" outlineLevel="0" collapsed="false">
      <c r="A18" s="4" t="s">
        <v>164</v>
      </c>
      <c r="B18" s="4" t="s">
        <v>103</v>
      </c>
      <c r="C18" s="5" t="n">
        <v>2825000</v>
      </c>
      <c r="D18" s="4" t="n">
        <f aca="false">'02-应收明细'!N18</f>
        <v>15</v>
      </c>
      <c r="E18" s="4" t="str">
        <f aca="false">'02-应收明细'!O18</f>
        <v>1-30天</v>
      </c>
      <c r="F18" s="4" t="s">
        <v>125</v>
      </c>
      <c r="G18" s="4" t="s">
        <v>125</v>
      </c>
      <c r="H18" s="11" t="n">
        <v>0.03</v>
      </c>
      <c r="I18" s="7" t="n">
        <f aca="false">C18*H18</f>
        <v>84750</v>
      </c>
      <c r="J18" s="7" t="n">
        <f aca="false">I18</f>
        <v>84750</v>
      </c>
      <c r="K18" s="8"/>
      <c r="L18" s="8" t="s">
        <v>378</v>
      </c>
    </row>
    <row r="19" customFormat="false" ht="15" hidden="false" customHeight="false" outlineLevel="0" collapsed="false">
      <c r="A19" s="4" t="s">
        <v>167</v>
      </c>
      <c r="B19" s="4" t="s">
        <v>58</v>
      </c>
      <c r="C19" s="5" t="n">
        <v>226000</v>
      </c>
      <c r="D19" s="4" t="n">
        <f aca="false">'02-应收明细'!N19</f>
        <v>0</v>
      </c>
      <c r="E19" s="4" t="str">
        <f aca="false">'02-应收明细'!O19</f>
        <v>未到期</v>
      </c>
      <c r="F19" s="4" t="s">
        <v>125</v>
      </c>
      <c r="G19" s="4" t="s">
        <v>125</v>
      </c>
      <c r="H19" s="11" t="n">
        <v>0.03</v>
      </c>
      <c r="I19" s="7" t="n">
        <f aca="false">C19*H19</f>
        <v>6780</v>
      </c>
      <c r="J19" s="7" t="n">
        <f aca="false">I19</f>
        <v>6780</v>
      </c>
      <c r="K19" s="8"/>
      <c r="L19" s="8" t="s">
        <v>378</v>
      </c>
    </row>
    <row r="20" customFormat="false" ht="15" hidden="false" customHeight="false" outlineLevel="0" collapsed="false">
      <c r="A20" s="4" t="s">
        <v>171</v>
      </c>
      <c r="B20" s="4" t="s">
        <v>50</v>
      </c>
      <c r="C20" s="5" t="n">
        <v>565000</v>
      </c>
      <c r="D20" s="4" t="n">
        <f aca="false">'02-应收明细'!N20</f>
        <v>150</v>
      </c>
      <c r="E20" s="4" t="str">
        <f aca="false">'02-应收明细'!O20</f>
        <v>91-180天</v>
      </c>
      <c r="F20" s="4" t="s">
        <v>125</v>
      </c>
      <c r="G20" s="4" t="s">
        <v>125</v>
      </c>
      <c r="H20" s="11" t="n">
        <v>0.5</v>
      </c>
      <c r="I20" s="7" t="n">
        <f aca="false">C20*H20</f>
        <v>282500</v>
      </c>
      <c r="J20" s="7" t="n">
        <f aca="false">I20</f>
        <v>282500</v>
      </c>
      <c r="K20" s="8"/>
      <c r="L20" s="8" t="s">
        <v>378</v>
      </c>
    </row>
  </sheetData>
  <mergeCells count="2">
    <mergeCell ref="A1:L1"/>
    <mergeCell ref="A2:L2"/>
  </mergeCells>
  <conditionalFormatting sqref="L6:L20">
    <cfRule type="containsText" priority="2" operator="containsText" aboveAverage="0" equalAverage="0" bottom="0" percent="0" rank="0" text="已完成" dxfId="9">
      <formula>NOT(ISERROR(SEARCH("已完成",L6)))</formula>
    </cfRule>
    <cfRule type="containsText" priority="3" operator="containsText" aboveAverage="0" equalAverage="0" bottom="0" percent="0" rank="0" text="高" dxfId="10">
      <formula>NOT(ISERROR(SEARCH("高",L6)))</formula>
    </cfRule>
  </conditionalFormatting>
  <dataValidations count="1">
    <dataValidation allowBlank="false" errorStyle="stop" operator="between" showDropDown="false" showErrorMessage="false" showInputMessage="false" sqref="L6:L20" type="list">
      <formula1>"待复核,已复核,需个别评估"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4" min="4" style="0" width="44"/>
    <col collapsed="false" customWidth="true" hidden="false" outlineLevel="0" max="5" min="5" style="0" width="42"/>
  </cols>
  <sheetData>
    <row r="1" customFormat="false" ht="30" hidden="false" customHeight="true" outlineLevel="0" collapsed="false">
      <c r="A1" s="1" t="s">
        <v>379</v>
      </c>
      <c r="B1" s="1"/>
      <c r="C1" s="1"/>
      <c r="D1" s="1"/>
      <c r="E1" s="1"/>
    </row>
    <row r="2" customFormat="false" ht="28" hidden="false" customHeight="true" outlineLevel="0" collapsed="false">
      <c r="A2" s="2" t="s">
        <v>380</v>
      </c>
      <c r="B2" s="2"/>
      <c r="C2" s="2"/>
      <c r="D2" s="2"/>
      <c r="E2" s="2"/>
    </row>
    <row r="5" customFormat="false" ht="34" hidden="false" customHeight="true" outlineLevel="0" collapsed="false">
      <c r="A5" s="3" t="s">
        <v>2</v>
      </c>
      <c r="B5" s="3" t="s">
        <v>381</v>
      </c>
      <c r="C5" s="3" t="s">
        <v>382</v>
      </c>
      <c r="D5" s="3" t="s">
        <v>383</v>
      </c>
      <c r="E5" s="3" t="s">
        <v>384</v>
      </c>
    </row>
    <row r="6" customFormat="false" ht="15" hidden="false" customHeight="false" outlineLevel="0" collapsed="false">
      <c r="A6" s="4" t="s">
        <v>385</v>
      </c>
      <c r="B6" s="4" t="s">
        <v>386</v>
      </c>
      <c r="C6" s="4" t="s">
        <v>387</v>
      </c>
      <c r="D6" s="4" t="s">
        <v>388</v>
      </c>
      <c r="E6" s="4" t="s">
        <v>389</v>
      </c>
    </row>
    <row r="7" customFormat="false" ht="15" hidden="false" customHeight="false" outlineLevel="0" collapsed="false">
      <c r="A7" s="4" t="s">
        <v>12</v>
      </c>
      <c r="B7" s="4" t="s">
        <v>390</v>
      </c>
      <c r="C7" s="4" t="s">
        <v>391</v>
      </c>
      <c r="D7" s="4" t="s">
        <v>392</v>
      </c>
      <c r="E7" s="4" t="s">
        <v>393</v>
      </c>
    </row>
    <row r="8" customFormat="false" ht="15" hidden="false" customHeight="false" outlineLevel="0" collapsed="false">
      <c r="A8" s="4" t="s">
        <v>394</v>
      </c>
      <c r="B8" s="4" t="s">
        <v>395</v>
      </c>
      <c r="C8" s="4" t="s">
        <v>396</v>
      </c>
      <c r="D8" s="4" t="s">
        <v>397</v>
      </c>
      <c r="E8" s="4" t="s">
        <v>398</v>
      </c>
    </row>
    <row r="9" customFormat="false" ht="15" hidden="false" customHeight="false" outlineLevel="0" collapsed="false">
      <c r="A9" s="4" t="s">
        <v>399</v>
      </c>
      <c r="B9" s="4" t="s">
        <v>400</v>
      </c>
      <c r="C9" s="4" t="s">
        <v>401</v>
      </c>
      <c r="D9" s="4" t="s">
        <v>402</v>
      </c>
      <c r="E9" s="4" t="s">
        <v>403</v>
      </c>
    </row>
    <row r="10" customFormat="false" ht="15" hidden="false" customHeight="false" outlineLevel="0" collapsed="false">
      <c r="A10" s="4" t="s">
        <v>404</v>
      </c>
      <c r="B10" s="4" t="s">
        <v>405</v>
      </c>
      <c r="C10" s="4" t="s">
        <v>406</v>
      </c>
      <c r="D10" s="4" t="s">
        <v>407</v>
      </c>
      <c r="E10" s="4" t="s">
        <v>408</v>
      </c>
    </row>
    <row r="11" customFormat="false" ht="15" hidden="false" customHeight="false" outlineLevel="0" collapsed="false">
      <c r="A11" s="4" t="s">
        <v>409</v>
      </c>
      <c r="B11" s="4" t="s">
        <v>410</v>
      </c>
      <c r="C11" s="4" t="s">
        <v>411</v>
      </c>
      <c r="D11" s="4" t="s">
        <v>412</v>
      </c>
      <c r="E11" s="4" t="s">
        <v>413</v>
      </c>
    </row>
    <row r="12" customFormat="false" ht="15" hidden="false" customHeight="false" outlineLevel="0" collapsed="false">
      <c r="A12" s="4" t="s">
        <v>414</v>
      </c>
      <c r="B12" s="4" t="s">
        <v>415</v>
      </c>
      <c r="C12" s="4" t="s">
        <v>416</v>
      </c>
      <c r="D12" s="4" t="s">
        <v>417</v>
      </c>
      <c r="E12" s="4" t="s">
        <v>418</v>
      </c>
    </row>
    <row r="13" customFormat="false" ht="15" hidden="false" customHeight="false" outlineLevel="0" collapsed="false">
      <c r="A13" s="4" t="s">
        <v>419</v>
      </c>
      <c r="B13" s="4" t="s">
        <v>420</v>
      </c>
      <c r="C13" s="4" t="s">
        <v>421</v>
      </c>
      <c r="D13" s="4" t="s">
        <v>422</v>
      </c>
      <c r="E13" s="4" t="s">
        <v>423</v>
      </c>
    </row>
    <row r="14" customFormat="false" ht="15" hidden="false" customHeight="false" outlineLevel="0" collapsed="false">
      <c r="A14" s="4" t="s">
        <v>424</v>
      </c>
      <c r="B14" s="4" t="s">
        <v>425</v>
      </c>
      <c r="C14" s="4" t="s">
        <v>426</v>
      </c>
      <c r="D14" s="4" t="s">
        <v>427</v>
      </c>
      <c r="E14" s="4" t="s">
        <v>428</v>
      </c>
    </row>
    <row r="15" customFormat="false" ht="15" hidden="false" customHeight="false" outlineLevel="0" collapsed="false">
      <c r="A15" s="4" t="s">
        <v>429</v>
      </c>
      <c r="B15" s="4" t="s">
        <v>430</v>
      </c>
      <c r="C15" s="4" t="s">
        <v>431</v>
      </c>
      <c r="D15" s="4" t="s">
        <v>432</v>
      </c>
      <c r="E15" s="4" t="s">
        <v>433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38"/>
    <col collapsed="false" customWidth="true" hidden="false" outlineLevel="0" max="5" min="5" style="0" width="34"/>
    <col collapsed="false" customWidth="true" hidden="false" outlineLevel="0" max="6" min="6" style="0" width="13"/>
    <col collapsed="false" customWidth="true" hidden="false" outlineLevel="0" max="8" min="7" style="0" width="14"/>
  </cols>
  <sheetData>
    <row r="1" customFormat="false" ht="30" hidden="false" customHeight="true" outlineLevel="0" collapsed="false">
      <c r="A1" s="1" t="s">
        <v>434</v>
      </c>
      <c r="B1" s="1"/>
      <c r="C1" s="1"/>
      <c r="D1" s="1"/>
      <c r="E1" s="1"/>
      <c r="F1" s="1"/>
      <c r="G1" s="1"/>
      <c r="H1" s="1"/>
    </row>
    <row r="2" customFormat="false" ht="28" hidden="false" customHeight="true" outlineLevel="0" collapsed="false">
      <c r="A2" s="2" t="s">
        <v>435</v>
      </c>
      <c r="B2" s="2"/>
      <c r="C2" s="2"/>
      <c r="D2" s="2"/>
      <c r="E2" s="2"/>
      <c r="F2" s="2"/>
      <c r="G2" s="2"/>
      <c r="H2" s="2"/>
    </row>
    <row r="5" customFormat="false" ht="34" hidden="false" customHeight="true" outlineLevel="0" collapsed="false">
      <c r="A5" s="3" t="s">
        <v>436</v>
      </c>
      <c r="B5" s="3" t="s">
        <v>247</v>
      </c>
      <c r="C5" s="3" t="s">
        <v>437</v>
      </c>
      <c r="D5" s="3" t="s">
        <v>438</v>
      </c>
      <c r="E5" s="3" t="s">
        <v>439</v>
      </c>
      <c r="F5" s="3" t="s">
        <v>440</v>
      </c>
      <c r="G5" s="3" t="s">
        <v>441</v>
      </c>
      <c r="H5" s="3" t="s">
        <v>442</v>
      </c>
    </row>
    <row r="6" customFormat="false" ht="15" hidden="false" customHeight="false" outlineLevel="0" collapsed="false">
      <c r="A6" s="4" t="s">
        <v>443</v>
      </c>
      <c r="B6" s="4" t="s">
        <v>253</v>
      </c>
      <c r="C6" s="4" t="s">
        <v>444</v>
      </c>
      <c r="D6" s="4" t="s">
        <v>445</v>
      </c>
      <c r="E6" s="4" t="s">
        <v>446</v>
      </c>
      <c r="F6" s="8" t="s">
        <v>185</v>
      </c>
      <c r="G6" s="8"/>
      <c r="H6" s="10"/>
    </row>
    <row r="7" customFormat="false" ht="15" hidden="false" customHeight="false" outlineLevel="0" collapsed="false">
      <c r="A7" s="4" t="s">
        <v>447</v>
      </c>
      <c r="B7" s="4" t="s">
        <v>448</v>
      </c>
      <c r="C7" s="4" t="s">
        <v>444</v>
      </c>
      <c r="D7" s="4" t="s">
        <v>449</v>
      </c>
      <c r="E7" s="4" t="s">
        <v>450</v>
      </c>
      <c r="F7" s="8" t="s">
        <v>185</v>
      </c>
      <c r="G7" s="8"/>
      <c r="H7" s="10"/>
    </row>
    <row r="8" customFormat="false" ht="15" hidden="false" customHeight="false" outlineLevel="0" collapsed="false">
      <c r="A8" s="4" t="s">
        <v>451</v>
      </c>
      <c r="B8" s="4" t="s">
        <v>452</v>
      </c>
      <c r="C8" s="4" t="s">
        <v>453</v>
      </c>
      <c r="D8" s="4" t="s">
        <v>454</v>
      </c>
      <c r="E8" s="4" t="s">
        <v>455</v>
      </c>
      <c r="F8" s="8" t="s">
        <v>185</v>
      </c>
      <c r="G8" s="8"/>
      <c r="H8" s="10"/>
    </row>
    <row r="9" customFormat="false" ht="15" hidden="false" customHeight="false" outlineLevel="0" collapsed="false">
      <c r="A9" s="4" t="s">
        <v>456</v>
      </c>
      <c r="B9" s="4" t="s">
        <v>457</v>
      </c>
      <c r="C9" s="4" t="s">
        <v>444</v>
      </c>
      <c r="D9" s="4" t="s">
        <v>458</v>
      </c>
      <c r="E9" s="4" t="s">
        <v>459</v>
      </c>
      <c r="F9" s="8" t="s">
        <v>185</v>
      </c>
      <c r="G9" s="8"/>
      <c r="H9" s="10"/>
    </row>
    <row r="10" customFormat="false" ht="15" hidden="false" customHeight="false" outlineLevel="0" collapsed="false">
      <c r="A10" s="4" t="s">
        <v>460</v>
      </c>
      <c r="B10" s="4" t="s">
        <v>461</v>
      </c>
      <c r="C10" s="4" t="s">
        <v>453</v>
      </c>
      <c r="D10" s="4" t="s">
        <v>462</v>
      </c>
      <c r="E10" s="4" t="s">
        <v>463</v>
      </c>
      <c r="F10" s="8" t="s">
        <v>185</v>
      </c>
      <c r="G10" s="8"/>
      <c r="H10" s="10"/>
    </row>
    <row r="11" customFormat="false" ht="15" hidden="false" customHeight="false" outlineLevel="0" collapsed="false">
      <c r="A11" s="4" t="s">
        <v>464</v>
      </c>
      <c r="B11" s="4" t="s">
        <v>452</v>
      </c>
      <c r="C11" s="4" t="s">
        <v>453</v>
      </c>
      <c r="D11" s="4" t="s">
        <v>465</v>
      </c>
      <c r="E11" s="4" t="s">
        <v>466</v>
      </c>
      <c r="F11" s="8" t="s">
        <v>185</v>
      </c>
      <c r="G11" s="8"/>
      <c r="H11" s="10"/>
    </row>
    <row r="12" customFormat="false" ht="15" hidden="false" customHeight="false" outlineLevel="0" collapsed="false">
      <c r="A12" s="4" t="s">
        <v>467</v>
      </c>
      <c r="B12" s="4" t="s">
        <v>468</v>
      </c>
      <c r="C12" s="4" t="s">
        <v>453</v>
      </c>
      <c r="D12" s="4" t="s">
        <v>469</v>
      </c>
      <c r="E12" s="4" t="s">
        <v>470</v>
      </c>
      <c r="F12" s="4" t="s">
        <v>185</v>
      </c>
      <c r="G12" s="4"/>
      <c r="H12" s="4"/>
    </row>
    <row r="13" customFormat="false" ht="15" hidden="false" customHeight="false" outlineLevel="0" collapsed="false">
      <c r="A13" s="4" t="s">
        <v>471</v>
      </c>
      <c r="B13" s="4" t="s">
        <v>461</v>
      </c>
      <c r="C13" s="4" t="s">
        <v>472</v>
      </c>
      <c r="D13" s="4" t="s">
        <v>473</v>
      </c>
      <c r="E13" s="4" t="s">
        <v>474</v>
      </c>
      <c r="F13" s="4" t="s">
        <v>185</v>
      </c>
      <c r="G13" s="4"/>
      <c r="H13" s="4"/>
    </row>
    <row r="14" customFormat="false" ht="15" hidden="false" customHeight="false" outlineLevel="0" collapsed="false">
      <c r="A14" s="4" t="s">
        <v>475</v>
      </c>
      <c r="B14" s="4" t="s">
        <v>476</v>
      </c>
      <c r="C14" s="4" t="s">
        <v>472</v>
      </c>
      <c r="D14" s="4" t="s">
        <v>477</v>
      </c>
      <c r="E14" s="4" t="s">
        <v>478</v>
      </c>
      <c r="F14" s="4" t="s">
        <v>185</v>
      </c>
      <c r="G14" s="4"/>
      <c r="H14" s="4"/>
    </row>
    <row r="15" customFormat="false" ht="15" hidden="false" customHeight="false" outlineLevel="0" collapsed="false">
      <c r="A15" s="4" t="s">
        <v>479</v>
      </c>
      <c r="B15" s="4" t="s">
        <v>480</v>
      </c>
      <c r="C15" s="4" t="s">
        <v>481</v>
      </c>
      <c r="D15" s="4" t="s">
        <v>482</v>
      </c>
      <c r="E15" s="4" t="s">
        <v>483</v>
      </c>
      <c r="F15" s="4" t="s">
        <v>185</v>
      </c>
      <c r="G15" s="4"/>
      <c r="H15" s="4"/>
    </row>
    <row r="16" customFormat="false" ht="15" hidden="false" customHeight="false" outlineLevel="0" collapsed="false">
      <c r="A16" s="4" t="s">
        <v>484</v>
      </c>
      <c r="B16" s="4" t="s">
        <v>461</v>
      </c>
      <c r="C16" s="4" t="s">
        <v>485</v>
      </c>
      <c r="D16" s="4" t="s">
        <v>486</v>
      </c>
      <c r="E16" s="4" t="s">
        <v>487</v>
      </c>
      <c r="F16" s="4" t="s">
        <v>185</v>
      </c>
      <c r="G16" s="4"/>
      <c r="H16" s="4"/>
    </row>
    <row r="17" customFormat="false" ht="15" hidden="false" customHeight="false" outlineLevel="0" collapsed="false">
      <c r="A17" s="4" t="s">
        <v>488</v>
      </c>
      <c r="B17" s="4" t="s">
        <v>452</v>
      </c>
      <c r="C17" s="4" t="s">
        <v>485</v>
      </c>
      <c r="D17" s="4" t="s">
        <v>489</v>
      </c>
      <c r="E17" s="4" t="s">
        <v>490</v>
      </c>
      <c r="F17" s="4" t="s">
        <v>185</v>
      </c>
      <c r="G17" s="4"/>
      <c r="H17" s="4"/>
    </row>
  </sheetData>
  <mergeCells count="2">
    <mergeCell ref="A1:H1"/>
    <mergeCell ref="A2:H2"/>
  </mergeCells>
  <conditionalFormatting sqref="F6:F11">
    <cfRule type="containsText" priority="2" operator="containsText" aboveAverage="0" equalAverage="0" bottom="0" percent="0" rank="0" text="已完成" dxfId="11">
      <formula>NOT(ISERROR(SEARCH("已完成",F6)))</formula>
    </cfRule>
    <cfRule type="containsText" priority="3" operator="containsText" aboveAverage="0" equalAverage="0" bottom="0" percent="0" rank="0" text="高" dxfId="12">
      <formula>NOT(ISERROR(SEARCH("高",F6)))</formula>
    </cfRule>
  </conditionalFormatting>
  <dataValidations count="1">
    <dataValidation allowBlank="false" errorStyle="stop" operator="between" showDropDown="false" showErrorMessage="false" showInputMessage="false" sqref="F6:F11" type="list">
      <formula1>"未开始,进行中,待复核,已完成"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50"/>
    <col collapsed="false" customWidth="true" hidden="false" outlineLevel="0" max="4" min="4" style="0" width="48"/>
    <col collapsed="false" customWidth="true" hidden="false" outlineLevel="0" max="5" min="5" style="0" width="13"/>
  </cols>
  <sheetData>
    <row r="1" customFormat="false" ht="30" hidden="false" customHeight="true" outlineLevel="0" collapsed="false">
      <c r="A1" s="1" t="s">
        <v>491</v>
      </c>
      <c r="B1" s="1"/>
      <c r="C1" s="1"/>
      <c r="D1" s="1"/>
      <c r="E1" s="1"/>
    </row>
    <row r="2" customFormat="false" ht="28" hidden="false" customHeight="true" outlineLevel="0" collapsed="false">
      <c r="A2" s="2" t="s">
        <v>492</v>
      </c>
      <c r="B2" s="2"/>
      <c r="C2" s="2"/>
      <c r="D2" s="2"/>
      <c r="E2" s="2"/>
    </row>
    <row r="5" customFormat="false" ht="34" hidden="false" customHeight="true" outlineLevel="0" collapsed="false">
      <c r="A5" s="3" t="s">
        <v>493</v>
      </c>
      <c r="B5" s="3" t="s">
        <v>494</v>
      </c>
      <c r="C5" s="3" t="s">
        <v>495</v>
      </c>
      <c r="D5" s="3" t="s">
        <v>496</v>
      </c>
      <c r="E5" s="3" t="s">
        <v>184</v>
      </c>
    </row>
    <row r="6" customFormat="false" ht="15" hidden="false" customHeight="false" outlineLevel="0" collapsed="false">
      <c r="A6" s="4" t="s">
        <v>497</v>
      </c>
      <c r="B6" s="4" t="s">
        <v>498</v>
      </c>
      <c r="C6" s="4" t="s">
        <v>499</v>
      </c>
      <c r="D6" s="8"/>
      <c r="E6" s="8" t="s">
        <v>185</v>
      </c>
    </row>
    <row r="7" customFormat="false" ht="15" hidden="false" customHeight="false" outlineLevel="0" collapsed="false">
      <c r="A7" s="4" t="s">
        <v>497</v>
      </c>
      <c r="B7" s="4" t="s">
        <v>500</v>
      </c>
      <c r="C7" s="4" t="s">
        <v>501</v>
      </c>
      <c r="D7" s="8"/>
      <c r="E7" s="8" t="s">
        <v>185</v>
      </c>
    </row>
    <row r="8" customFormat="false" ht="15" hidden="false" customHeight="false" outlineLevel="0" collapsed="false">
      <c r="A8" s="4" t="s">
        <v>497</v>
      </c>
      <c r="B8" s="4" t="s">
        <v>502</v>
      </c>
      <c r="C8" s="4" t="s">
        <v>503</v>
      </c>
      <c r="D8" s="8"/>
      <c r="E8" s="8" t="s">
        <v>185</v>
      </c>
    </row>
    <row r="9" customFormat="false" ht="15" hidden="false" customHeight="false" outlineLevel="0" collapsed="false">
      <c r="A9" s="4" t="s">
        <v>497</v>
      </c>
      <c r="B9" s="4" t="s">
        <v>504</v>
      </c>
      <c r="C9" s="4" t="s">
        <v>505</v>
      </c>
      <c r="D9" s="8"/>
      <c r="E9" s="8" t="s">
        <v>185</v>
      </c>
    </row>
    <row r="10" customFormat="false" ht="15" hidden="false" customHeight="false" outlineLevel="0" collapsed="false">
      <c r="A10" s="4" t="s">
        <v>506</v>
      </c>
      <c r="B10" s="4" t="s">
        <v>507</v>
      </c>
      <c r="C10" s="4" t="s">
        <v>508</v>
      </c>
      <c r="D10" s="8"/>
      <c r="E10" s="8" t="s">
        <v>185</v>
      </c>
    </row>
    <row r="11" customFormat="false" ht="15" hidden="false" customHeight="false" outlineLevel="0" collapsed="false">
      <c r="A11" s="4" t="s">
        <v>506</v>
      </c>
      <c r="B11" s="4" t="s">
        <v>509</v>
      </c>
      <c r="C11" s="4" t="s">
        <v>510</v>
      </c>
      <c r="D11" s="8"/>
      <c r="E11" s="8" t="s">
        <v>185</v>
      </c>
    </row>
    <row r="12" customFormat="false" ht="15" hidden="false" customHeight="false" outlineLevel="0" collapsed="false">
      <c r="A12" s="4" t="s">
        <v>506</v>
      </c>
      <c r="B12" s="4" t="s">
        <v>511</v>
      </c>
      <c r="C12" s="4" t="s">
        <v>512</v>
      </c>
      <c r="D12" s="8"/>
      <c r="E12" s="8" t="s">
        <v>185</v>
      </c>
    </row>
    <row r="13" customFormat="false" ht="15" hidden="false" customHeight="false" outlineLevel="0" collapsed="false">
      <c r="A13" s="4" t="s">
        <v>506</v>
      </c>
      <c r="B13" s="4" t="s">
        <v>513</v>
      </c>
      <c r="C13" s="4" t="s">
        <v>514</v>
      </c>
      <c r="D13" s="8"/>
      <c r="E13" s="8" t="s">
        <v>185</v>
      </c>
    </row>
  </sheetData>
  <mergeCells count="2">
    <mergeCell ref="A1:E1"/>
    <mergeCell ref="A2:E2"/>
  </mergeCells>
  <conditionalFormatting sqref="E6:E13">
    <cfRule type="containsText" priority="2" operator="containsText" aboveAverage="0" equalAverage="0" bottom="0" percent="0" rank="0" text="已完成" dxfId="13">
      <formula>NOT(ISERROR(SEARCH("已完成",E6)))</formula>
    </cfRule>
    <cfRule type="containsText" priority="3" operator="containsText" aboveAverage="0" equalAverage="0" bottom="0" percent="0" rank="0" text="高" dxfId="14">
      <formula>NOT(ISERROR(SEARCH("高",E6)))</formula>
    </cfRule>
  </conditionalFormatting>
  <dataValidations count="1">
    <dataValidation allowBlank="false" errorStyle="stop" operator="between" showDropDown="false" showErrorMessage="false" showInputMessage="false" sqref="E6:E13" type="list">
      <formula1>"未开始,进行中,待复核,已完成"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2" min="1" style="0" width="34"/>
    <col collapsed="false" customWidth="true" hidden="false" outlineLevel="0" max="3" min="3" style="0" width="50"/>
    <col collapsed="false" customWidth="true" hidden="false" outlineLevel="0" max="4" min="4" style="0" width="28"/>
  </cols>
  <sheetData>
    <row r="1" customFormat="false" ht="30" hidden="false" customHeight="true" outlineLevel="0" collapsed="false">
      <c r="A1" s="1" t="s">
        <v>515</v>
      </c>
      <c r="B1" s="1"/>
      <c r="C1" s="1"/>
      <c r="D1" s="1"/>
    </row>
    <row r="2" customFormat="false" ht="28" hidden="false" customHeight="true" outlineLevel="0" collapsed="false">
      <c r="A2" s="2" t="s">
        <v>516</v>
      </c>
      <c r="B2" s="2"/>
      <c r="C2" s="2"/>
      <c r="D2" s="2"/>
    </row>
    <row r="5" customFormat="false" ht="34" hidden="false" customHeight="true" outlineLevel="0" collapsed="false">
      <c r="A5" s="3" t="s">
        <v>517</v>
      </c>
      <c r="B5" s="3" t="s">
        <v>518</v>
      </c>
      <c r="C5" s="3" t="s">
        <v>519</v>
      </c>
      <c r="D5" s="3" t="s">
        <v>438</v>
      </c>
    </row>
    <row r="6" customFormat="false" ht="15" hidden="false" customHeight="false" outlineLevel="0" collapsed="false">
      <c r="A6" s="4" t="s">
        <v>520</v>
      </c>
      <c r="B6" s="4" t="s">
        <v>521</v>
      </c>
      <c r="C6" s="4" t="s">
        <v>522</v>
      </c>
      <c r="D6" s="4" t="s">
        <v>523</v>
      </c>
    </row>
    <row r="7" customFormat="false" ht="15" hidden="false" customHeight="false" outlineLevel="0" collapsed="false">
      <c r="A7" s="4" t="s">
        <v>524</v>
      </c>
      <c r="B7" s="4" t="s">
        <v>525</v>
      </c>
      <c r="C7" s="4" t="s">
        <v>526</v>
      </c>
      <c r="D7" s="4" t="s">
        <v>527</v>
      </c>
    </row>
    <row r="8" customFormat="false" ht="15" hidden="false" customHeight="false" outlineLevel="0" collapsed="false">
      <c r="A8" s="4" t="s">
        <v>528</v>
      </c>
      <c r="B8" s="4" t="s">
        <v>529</v>
      </c>
      <c r="C8" s="4" t="s">
        <v>530</v>
      </c>
      <c r="D8" s="4" t="s">
        <v>531</v>
      </c>
    </row>
    <row r="9" customFormat="false" ht="15" hidden="false" customHeight="false" outlineLevel="0" collapsed="false">
      <c r="A9" s="4" t="s">
        <v>532</v>
      </c>
      <c r="B9" s="4" t="s">
        <v>533</v>
      </c>
      <c r="C9" s="4" t="s">
        <v>534</v>
      </c>
      <c r="D9" s="4" t="s">
        <v>535</v>
      </c>
    </row>
    <row r="10" customFormat="false" ht="15" hidden="false" customHeight="false" outlineLevel="0" collapsed="false">
      <c r="A10" s="4" t="s">
        <v>536</v>
      </c>
      <c r="B10" s="4" t="s">
        <v>537</v>
      </c>
      <c r="C10" s="4" t="s">
        <v>538</v>
      </c>
      <c r="D10" s="4" t="s">
        <v>539</v>
      </c>
    </row>
    <row r="11" customFormat="false" ht="15" hidden="false" customHeight="false" outlineLevel="0" collapsed="false">
      <c r="A11" s="4" t="s">
        <v>540</v>
      </c>
      <c r="B11" s="4" t="s">
        <v>541</v>
      </c>
      <c r="C11" s="4" t="s">
        <v>542</v>
      </c>
      <c r="D11" s="4" t="s">
        <v>543</v>
      </c>
    </row>
    <row r="12" customFormat="false" ht="15" hidden="false" customHeight="false" outlineLevel="0" collapsed="false">
      <c r="A12" s="4" t="s">
        <v>544</v>
      </c>
      <c r="B12" s="4" t="s">
        <v>545</v>
      </c>
      <c r="C12" s="4" t="s">
        <v>546</v>
      </c>
      <c r="D12" s="4" t="s">
        <v>547</v>
      </c>
    </row>
    <row r="13" customFormat="false" ht="15" hidden="false" customHeight="false" outlineLevel="0" collapsed="false">
      <c r="A13" s="4" t="s">
        <v>548</v>
      </c>
      <c r="B13" s="4" t="s">
        <v>549</v>
      </c>
      <c r="C13" s="4" t="s">
        <v>550</v>
      </c>
      <c r="D13" s="4" t="s">
        <v>551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28"/>
    <col collapsed="false" customWidth="true" hidden="false" outlineLevel="0" max="7" min="7" style="0" width="14"/>
    <col collapsed="false" customWidth="true" hidden="false" outlineLevel="0" max="8" min="8" style="0" width="34"/>
    <col collapsed="false" customWidth="true" hidden="false" outlineLevel="0" max="9" min="9" style="0" width="14"/>
    <col collapsed="false" customWidth="true" hidden="false" outlineLevel="0" max="10" min="10" style="0" width="30"/>
    <col collapsed="false" customWidth="true" hidden="false" outlineLevel="0" max="11" min="11" style="0" width="28"/>
    <col collapsed="false" customWidth="true" hidden="false" outlineLevel="0" max="12" min="12" style="0" width="34"/>
    <col collapsed="false" customWidth="true" hidden="false" outlineLevel="0" max="13" min="13" style="0" width="14"/>
    <col collapsed="false" customWidth="true" hidden="false" outlineLevel="0" max="14" min="14" style="0" width="13"/>
    <col collapsed="false" customWidth="true" hidden="false" outlineLevel="0" max="15" min="15" style="0" width="38"/>
  </cols>
  <sheetData>
    <row r="1" customFormat="false" ht="30" hidden="false" customHeight="true" outlineLevel="0" collapsed="false">
      <c r="A1" s="1" t="s">
        <v>552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28" hidden="false" customHeight="true" outlineLevel="0" collapsed="false">
      <c r="A2" s="2" t="s">
        <v>553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5" customFormat="false" ht="34" hidden="false" customHeight="true" outlineLevel="0" collapsed="false">
      <c r="A5" s="3" t="s">
        <v>554</v>
      </c>
      <c r="B5" s="3" t="s">
        <v>177</v>
      </c>
      <c r="C5" s="3" t="s">
        <v>555</v>
      </c>
      <c r="D5" s="3" t="s">
        <v>556</v>
      </c>
      <c r="E5" s="3" t="s">
        <v>190</v>
      </c>
      <c r="F5" s="3" t="s">
        <v>557</v>
      </c>
      <c r="G5" s="3" t="s">
        <v>558</v>
      </c>
      <c r="H5" s="3" t="s">
        <v>194</v>
      </c>
      <c r="I5" s="3" t="s">
        <v>195</v>
      </c>
      <c r="J5" s="3" t="s">
        <v>559</v>
      </c>
      <c r="K5" s="3" t="s">
        <v>560</v>
      </c>
      <c r="L5" s="3" t="s">
        <v>561</v>
      </c>
      <c r="M5" s="3" t="s">
        <v>441</v>
      </c>
      <c r="N5" s="3" t="s">
        <v>184</v>
      </c>
      <c r="O5" s="3" t="s">
        <v>562</v>
      </c>
    </row>
    <row r="6" customFormat="false" ht="15" hidden="false" customHeight="false" outlineLevel="0" collapsed="false">
      <c r="A6" s="4" t="s">
        <v>563</v>
      </c>
      <c r="B6" s="8" t="s">
        <v>58</v>
      </c>
      <c r="C6" s="8" t="s">
        <v>564</v>
      </c>
      <c r="D6" s="8" t="s">
        <v>565</v>
      </c>
      <c r="E6" s="7" t="n">
        <v>904000</v>
      </c>
      <c r="F6" s="8" t="s">
        <v>566</v>
      </c>
      <c r="G6" s="8" t="s">
        <v>567</v>
      </c>
      <c r="H6" s="8" t="s">
        <v>568</v>
      </c>
      <c r="I6" s="10" t="n">
        <v>46280</v>
      </c>
      <c r="J6" s="8" t="s">
        <v>569</v>
      </c>
      <c r="K6" s="8" t="s">
        <v>570</v>
      </c>
      <c r="L6" s="8" t="s">
        <v>571</v>
      </c>
      <c r="M6" s="8" t="s">
        <v>461</v>
      </c>
      <c r="N6" s="8" t="s">
        <v>199</v>
      </c>
      <c r="O6" s="8"/>
    </row>
    <row r="7" customFormat="false" ht="15" hidden="false" customHeight="false" outlineLevel="0" collapsed="false">
      <c r="A7" s="4" t="s">
        <v>572</v>
      </c>
      <c r="B7" s="8" t="s">
        <v>95</v>
      </c>
      <c r="C7" s="8" t="s">
        <v>573</v>
      </c>
      <c r="D7" s="8" t="s">
        <v>574</v>
      </c>
      <c r="E7" s="7" t="n">
        <v>1017000</v>
      </c>
      <c r="F7" s="8" t="s">
        <v>575</v>
      </c>
      <c r="G7" s="8" t="s">
        <v>576</v>
      </c>
      <c r="H7" s="8" t="s">
        <v>577</v>
      </c>
      <c r="I7" s="10" t="n">
        <v>46275</v>
      </c>
      <c r="J7" s="8" t="s">
        <v>578</v>
      </c>
      <c r="K7" s="8" t="s">
        <v>579</v>
      </c>
      <c r="L7" s="8" t="s">
        <v>580</v>
      </c>
      <c r="M7" s="8" t="s">
        <v>581</v>
      </c>
      <c r="N7" s="8" t="s">
        <v>199</v>
      </c>
      <c r="O7" s="8"/>
    </row>
    <row r="8" customFormat="false" ht="15" hidden="false" customHeight="false" outlineLevel="0" collapsed="false">
      <c r="A8" s="4" t="s">
        <v>582</v>
      </c>
      <c r="B8" s="8" t="s">
        <v>255</v>
      </c>
      <c r="C8" s="8" t="s">
        <v>583</v>
      </c>
      <c r="D8" s="8" t="s">
        <v>584</v>
      </c>
      <c r="E8" s="7" t="n">
        <v>226000</v>
      </c>
      <c r="F8" s="8" t="s">
        <v>585</v>
      </c>
      <c r="G8" s="8" t="s">
        <v>586</v>
      </c>
      <c r="H8" s="8" t="s">
        <v>587</v>
      </c>
      <c r="I8" s="10" t="n">
        <v>46267</v>
      </c>
      <c r="J8" s="8" t="s">
        <v>588</v>
      </c>
      <c r="K8" s="8" t="s">
        <v>589</v>
      </c>
      <c r="L8" s="8" t="s">
        <v>590</v>
      </c>
      <c r="M8" s="8" t="s">
        <v>461</v>
      </c>
      <c r="N8" s="8" t="s">
        <v>591</v>
      </c>
      <c r="O8" s="8"/>
    </row>
    <row r="9" customFormat="false" ht="15" hidden="false" customHeight="false" outlineLevel="0" collapsed="false">
      <c r="A9" s="4" t="s">
        <v>592</v>
      </c>
      <c r="B9" s="8"/>
      <c r="C9" s="8"/>
      <c r="D9" s="8"/>
      <c r="E9" s="7" t="n">
        <v>0</v>
      </c>
      <c r="F9" s="8"/>
      <c r="G9" s="8"/>
      <c r="H9" s="8"/>
      <c r="I9" s="10"/>
      <c r="J9" s="8"/>
      <c r="K9" s="8"/>
      <c r="L9" s="8"/>
      <c r="M9" s="8"/>
      <c r="N9" s="8"/>
      <c r="O9" s="8"/>
    </row>
    <row r="10" customFormat="false" ht="15" hidden="false" customHeight="false" outlineLevel="0" collapsed="false">
      <c r="A10" s="4" t="s">
        <v>593</v>
      </c>
      <c r="B10" s="8"/>
      <c r="C10" s="8"/>
      <c r="D10" s="8"/>
      <c r="E10" s="7" t="n">
        <v>0</v>
      </c>
      <c r="F10" s="8"/>
      <c r="G10" s="8"/>
      <c r="H10" s="8"/>
      <c r="I10" s="10"/>
      <c r="J10" s="8"/>
      <c r="K10" s="8"/>
      <c r="L10" s="8"/>
      <c r="M10" s="8"/>
      <c r="N10" s="8"/>
      <c r="O10" s="8"/>
    </row>
    <row r="11" customFormat="false" ht="15" hidden="false" customHeight="false" outlineLevel="0" collapsed="false">
      <c r="A11" s="4" t="s">
        <v>594</v>
      </c>
      <c r="B11" s="8"/>
      <c r="C11" s="8"/>
      <c r="D11" s="8"/>
      <c r="E11" s="7" t="n">
        <v>0</v>
      </c>
      <c r="F11" s="8"/>
      <c r="G11" s="8"/>
      <c r="H11" s="8"/>
      <c r="I11" s="10"/>
      <c r="J11" s="8"/>
      <c r="K11" s="8"/>
      <c r="L11" s="8"/>
      <c r="M11" s="8"/>
      <c r="N11" s="8"/>
      <c r="O11" s="8"/>
    </row>
    <row r="12" customFormat="false" ht="15" hidden="false" customHeight="false" outlineLevel="0" collapsed="false">
      <c r="A12" s="4" t="s">
        <v>595</v>
      </c>
      <c r="B12" s="8"/>
      <c r="C12" s="8"/>
      <c r="D12" s="8"/>
      <c r="E12" s="7" t="n">
        <v>0</v>
      </c>
      <c r="F12" s="8"/>
      <c r="G12" s="8"/>
      <c r="H12" s="8"/>
      <c r="I12" s="10"/>
      <c r="J12" s="8"/>
      <c r="K12" s="8"/>
      <c r="L12" s="8"/>
      <c r="M12" s="8"/>
      <c r="N12" s="8"/>
      <c r="O12" s="8"/>
    </row>
    <row r="13" customFormat="false" ht="15" hidden="false" customHeight="false" outlineLevel="0" collapsed="false">
      <c r="A13" s="4" t="s">
        <v>596</v>
      </c>
      <c r="B13" s="8"/>
      <c r="C13" s="8"/>
      <c r="D13" s="8"/>
      <c r="E13" s="7" t="n">
        <v>0</v>
      </c>
      <c r="F13" s="8"/>
      <c r="G13" s="8"/>
      <c r="H13" s="8"/>
      <c r="I13" s="10"/>
      <c r="J13" s="8"/>
      <c r="K13" s="8"/>
      <c r="L13" s="8"/>
      <c r="M13" s="8"/>
      <c r="N13" s="8"/>
      <c r="O13" s="8"/>
    </row>
    <row r="14" customFormat="false" ht="15" hidden="false" customHeight="false" outlineLevel="0" collapsed="false">
      <c r="A14" s="4" t="s">
        <v>597</v>
      </c>
      <c r="B14" s="8"/>
      <c r="C14" s="8"/>
      <c r="D14" s="8"/>
      <c r="E14" s="7" t="n">
        <v>0</v>
      </c>
      <c r="F14" s="8"/>
      <c r="G14" s="8"/>
      <c r="H14" s="8"/>
      <c r="I14" s="10"/>
      <c r="J14" s="8"/>
      <c r="K14" s="8"/>
      <c r="L14" s="8"/>
      <c r="M14" s="8"/>
      <c r="N14" s="8"/>
      <c r="O14" s="8"/>
    </row>
    <row r="15" customFormat="false" ht="15" hidden="false" customHeight="false" outlineLevel="0" collapsed="false">
      <c r="A15" s="4" t="s">
        <v>598</v>
      </c>
      <c r="B15" s="8"/>
      <c r="C15" s="8"/>
      <c r="D15" s="8"/>
      <c r="E15" s="7" t="n">
        <v>0</v>
      </c>
      <c r="F15" s="8"/>
      <c r="G15" s="8"/>
      <c r="H15" s="8"/>
      <c r="I15" s="10"/>
      <c r="J15" s="8"/>
      <c r="K15" s="8"/>
      <c r="L15" s="8"/>
      <c r="M15" s="8"/>
      <c r="N15" s="8"/>
      <c r="O15" s="8"/>
    </row>
    <row r="16" customFormat="false" ht="15" hidden="false" customHeight="false" outlineLevel="0" collapsed="false">
      <c r="A16" s="4" t="s">
        <v>599</v>
      </c>
      <c r="B16" s="8"/>
      <c r="C16" s="8"/>
      <c r="D16" s="8"/>
      <c r="E16" s="7" t="n">
        <v>0</v>
      </c>
      <c r="F16" s="8"/>
      <c r="G16" s="8"/>
      <c r="H16" s="8"/>
      <c r="I16" s="10"/>
      <c r="J16" s="8"/>
      <c r="K16" s="8"/>
      <c r="L16" s="8"/>
      <c r="M16" s="8"/>
      <c r="N16" s="8"/>
      <c r="O16" s="8"/>
    </row>
    <row r="17" customFormat="false" ht="15" hidden="false" customHeight="false" outlineLevel="0" collapsed="false">
      <c r="A17" s="4" t="s">
        <v>600</v>
      </c>
      <c r="B17" s="8"/>
      <c r="C17" s="8"/>
      <c r="D17" s="8"/>
      <c r="E17" s="7" t="n">
        <v>0</v>
      </c>
      <c r="F17" s="8"/>
      <c r="G17" s="8"/>
      <c r="H17" s="8"/>
      <c r="I17" s="10"/>
      <c r="J17" s="8"/>
      <c r="K17" s="8"/>
      <c r="L17" s="8"/>
      <c r="M17" s="8"/>
      <c r="N17" s="8"/>
      <c r="O17" s="8"/>
    </row>
    <row r="18" customFormat="false" ht="15" hidden="false" customHeight="false" outlineLevel="0" collapsed="false">
      <c r="A18" s="4" t="s">
        <v>601</v>
      </c>
      <c r="B18" s="8"/>
      <c r="C18" s="8"/>
      <c r="D18" s="8"/>
      <c r="E18" s="7" t="n">
        <v>0</v>
      </c>
      <c r="F18" s="8"/>
      <c r="G18" s="8"/>
      <c r="H18" s="8"/>
      <c r="I18" s="10"/>
      <c r="J18" s="8"/>
      <c r="K18" s="8"/>
      <c r="L18" s="8"/>
      <c r="M18" s="8"/>
      <c r="N18" s="8"/>
      <c r="O18" s="8"/>
    </row>
    <row r="19" customFormat="false" ht="15" hidden="false" customHeight="false" outlineLevel="0" collapsed="false">
      <c r="A19" s="4" t="s">
        <v>602</v>
      </c>
      <c r="B19" s="8"/>
      <c r="C19" s="8"/>
      <c r="D19" s="8"/>
      <c r="E19" s="7" t="n">
        <v>0</v>
      </c>
      <c r="F19" s="8"/>
      <c r="G19" s="8"/>
      <c r="H19" s="8"/>
      <c r="I19" s="10"/>
      <c r="J19" s="8"/>
      <c r="K19" s="8"/>
      <c r="L19" s="8"/>
      <c r="M19" s="8"/>
      <c r="N19" s="8"/>
      <c r="O19" s="8"/>
    </row>
    <row r="20" customFormat="false" ht="15" hidden="false" customHeight="false" outlineLevel="0" collapsed="false">
      <c r="A20" s="4" t="s">
        <v>603</v>
      </c>
      <c r="B20" s="8"/>
      <c r="C20" s="8"/>
      <c r="D20" s="8"/>
      <c r="E20" s="7" t="n">
        <v>0</v>
      </c>
      <c r="F20" s="8"/>
      <c r="G20" s="8"/>
      <c r="H20" s="8"/>
      <c r="I20" s="10"/>
      <c r="J20" s="8"/>
      <c r="K20" s="8"/>
      <c r="L20" s="8"/>
      <c r="M20" s="8"/>
      <c r="N20" s="8"/>
      <c r="O20" s="8"/>
    </row>
    <row r="21" customFormat="false" ht="15" hidden="false" customHeight="false" outlineLevel="0" collapsed="false">
      <c r="A21" s="4" t="s">
        <v>604</v>
      </c>
      <c r="B21" s="8"/>
      <c r="C21" s="8"/>
      <c r="D21" s="8"/>
      <c r="E21" s="7" t="n">
        <v>0</v>
      </c>
      <c r="F21" s="8"/>
      <c r="G21" s="8"/>
      <c r="H21" s="8"/>
      <c r="I21" s="10"/>
      <c r="J21" s="8"/>
      <c r="K21" s="8"/>
      <c r="L21" s="8"/>
      <c r="M21" s="8"/>
      <c r="N21" s="8"/>
      <c r="O21" s="8"/>
    </row>
    <row r="22" customFormat="false" ht="15" hidden="false" customHeight="false" outlineLevel="0" collapsed="false">
      <c r="A22" s="4" t="s">
        <v>605</v>
      </c>
      <c r="B22" s="8"/>
      <c r="C22" s="8"/>
      <c r="D22" s="8"/>
      <c r="E22" s="7" t="n">
        <v>0</v>
      </c>
      <c r="F22" s="8"/>
      <c r="G22" s="8"/>
      <c r="H22" s="8"/>
      <c r="I22" s="10"/>
      <c r="J22" s="8"/>
      <c r="K22" s="8"/>
      <c r="L22" s="8"/>
      <c r="M22" s="8"/>
      <c r="N22" s="8"/>
      <c r="O22" s="8"/>
    </row>
    <row r="23" customFormat="false" ht="15" hidden="false" customHeight="false" outlineLevel="0" collapsed="false">
      <c r="A23" s="4" t="s">
        <v>606</v>
      </c>
      <c r="B23" s="8"/>
      <c r="C23" s="8"/>
      <c r="D23" s="8"/>
      <c r="E23" s="7" t="n">
        <v>0</v>
      </c>
      <c r="F23" s="8"/>
      <c r="G23" s="8"/>
      <c r="H23" s="8"/>
      <c r="I23" s="10"/>
      <c r="J23" s="8"/>
      <c r="K23" s="8"/>
      <c r="L23" s="8"/>
      <c r="M23" s="8"/>
      <c r="N23" s="8"/>
      <c r="O23" s="8"/>
    </row>
    <row r="24" customFormat="false" ht="15" hidden="false" customHeight="false" outlineLevel="0" collapsed="false">
      <c r="A24" s="4" t="s">
        <v>607</v>
      </c>
      <c r="B24" s="8"/>
      <c r="C24" s="8"/>
      <c r="D24" s="8"/>
      <c r="E24" s="7" t="n">
        <v>0</v>
      </c>
      <c r="F24" s="8"/>
      <c r="G24" s="8"/>
      <c r="H24" s="8"/>
      <c r="I24" s="10"/>
      <c r="J24" s="8"/>
      <c r="K24" s="8"/>
      <c r="L24" s="8"/>
      <c r="M24" s="8"/>
      <c r="N24" s="8"/>
      <c r="O24" s="8"/>
    </row>
    <row r="25" customFormat="false" ht="15" hidden="false" customHeight="false" outlineLevel="0" collapsed="false">
      <c r="A25" s="4" t="s">
        <v>608</v>
      </c>
      <c r="B25" s="8"/>
      <c r="C25" s="8"/>
      <c r="D25" s="8"/>
      <c r="E25" s="7" t="n">
        <v>0</v>
      </c>
      <c r="F25" s="8"/>
      <c r="G25" s="8"/>
      <c r="H25" s="8"/>
      <c r="I25" s="10"/>
      <c r="J25" s="8"/>
      <c r="K25" s="8"/>
      <c r="L25" s="8"/>
      <c r="M25" s="8"/>
      <c r="N25" s="8"/>
      <c r="O25" s="8"/>
    </row>
    <row r="26" customFormat="false" ht="15" hidden="false" customHeight="false" outlineLevel="0" collapsed="false">
      <c r="A26" s="4" t="s">
        <v>609</v>
      </c>
      <c r="B26" s="8"/>
      <c r="C26" s="8"/>
      <c r="D26" s="8"/>
      <c r="E26" s="7" t="n">
        <v>0</v>
      </c>
      <c r="F26" s="8"/>
      <c r="G26" s="8"/>
      <c r="H26" s="8"/>
      <c r="I26" s="10"/>
      <c r="J26" s="8"/>
      <c r="K26" s="8"/>
      <c r="L26" s="8"/>
      <c r="M26" s="8"/>
      <c r="N26" s="8"/>
      <c r="O26" s="8"/>
    </row>
    <row r="27" customFormat="false" ht="15" hidden="false" customHeight="false" outlineLevel="0" collapsed="false">
      <c r="A27" s="4" t="s">
        <v>610</v>
      </c>
      <c r="B27" s="8"/>
      <c r="C27" s="8"/>
      <c r="D27" s="8"/>
      <c r="E27" s="7" t="n">
        <v>0</v>
      </c>
      <c r="F27" s="8"/>
      <c r="G27" s="8"/>
      <c r="H27" s="8"/>
      <c r="I27" s="10"/>
      <c r="J27" s="8"/>
      <c r="K27" s="8"/>
      <c r="L27" s="8"/>
      <c r="M27" s="8"/>
      <c r="N27" s="8"/>
      <c r="O27" s="8"/>
    </row>
    <row r="28" customFormat="false" ht="15" hidden="false" customHeight="false" outlineLevel="0" collapsed="false">
      <c r="A28" s="4" t="s">
        <v>611</v>
      </c>
      <c r="B28" s="8"/>
      <c r="C28" s="8"/>
      <c r="D28" s="8"/>
      <c r="E28" s="7" t="n">
        <v>0</v>
      </c>
      <c r="F28" s="8"/>
      <c r="G28" s="8"/>
      <c r="H28" s="8"/>
      <c r="I28" s="10"/>
      <c r="J28" s="8"/>
      <c r="K28" s="8"/>
      <c r="L28" s="8"/>
      <c r="M28" s="8"/>
      <c r="N28" s="8"/>
      <c r="O28" s="8"/>
    </row>
    <row r="29" customFormat="false" ht="15" hidden="false" customHeight="false" outlineLevel="0" collapsed="false">
      <c r="A29" s="4" t="s">
        <v>612</v>
      </c>
      <c r="B29" s="8"/>
      <c r="C29" s="8"/>
      <c r="D29" s="8"/>
      <c r="E29" s="7" t="n">
        <v>0</v>
      </c>
      <c r="F29" s="8"/>
      <c r="G29" s="8"/>
      <c r="H29" s="8"/>
      <c r="I29" s="10"/>
      <c r="J29" s="8"/>
      <c r="K29" s="8"/>
      <c r="L29" s="8"/>
      <c r="M29" s="8"/>
      <c r="N29" s="8"/>
      <c r="O29" s="8"/>
    </row>
    <row r="30" customFormat="false" ht="15" hidden="false" customHeight="false" outlineLevel="0" collapsed="false">
      <c r="A30" s="4" t="s">
        <v>613</v>
      </c>
      <c r="B30" s="8"/>
      <c r="C30" s="8"/>
      <c r="D30" s="8"/>
      <c r="E30" s="7" t="n">
        <v>0</v>
      </c>
      <c r="F30" s="8"/>
      <c r="G30" s="8"/>
      <c r="H30" s="8"/>
      <c r="I30" s="10"/>
      <c r="J30" s="8"/>
      <c r="K30" s="8"/>
      <c r="L30" s="8"/>
      <c r="M30" s="8"/>
      <c r="N30" s="8"/>
      <c r="O30" s="8"/>
    </row>
    <row r="31" customFormat="false" ht="15" hidden="false" customHeight="false" outlineLevel="0" collapsed="false">
      <c r="A31" s="4" t="s">
        <v>614</v>
      </c>
      <c r="B31" s="8"/>
      <c r="C31" s="8"/>
      <c r="D31" s="8"/>
      <c r="E31" s="7" t="n">
        <v>0</v>
      </c>
      <c r="F31" s="8"/>
      <c r="G31" s="8"/>
      <c r="H31" s="8"/>
      <c r="I31" s="10"/>
      <c r="J31" s="8"/>
      <c r="K31" s="8"/>
      <c r="L31" s="8"/>
      <c r="M31" s="8"/>
      <c r="N31" s="8"/>
      <c r="O31" s="8"/>
    </row>
    <row r="32" customFormat="false" ht="15" hidden="false" customHeight="false" outlineLevel="0" collapsed="false">
      <c r="A32" s="4" t="s">
        <v>615</v>
      </c>
      <c r="B32" s="8"/>
      <c r="C32" s="8"/>
      <c r="D32" s="8"/>
      <c r="E32" s="7" t="n">
        <v>0</v>
      </c>
      <c r="F32" s="8"/>
      <c r="G32" s="8"/>
      <c r="H32" s="8"/>
      <c r="I32" s="10"/>
      <c r="J32" s="8"/>
      <c r="K32" s="8"/>
      <c r="L32" s="8"/>
      <c r="M32" s="8"/>
      <c r="N32" s="8"/>
      <c r="O32" s="8"/>
    </row>
    <row r="33" customFormat="false" ht="15" hidden="false" customHeight="false" outlineLevel="0" collapsed="false">
      <c r="A33" s="4" t="s">
        <v>616</v>
      </c>
      <c r="B33" s="8"/>
      <c r="C33" s="8"/>
      <c r="D33" s="8"/>
      <c r="E33" s="7" t="n">
        <v>0</v>
      </c>
      <c r="F33" s="8"/>
      <c r="G33" s="8"/>
      <c r="H33" s="8"/>
      <c r="I33" s="10"/>
      <c r="J33" s="8"/>
      <c r="K33" s="8"/>
      <c r="L33" s="8"/>
      <c r="M33" s="8"/>
      <c r="N33" s="8"/>
      <c r="O33" s="8"/>
    </row>
    <row r="34" customFormat="false" ht="15" hidden="false" customHeight="false" outlineLevel="0" collapsed="false">
      <c r="A34" s="4" t="s">
        <v>617</v>
      </c>
      <c r="B34" s="8"/>
      <c r="C34" s="8"/>
      <c r="D34" s="8"/>
      <c r="E34" s="7" t="n">
        <v>0</v>
      </c>
      <c r="F34" s="8"/>
      <c r="G34" s="8"/>
      <c r="H34" s="8"/>
      <c r="I34" s="10"/>
      <c r="J34" s="8"/>
      <c r="K34" s="8"/>
      <c r="L34" s="8"/>
      <c r="M34" s="8"/>
      <c r="N34" s="8"/>
      <c r="O34" s="8"/>
    </row>
    <row r="35" customFormat="false" ht="15" hidden="false" customHeight="false" outlineLevel="0" collapsed="false">
      <c r="A35" s="4" t="s">
        <v>618</v>
      </c>
      <c r="B35" s="8"/>
      <c r="C35" s="8"/>
      <c r="D35" s="8"/>
      <c r="E35" s="7" t="n">
        <v>0</v>
      </c>
      <c r="F35" s="8"/>
      <c r="G35" s="8"/>
      <c r="H35" s="8"/>
      <c r="I35" s="10"/>
      <c r="J35" s="8"/>
      <c r="K35" s="8"/>
      <c r="L35" s="8"/>
      <c r="M35" s="8"/>
      <c r="N35" s="8"/>
      <c r="O35" s="8"/>
    </row>
    <row r="36" customFormat="false" ht="15" hidden="false" customHeight="false" outlineLevel="0" collapsed="false">
      <c r="A36" s="4" t="s">
        <v>619</v>
      </c>
      <c r="B36" s="8"/>
      <c r="C36" s="8"/>
      <c r="D36" s="8"/>
      <c r="E36" s="7" t="n">
        <v>0</v>
      </c>
      <c r="F36" s="8"/>
      <c r="G36" s="8"/>
      <c r="H36" s="8"/>
      <c r="I36" s="10"/>
      <c r="J36" s="8"/>
      <c r="K36" s="8"/>
      <c r="L36" s="8"/>
      <c r="M36" s="8"/>
      <c r="N36" s="8"/>
      <c r="O36" s="8"/>
    </row>
    <row r="37" customFormat="false" ht="15" hidden="false" customHeight="false" outlineLevel="0" collapsed="false">
      <c r="A37" s="4" t="s">
        <v>620</v>
      </c>
      <c r="B37" s="8"/>
      <c r="C37" s="8"/>
      <c r="D37" s="8"/>
      <c r="E37" s="7" t="n">
        <v>0</v>
      </c>
      <c r="F37" s="8"/>
      <c r="G37" s="8"/>
      <c r="H37" s="8"/>
      <c r="I37" s="10"/>
      <c r="J37" s="8"/>
      <c r="K37" s="8"/>
      <c r="L37" s="8"/>
      <c r="M37" s="8"/>
      <c r="N37" s="8"/>
      <c r="O37" s="8"/>
    </row>
    <row r="38" customFormat="false" ht="15" hidden="false" customHeight="false" outlineLevel="0" collapsed="false">
      <c r="A38" s="4" t="s">
        <v>621</v>
      </c>
      <c r="B38" s="8"/>
      <c r="C38" s="8"/>
      <c r="D38" s="8"/>
      <c r="E38" s="7" t="n">
        <v>0</v>
      </c>
      <c r="F38" s="8"/>
      <c r="G38" s="8"/>
      <c r="H38" s="8"/>
      <c r="I38" s="10"/>
      <c r="J38" s="8"/>
      <c r="K38" s="8"/>
      <c r="L38" s="8"/>
      <c r="M38" s="8"/>
      <c r="N38" s="8"/>
      <c r="O38" s="8"/>
    </row>
    <row r="39" customFormat="false" ht="15" hidden="false" customHeight="false" outlineLevel="0" collapsed="false">
      <c r="A39" s="4" t="s">
        <v>622</v>
      </c>
      <c r="B39" s="8"/>
      <c r="C39" s="8"/>
      <c r="D39" s="8"/>
      <c r="E39" s="7" t="n">
        <v>0</v>
      </c>
      <c r="F39" s="8"/>
      <c r="G39" s="8"/>
      <c r="H39" s="8"/>
      <c r="I39" s="10"/>
      <c r="J39" s="8"/>
      <c r="K39" s="8"/>
      <c r="L39" s="8"/>
      <c r="M39" s="8"/>
      <c r="N39" s="8"/>
      <c r="O39" s="8"/>
    </row>
    <row r="40" customFormat="false" ht="15" hidden="false" customHeight="false" outlineLevel="0" collapsed="false">
      <c r="A40" s="4" t="s">
        <v>623</v>
      </c>
      <c r="B40" s="8"/>
      <c r="C40" s="8"/>
      <c r="D40" s="8"/>
      <c r="E40" s="7" t="n">
        <v>0</v>
      </c>
      <c r="F40" s="8"/>
      <c r="G40" s="8"/>
      <c r="H40" s="8"/>
      <c r="I40" s="10"/>
      <c r="J40" s="8"/>
      <c r="K40" s="8"/>
      <c r="L40" s="8"/>
      <c r="M40" s="8"/>
      <c r="N40" s="8"/>
      <c r="O40" s="8"/>
    </row>
    <row r="41" customFormat="false" ht="15" hidden="false" customHeight="false" outlineLevel="0" collapsed="false">
      <c r="A41" s="4" t="s">
        <v>624</v>
      </c>
      <c r="B41" s="8"/>
      <c r="C41" s="8"/>
      <c r="D41" s="8"/>
      <c r="E41" s="7" t="n">
        <v>0</v>
      </c>
      <c r="F41" s="8"/>
      <c r="G41" s="8"/>
      <c r="H41" s="8"/>
      <c r="I41" s="10"/>
      <c r="J41" s="8"/>
      <c r="K41" s="8"/>
      <c r="L41" s="8"/>
      <c r="M41" s="8"/>
      <c r="N41" s="8"/>
      <c r="O41" s="8"/>
    </row>
    <row r="42" customFormat="false" ht="15" hidden="false" customHeight="false" outlineLevel="0" collapsed="false">
      <c r="A42" s="4" t="s">
        <v>625</v>
      </c>
      <c r="B42" s="8"/>
      <c r="C42" s="8"/>
      <c r="D42" s="8"/>
      <c r="E42" s="7" t="n">
        <v>0</v>
      </c>
      <c r="F42" s="8"/>
      <c r="G42" s="8"/>
      <c r="H42" s="8"/>
      <c r="I42" s="10"/>
      <c r="J42" s="8"/>
      <c r="K42" s="8"/>
      <c r="L42" s="8"/>
      <c r="M42" s="8"/>
      <c r="N42" s="8"/>
      <c r="O42" s="8"/>
    </row>
    <row r="43" customFormat="false" ht="15" hidden="false" customHeight="false" outlineLevel="0" collapsed="false">
      <c r="A43" s="4" t="s">
        <v>626</v>
      </c>
      <c r="B43" s="8"/>
      <c r="C43" s="8"/>
      <c r="D43" s="8"/>
      <c r="E43" s="7" t="n">
        <v>0</v>
      </c>
      <c r="F43" s="8"/>
      <c r="G43" s="8"/>
      <c r="H43" s="8"/>
      <c r="I43" s="10"/>
      <c r="J43" s="8"/>
      <c r="K43" s="8"/>
      <c r="L43" s="8"/>
      <c r="M43" s="8"/>
      <c r="N43" s="8"/>
      <c r="O43" s="8"/>
    </row>
    <row r="44" customFormat="false" ht="15" hidden="false" customHeight="false" outlineLevel="0" collapsed="false">
      <c r="A44" s="4" t="s">
        <v>627</v>
      </c>
      <c r="B44" s="8"/>
      <c r="C44" s="8"/>
      <c r="D44" s="8"/>
      <c r="E44" s="7" t="n">
        <v>0</v>
      </c>
      <c r="F44" s="8"/>
      <c r="G44" s="8"/>
      <c r="H44" s="8"/>
      <c r="I44" s="10"/>
      <c r="J44" s="8"/>
      <c r="K44" s="8"/>
      <c r="L44" s="8"/>
      <c r="M44" s="8"/>
      <c r="N44" s="8"/>
      <c r="O44" s="8"/>
    </row>
    <row r="45" customFormat="false" ht="15" hidden="false" customHeight="false" outlineLevel="0" collapsed="false">
      <c r="A45" s="4" t="s">
        <v>628</v>
      </c>
      <c r="B45" s="8"/>
      <c r="C45" s="8"/>
      <c r="D45" s="8"/>
      <c r="E45" s="7" t="n">
        <v>0</v>
      </c>
      <c r="F45" s="8"/>
      <c r="G45" s="8"/>
      <c r="H45" s="8"/>
      <c r="I45" s="10"/>
      <c r="J45" s="8"/>
      <c r="K45" s="8"/>
      <c r="L45" s="8"/>
      <c r="M45" s="8"/>
      <c r="N45" s="8"/>
      <c r="O45" s="8"/>
    </row>
    <row r="46" customFormat="false" ht="15" hidden="false" customHeight="false" outlineLevel="0" collapsed="false">
      <c r="A46" s="4" t="s">
        <v>629</v>
      </c>
      <c r="B46" s="8"/>
      <c r="C46" s="8"/>
      <c r="D46" s="8"/>
      <c r="E46" s="7" t="n">
        <v>0</v>
      </c>
      <c r="F46" s="8"/>
      <c r="G46" s="8"/>
      <c r="H46" s="8"/>
      <c r="I46" s="10"/>
      <c r="J46" s="8"/>
      <c r="K46" s="8"/>
      <c r="L46" s="8"/>
      <c r="M46" s="8"/>
      <c r="N46" s="8"/>
      <c r="O46" s="8"/>
    </row>
    <row r="47" customFormat="false" ht="15" hidden="false" customHeight="false" outlineLevel="0" collapsed="false">
      <c r="A47" s="4" t="s">
        <v>630</v>
      </c>
      <c r="B47" s="8"/>
      <c r="C47" s="8"/>
      <c r="D47" s="8"/>
      <c r="E47" s="7" t="n">
        <v>0</v>
      </c>
      <c r="F47" s="8"/>
      <c r="G47" s="8"/>
      <c r="H47" s="8"/>
      <c r="I47" s="10"/>
      <c r="J47" s="8"/>
      <c r="K47" s="8"/>
      <c r="L47" s="8"/>
      <c r="M47" s="8"/>
      <c r="N47" s="8"/>
      <c r="O47" s="8"/>
    </row>
    <row r="48" customFormat="false" ht="15" hidden="false" customHeight="false" outlineLevel="0" collapsed="false">
      <c r="A48" s="4" t="s">
        <v>631</v>
      </c>
      <c r="B48" s="8"/>
      <c r="C48" s="8"/>
      <c r="D48" s="8"/>
      <c r="E48" s="7" t="n">
        <v>0</v>
      </c>
      <c r="F48" s="8"/>
      <c r="G48" s="8"/>
      <c r="H48" s="8"/>
      <c r="I48" s="10"/>
      <c r="J48" s="8"/>
      <c r="K48" s="8"/>
      <c r="L48" s="8"/>
      <c r="M48" s="8"/>
      <c r="N48" s="8"/>
      <c r="O48" s="8"/>
    </row>
    <row r="49" customFormat="false" ht="15" hidden="false" customHeight="false" outlineLevel="0" collapsed="false">
      <c r="A49" s="4" t="s">
        <v>632</v>
      </c>
      <c r="B49" s="8"/>
      <c r="C49" s="8"/>
      <c r="D49" s="8"/>
      <c r="E49" s="7" t="n">
        <v>0</v>
      </c>
      <c r="F49" s="8"/>
      <c r="G49" s="8"/>
      <c r="H49" s="8"/>
      <c r="I49" s="10"/>
      <c r="J49" s="8"/>
      <c r="K49" s="8"/>
      <c r="L49" s="8"/>
      <c r="M49" s="8"/>
      <c r="N49" s="8"/>
      <c r="O49" s="8"/>
    </row>
    <row r="50" customFormat="false" ht="15" hidden="false" customHeight="false" outlineLevel="0" collapsed="false">
      <c r="A50" s="4" t="s">
        <v>633</v>
      </c>
      <c r="B50" s="8"/>
      <c r="C50" s="8"/>
      <c r="D50" s="8"/>
      <c r="E50" s="7" t="n">
        <v>0</v>
      </c>
      <c r="F50" s="8"/>
      <c r="G50" s="8"/>
      <c r="H50" s="8"/>
      <c r="I50" s="10"/>
      <c r="J50" s="8"/>
      <c r="K50" s="8"/>
      <c r="L50" s="8"/>
      <c r="M50" s="8"/>
      <c r="N50" s="8"/>
      <c r="O50" s="8"/>
    </row>
    <row r="51" customFormat="false" ht="15" hidden="false" customHeight="false" outlineLevel="0" collapsed="false">
      <c r="A51" s="4" t="s">
        <v>634</v>
      </c>
      <c r="B51" s="8"/>
      <c r="C51" s="8"/>
      <c r="D51" s="8"/>
      <c r="E51" s="7" t="n">
        <v>0</v>
      </c>
      <c r="F51" s="8"/>
      <c r="G51" s="8"/>
      <c r="H51" s="8"/>
      <c r="I51" s="10"/>
      <c r="J51" s="8"/>
      <c r="K51" s="8"/>
      <c r="L51" s="8"/>
      <c r="M51" s="8"/>
      <c r="N51" s="8"/>
      <c r="O51" s="8"/>
    </row>
    <row r="52" customFormat="false" ht="15" hidden="false" customHeight="false" outlineLevel="0" collapsed="false">
      <c r="A52" s="4" t="s">
        <v>635</v>
      </c>
      <c r="B52" s="8"/>
      <c r="C52" s="8"/>
      <c r="D52" s="8"/>
      <c r="E52" s="7" t="n">
        <v>0</v>
      </c>
      <c r="F52" s="8"/>
      <c r="G52" s="8"/>
      <c r="H52" s="8"/>
      <c r="I52" s="10"/>
      <c r="J52" s="8"/>
      <c r="K52" s="8"/>
      <c r="L52" s="8"/>
      <c r="M52" s="8"/>
      <c r="N52" s="8"/>
      <c r="O52" s="8"/>
    </row>
    <row r="53" customFormat="false" ht="15" hidden="false" customHeight="false" outlineLevel="0" collapsed="false">
      <c r="A53" s="4" t="s">
        <v>636</v>
      </c>
      <c r="B53" s="8"/>
      <c r="C53" s="8"/>
      <c r="D53" s="8"/>
      <c r="E53" s="7" t="n">
        <v>0</v>
      </c>
      <c r="F53" s="8"/>
      <c r="G53" s="8"/>
      <c r="H53" s="8"/>
      <c r="I53" s="10"/>
      <c r="J53" s="8"/>
      <c r="K53" s="8"/>
      <c r="L53" s="8"/>
      <c r="M53" s="8"/>
      <c r="N53" s="8"/>
      <c r="O53" s="8"/>
    </row>
    <row r="54" customFormat="false" ht="15" hidden="false" customHeight="false" outlineLevel="0" collapsed="false">
      <c r="A54" s="4" t="s">
        <v>637</v>
      </c>
      <c r="B54" s="8"/>
      <c r="C54" s="8"/>
      <c r="D54" s="8"/>
      <c r="E54" s="7" t="n">
        <v>0</v>
      </c>
      <c r="F54" s="8"/>
      <c r="G54" s="8"/>
      <c r="H54" s="8"/>
      <c r="I54" s="10"/>
      <c r="J54" s="8"/>
      <c r="K54" s="8"/>
      <c r="L54" s="8"/>
      <c r="M54" s="8"/>
      <c r="N54" s="8"/>
      <c r="O54" s="8"/>
    </row>
    <row r="55" customFormat="false" ht="15" hidden="false" customHeight="false" outlineLevel="0" collapsed="false">
      <c r="A55" s="4" t="s">
        <v>638</v>
      </c>
      <c r="B55" s="8"/>
      <c r="C55" s="8"/>
      <c r="D55" s="8"/>
      <c r="E55" s="7" t="n">
        <v>0</v>
      </c>
      <c r="F55" s="8"/>
      <c r="G55" s="8"/>
      <c r="H55" s="8"/>
      <c r="I55" s="10"/>
      <c r="J55" s="8"/>
      <c r="K55" s="8"/>
      <c r="L55" s="8"/>
      <c r="M55" s="8"/>
      <c r="N55" s="8"/>
      <c r="O55" s="8"/>
    </row>
    <row r="56" customFormat="false" ht="15" hidden="false" customHeight="false" outlineLevel="0" collapsed="false">
      <c r="A56" s="4" t="s">
        <v>639</v>
      </c>
      <c r="B56" s="8"/>
      <c r="C56" s="8"/>
      <c r="D56" s="8"/>
      <c r="E56" s="7" t="n">
        <v>0</v>
      </c>
      <c r="F56" s="8"/>
      <c r="G56" s="8"/>
      <c r="H56" s="8"/>
      <c r="I56" s="10"/>
      <c r="J56" s="8"/>
      <c r="K56" s="8"/>
      <c r="L56" s="8"/>
      <c r="M56" s="8"/>
      <c r="N56" s="8"/>
      <c r="O56" s="8"/>
    </row>
    <row r="57" customFormat="false" ht="15" hidden="false" customHeight="false" outlineLevel="0" collapsed="false">
      <c r="A57" s="4" t="s">
        <v>640</v>
      </c>
      <c r="B57" s="8"/>
      <c r="C57" s="8"/>
      <c r="D57" s="8"/>
      <c r="E57" s="7" t="n">
        <v>0</v>
      </c>
      <c r="F57" s="8"/>
      <c r="G57" s="8"/>
      <c r="H57" s="8"/>
      <c r="I57" s="10"/>
      <c r="J57" s="8"/>
      <c r="K57" s="8"/>
      <c r="L57" s="8"/>
      <c r="M57" s="8"/>
      <c r="N57" s="8"/>
      <c r="O57" s="8"/>
    </row>
    <row r="58" customFormat="false" ht="15" hidden="false" customHeight="false" outlineLevel="0" collapsed="false">
      <c r="A58" s="4" t="s">
        <v>641</v>
      </c>
      <c r="B58" s="8"/>
      <c r="C58" s="8"/>
      <c r="D58" s="8"/>
      <c r="E58" s="7" t="n">
        <v>0</v>
      </c>
      <c r="F58" s="8"/>
      <c r="G58" s="8"/>
      <c r="H58" s="8"/>
      <c r="I58" s="10"/>
      <c r="J58" s="8"/>
      <c r="K58" s="8"/>
      <c r="L58" s="8"/>
      <c r="M58" s="8"/>
      <c r="N58" s="8"/>
      <c r="O58" s="8"/>
    </row>
    <row r="59" customFormat="false" ht="15" hidden="false" customHeight="false" outlineLevel="0" collapsed="false">
      <c r="A59" s="4" t="s">
        <v>642</v>
      </c>
      <c r="B59" s="8"/>
      <c r="C59" s="8"/>
      <c r="D59" s="8"/>
      <c r="E59" s="7" t="n">
        <v>0</v>
      </c>
      <c r="F59" s="8"/>
      <c r="G59" s="8"/>
      <c r="H59" s="8"/>
      <c r="I59" s="10"/>
      <c r="J59" s="8"/>
      <c r="K59" s="8"/>
      <c r="L59" s="8"/>
      <c r="M59" s="8"/>
      <c r="N59" s="8"/>
      <c r="O59" s="8"/>
    </row>
    <row r="60" customFormat="false" ht="15" hidden="false" customHeight="false" outlineLevel="0" collapsed="false">
      <c r="A60" s="4" t="s">
        <v>643</v>
      </c>
      <c r="B60" s="8"/>
      <c r="C60" s="8"/>
      <c r="D60" s="8"/>
      <c r="E60" s="7" t="n">
        <v>0</v>
      </c>
      <c r="F60" s="8"/>
      <c r="G60" s="8"/>
      <c r="H60" s="8"/>
      <c r="I60" s="10"/>
      <c r="J60" s="8"/>
      <c r="K60" s="8"/>
      <c r="L60" s="8"/>
      <c r="M60" s="8"/>
      <c r="N60" s="8"/>
      <c r="O60" s="8"/>
    </row>
    <row r="61" customFormat="false" ht="15" hidden="false" customHeight="false" outlineLevel="0" collapsed="false">
      <c r="A61" s="4" t="s">
        <v>644</v>
      </c>
      <c r="B61" s="8"/>
      <c r="C61" s="8"/>
      <c r="D61" s="8"/>
      <c r="E61" s="7" t="n">
        <v>0</v>
      </c>
      <c r="F61" s="8"/>
      <c r="G61" s="8"/>
      <c r="H61" s="8"/>
      <c r="I61" s="10"/>
      <c r="J61" s="8"/>
      <c r="K61" s="8"/>
      <c r="L61" s="8"/>
      <c r="M61" s="8"/>
      <c r="N61" s="8"/>
      <c r="O61" s="8"/>
    </row>
    <row r="62" customFormat="false" ht="15" hidden="false" customHeight="false" outlineLevel="0" collapsed="false">
      <c r="A62" s="4" t="s">
        <v>645</v>
      </c>
      <c r="B62" s="8"/>
      <c r="C62" s="8"/>
      <c r="D62" s="8"/>
      <c r="E62" s="7" t="n">
        <v>0</v>
      </c>
      <c r="F62" s="8"/>
      <c r="G62" s="8"/>
      <c r="H62" s="8"/>
      <c r="I62" s="10"/>
      <c r="J62" s="8"/>
      <c r="K62" s="8"/>
      <c r="L62" s="8"/>
      <c r="M62" s="8"/>
      <c r="N62" s="8"/>
      <c r="O62" s="8"/>
    </row>
    <row r="63" customFormat="false" ht="15" hidden="false" customHeight="false" outlineLevel="0" collapsed="false">
      <c r="A63" s="4" t="s">
        <v>646</v>
      </c>
      <c r="B63" s="8"/>
      <c r="C63" s="8"/>
      <c r="D63" s="8"/>
      <c r="E63" s="7" t="n">
        <v>0</v>
      </c>
      <c r="F63" s="8"/>
      <c r="G63" s="8"/>
      <c r="H63" s="8"/>
      <c r="I63" s="10"/>
      <c r="J63" s="8"/>
      <c r="K63" s="8"/>
      <c r="L63" s="8"/>
      <c r="M63" s="8"/>
      <c r="N63" s="8"/>
      <c r="O63" s="8"/>
    </row>
    <row r="64" customFormat="false" ht="15" hidden="false" customHeight="false" outlineLevel="0" collapsed="false">
      <c r="A64" s="4" t="s">
        <v>647</v>
      </c>
      <c r="B64" s="8"/>
      <c r="C64" s="8"/>
      <c r="D64" s="8"/>
      <c r="E64" s="7" t="n">
        <v>0</v>
      </c>
      <c r="F64" s="8"/>
      <c r="G64" s="8"/>
      <c r="H64" s="8"/>
      <c r="I64" s="10"/>
      <c r="J64" s="8"/>
      <c r="K64" s="8"/>
      <c r="L64" s="8"/>
      <c r="M64" s="8"/>
      <c r="N64" s="8"/>
      <c r="O64" s="8"/>
    </row>
    <row r="65" customFormat="false" ht="15" hidden="false" customHeight="false" outlineLevel="0" collapsed="false">
      <c r="A65" s="4" t="s">
        <v>648</v>
      </c>
      <c r="B65" s="8"/>
      <c r="C65" s="8"/>
      <c r="D65" s="8"/>
      <c r="E65" s="7" t="n">
        <v>0</v>
      </c>
      <c r="F65" s="8"/>
      <c r="G65" s="8"/>
      <c r="H65" s="8"/>
      <c r="I65" s="10"/>
      <c r="J65" s="8"/>
      <c r="K65" s="8"/>
      <c r="L65" s="8"/>
      <c r="M65" s="8"/>
      <c r="N65" s="8"/>
      <c r="O65" s="8"/>
    </row>
  </sheetData>
  <mergeCells count="2">
    <mergeCell ref="A1:O1"/>
    <mergeCell ref="A2:O2"/>
  </mergeCells>
  <dataValidations count="1">
    <dataValidation allowBlank="false" errorStyle="stop" operator="between" showDropDown="false" showErrorMessage="false" showInputMessage="false" sqref="N6:N65" type="list">
      <formula1>"Open,In Progress,Resolved,Closed,Accepted Risk"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2" min="1" style="0" width="28"/>
    <col collapsed="false" customWidth="true" hidden="false" outlineLevel="0" max="3" min="3" style="0" width="34"/>
    <col collapsed="false" customWidth="true" hidden="false" outlineLevel="0" max="4" min="4" style="0" width="24"/>
    <col collapsed="false" customWidth="true" hidden="false" outlineLevel="0" max="5" min="5" style="0" width="22"/>
  </cols>
  <sheetData>
    <row r="1" customFormat="false" ht="30" hidden="false" customHeight="true" outlineLevel="0" collapsed="false">
      <c r="A1" s="1" t="s">
        <v>649</v>
      </c>
      <c r="B1" s="1"/>
      <c r="C1" s="1"/>
      <c r="D1" s="1"/>
      <c r="E1" s="1"/>
    </row>
    <row r="2" customFormat="false" ht="28" hidden="false" customHeight="true" outlineLevel="0" collapsed="false">
      <c r="A2" s="2" t="s">
        <v>650</v>
      </c>
      <c r="B2" s="2"/>
      <c r="C2" s="2"/>
      <c r="D2" s="2"/>
      <c r="E2" s="2"/>
    </row>
    <row r="5" customFormat="false" ht="34" hidden="false" customHeight="true" outlineLevel="0" collapsed="false">
      <c r="A5" s="3" t="s">
        <v>494</v>
      </c>
      <c r="B5" s="3" t="s">
        <v>651</v>
      </c>
      <c r="C5" s="3" t="s">
        <v>461</v>
      </c>
      <c r="D5" s="3" t="s">
        <v>652</v>
      </c>
      <c r="E5" s="3" t="s">
        <v>653</v>
      </c>
    </row>
    <row r="6" customFormat="false" ht="15" hidden="false" customHeight="false" outlineLevel="0" collapsed="false">
      <c r="A6" s="4" t="s">
        <v>654</v>
      </c>
      <c r="B6" s="4" t="s">
        <v>655</v>
      </c>
      <c r="C6" s="4" t="s">
        <v>656</v>
      </c>
      <c r="D6" s="4" t="s">
        <v>657</v>
      </c>
      <c r="E6" s="4" t="s">
        <v>581</v>
      </c>
    </row>
    <row r="7" customFormat="false" ht="15" hidden="false" customHeight="false" outlineLevel="0" collapsed="false">
      <c r="A7" s="4" t="s">
        <v>35</v>
      </c>
      <c r="B7" s="4" t="s">
        <v>658</v>
      </c>
      <c r="C7" s="4" t="s">
        <v>659</v>
      </c>
      <c r="D7" s="4" t="s">
        <v>567</v>
      </c>
      <c r="E7" s="4" t="s">
        <v>660</v>
      </c>
    </row>
    <row r="8" customFormat="false" ht="15" hidden="false" customHeight="false" outlineLevel="0" collapsed="false">
      <c r="A8" s="4" t="s">
        <v>661</v>
      </c>
      <c r="B8" s="4" t="s">
        <v>662</v>
      </c>
      <c r="C8" s="4" t="s">
        <v>663</v>
      </c>
      <c r="D8" s="4" t="s">
        <v>664</v>
      </c>
      <c r="E8" s="4" t="s">
        <v>665</v>
      </c>
    </row>
    <row r="9" customFormat="false" ht="15" hidden="false" customHeight="false" outlineLevel="0" collapsed="false">
      <c r="A9" s="4" t="s">
        <v>666</v>
      </c>
      <c r="B9" s="4" t="s">
        <v>667</v>
      </c>
      <c r="C9" s="4" t="s">
        <v>668</v>
      </c>
      <c r="D9" s="4" t="s">
        <v>669</v>
      </c>
      <c r="E9" s="4" t="s">
        <v>670</v>
      </c>
    </row>
    <row r="10" customFormat="false" ht="15" hidden="false" customHeight="false" outlineLevel="0" collapsed="false">
      <c r="A10" s="4" t="s">
        <v>671</v>
      </c>
      <c r="B10" s="4" t="s">
        <v>672</v>
      </c>
      <c r="C10" s="4" t="s">
        <v>673</v>
      </c>
      <c r="D10" s="4" t="s">
        <v>674</v>
      </c>
      <c r="E10" s="4" t="s">
        <v>675</v>
      </c>
    </row>
    <row r="11" customFormat="false" ht="15" hidden="false" customHeight="false" outlineLevel="0" collapsed="false">
      <c r="A11" s="4" t="s">
        <v>676</v>
      </c>
      <c r="B11" s="4" t="s">
        <v>677</v>
      </c>
      <c r="C11" s="4" t="s">
        <v>678</v>
      </c>
      <c r="D11" s="4" t="s">
        <v>679</v>
      </c>
      <c r="E11" s="4" t="s">
        <v>680</v>
      </c>
    </row>
    <row r="12" customFormat="false" ht="15" hidden="false" customHeight="false" outlineLevel="0" collapsed="false">
      <c r="A12" s="4" t="s">
        <v>681</v>
      </c>
      <c r="B12" s="4" t="s">
        <v>457</v>
      </c>
      <c r="C12" s="4" t="s">
        <v>682</v>
      </c>
      <c r="D12" s="4" t="s">
        <v>655</v>
      </c>
      <c r="E12" s="4" t="s">
        <v>683</v>
      </c>
    </row>
    <row r="13" customFormat="false" ht="15" hidden="false" customHeight="false" outlineLevel="0" collapsed="false">
      <c r="A13" s="4" t="s">
        <v>684</v>
      </c>
      <c r="B13" s="4" t="s">
        <v>685</v>
      </c>
      <c r="C13" s="4" t="s">
        <v>686</v>
      </c>
      <c r="D13" s="4" t="s">
        <v>687</v>
      </c>
      <c r="E13" s="4" t="s">
        <v>688</v>
      </c>
    </row>
    <row r="14" customFormat="false" ht="15" hidden="false" customHeight="false" outlineLevel="0" collapsed="false">
      <c r="A14" s="4" t="s">
        <v>689</v>
      </c>
      <c r="B14" s="4" t="s">
        <v>690</v>
      </c>
      <c r="C14" s="4" t="s">
        <v>691</v>
      </c>
      <c r="D14" s="4" t="s">
        <v>692</v>
      </c>
      <c r="E14" s="4" t="s">
        <v>660</v>
      </c>
    </row>
    <row r="15" customFormat="false" ht="15" hidden="false" customHeight="false" outlineLevel="0" collapsed="false">
      <c r="A15" s="4" t="s">
        <v>693</v>
      </c>
      <c r="B15" s="4" t="s">
        <v>694</v>
      </c>
      <c r="C15" s="4" t="s">
        <v>695</v>
      </c>
      <c r="D15" s="4" t="s">
        <v>177</v>
      </c>
      <c r="E15" s="4" t="s">
        <v>696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3" min="3" style="0" width="48"/>
    <col collapsed="false" customWidth="true" hidden="false" outlineLevel="0" max="4" min="4" style="0" width="26"/>
    <col collapsed="false" customWidth="true" hidden="false" outlineLevel="0" max="5" min="5" style="0" width="48"/>
    <col collapsed="false" customWidth="true" hidden="false" outlineLevel="0" max="6" min="6" style="0" width="38"/>
    <col collapsed="false" customWidth="true" hidden="false" outlineLevel="0" max="7" min="7" style="0" width="52"/>
  </cols>
  <sheetData>
    <row r="1" customFormat="false" ht="30" hidden="false" customHeight="true" outlineLevel="0" collapsed="false">
      <c r="A1" s="1" t="s">
        <v>697</v>
      </c>
      <c r="B1" s="1"/>
      <c r="C1" s="1"/>
      <c r="D1" s="1"/>
      <c r="E1" s="1"/>
      <c r="F1" s="1"/>
      <c r="G1" s="1"/>
    </row>
    <row r="2" customFormat="false" ht="28" hidden="false" customHeight="true" outlineLevel="0" collapsed="false">
      <c r="A2" s="2" t="s">
        <v>698</v>
      </c>
      <c r="B2" s="2"/>
      <c r="C2" s="2"/>
      <c r="D2" s="2"/>
      <c r="E2" s="2"/>
      <c r="F2" s="2"/>
      <c r="G2" s="2"/>
    </row>
    <row r="5" customFormat="false" ht="34" hidden="false" customHeight="true" outlineLevel="0" collapsed="false">
      <c r="A5" s="3" t="s">
        <v>699</v>
      </c>
      <c r="B5" s="3" t="s">
        <v>700</v>
      </c>
      <c r="C5" s="3" t="s">
        <v>701</v>
      </c>
      <c r="D5" s="3" t="s">
        <v>702</v>
      </c>
      <c r="E5" s="3" t="s">
        <v>703</v>
      </c>
      <c r="F5" s="3" t="s">
        <v>704</v>
      </c>
      <c r="G5" s="3" t="s">
        <v>705</v>
      </c>
    </row>
    <row r="6" customFormat="false" ht="15" hidden="false" customHeight="false" outlineLevel="0" collapsed="false">
      <c r="A6" s="4" t="s">
        <v>706</v>
      </c>
      <c r="B6" s="4" t="s">
        <v>707</v>
      </c>
      <c r="C6" s="4" t="s">
        <v>708</v>
      </c>
      <c r="D6" s="4" t="s">
        <v>709</v>
      </c>
      <c r="E6" s="4" t="s">
        <v>710</v>
      </c>
      <c r="F6" s="4" t="s">
        <v>711</v>
      </c>
      <c r="G6" s="8"/>
    </row>
    <row r="7" customFormat="false" ht="15" hidden="false" customHeight="false" outlineLevel="0" collapsed="false">
      <c r="A7" s="4" t="s">
        <v>712</v>
      </c>
      <c r="B7" s="4" t="s">
        <v>713</v>
      </c>
      <c r="C7" s="4" t="s">
        <v>714</v>
      </c>
      <c r="D7" s="4" t="s">
        <v>715</v>
      </c>
      <c r="E7" s="4" t="s">
        <v>716</v>
      </c>
      <c r="F7" s="4" t="s">
        <v>717</v>
      </c>
      <c r="G7" s="8"/>
    </row>
    <row r="8" customFormat="false" ht="15" hidden="false" customHeight="false" outlineLevel="0" collapsed="false">
      <c r="A8" s="4" t="s">
        <v>718</v>
      </c>
      <c r="B8" s="4" t="s">
        <v>719</v>
      </c>
      <c r="C8" s="4" t="s">
        <v>720</v>
      </c>
      <c r="D8" s="4" t="s">
        <v>721</v>
      </c>
      <c r="E8" s="4" t="s">
        <v>722</v>
      </c>
      <c r="F8" s="4" t="s">
        <v>723</v>
      </c>
      <c r="G8" s="8"/>
    </row>
    <row r="9" customFormat="false" ht="15" hidden="false" customHeight="false" outlineLevel="0" collapsed="false">
      <c r="A9" s="4" t="s">
        <v>724</v>
      </c>
      <c r="B9" s="4" t="s">
        <v>725</v>
      </c>
      <c r="C9" s="4" t="s">
        <v>726</v>
      </c>
      <c r="D9" s="4" t="s">
        <v>680</v>
      </c>
      <c r="E9" s="4" t="s">
        <v>727</v>
      </c>
      <c r="F9" s="4" t="s">
        <v>728</v>
      </c>
      <c r="G9" s="8"/>
    </row>
    <row r="10" customFormat="false" ht="15" hidden="false" customHeight="false" outlineLevel="0" collapsed="false">
      <c r="A10" s="4" t="s">
        <v>729</v>
      </c>
      <c r="B10" s="4" t="s">
        <v>730</v>
      </c>
      <c r="C10" s="4" t="s">
        <v>731</v>
      </c>
      <c r="D10" s="4" t="s">
        <v>732</v>
      </c>
      <c r="E10" s="4" t="s">
        <v>733</v>
      </c>
      <c r="F10" s="4" t="s">
        <v>734</v>
      </c>
      <c r="G10" s="8"/>
    </row>
    <row r="11" customFormat="false" ht="15" hidden="false" customHeight="false" outlineLevel="0" collapsed="false">
      <c r="A11" s="4" t="s">
        <v>735</v>
      </c>
      <c r="B11" s="4" t="s">
        <v>736</v>
      </c>
      <c r="C11" s="4" t="s">
        <v>737</v>
      </c>
      <c r="D11" s="4" t="s">
        <v>738</v>
      </c>
      <c r="E11" s="4" t="s">
        <v>739</v>
      </c>
      <c r="F11" s="4" t="s">
        <v>740</v>
      </c>
      <c r="G11" s="8"/>
    </row>
    <row r="12" customFormat="false" ht="15" hidden="false" customHeight="false" outlineLevel="0" collapsed="false">
      <c r="A12" s="4" t="s">
        <v>741</v>
      </c>
      <c r="B12" s="4" t="s">
        <v>742</v>
      </c>
      <c r="C12" s="4" t="s">
        <v>743</v>
      </c>
      <c r="D12" s="4" t="s">
        <v>744</v>
      </c>
      <c r="E12" s="4" t="s">
        <v>745</v>
      </c>
      <c r="F12" s="4" t="s">
        <v>746</v>
      </c>
      <c r="G12" s="8"/>
    </row>
    <row r="13" customFormat="false" ht="15" hidden="false" customHeight="false" outlineLevel="0" collapsed="false">
      <c r="A13" s="4" t="s">
        <v>747</v>
      </c>
      <c r="B13" s="4" t="s">
        <v>748</v>
      </c>
      <c r="C13" s="4" t="s">
        <v>749</v>
      </c>
      <c r="D13" s="4" t="s">
        <v>750</v>
      </c>
      <c r="E13" s="4" t="s">
        <v>751</v>
      </c>
      <c r="F13" s="4" t="s">
        <v>752</v>
      </c>
      <c r="G13" s="8"/>
    </row>
    <row r="14" customFormat="false" ht="15" hidden="false" customHeight="false" outlineLevel="0" collapsed="false">
      <c r="A14" s="4" t="s">
        <v>753</v>
      </c>
      <c r="B14" s="4" t="s">
        <v>754</v>
      </c>
      <c r="C14" s="4" t="s">
        <v>755</v>
      </c>
      <c r="D14" s="4" t="s">
        <v>756</v>
      </c>
      <c r="E14" s="4" t="s">
        <v>757</v>
      </c>
      <c r="F14" s="4" t="s">
        <v>758</v>
      </c>
      <c r="G14" s="8"/>
    </row>
    <row r="15" customFormat="false" ht="15" hidden="false" customHeight="false" outlineLevel="0" collapsed="false">
      <c r="A15" s="4" t="s">
        <v>759</v>
      </c>
      <c r="B15" s="4" t="s">
        <v>760</v>
      </c>
      <c r="C15" s="4" t="s">
        <v>761</v>
      </c>
      <c r="D15" s="4" t="s">
        <v>762</v>
      </c>
      <c r="E15" s="4" t="s">
        <v>763</v>
      </c>
      <c r="F15" s="4" t="s">
        <v>764</v>
      </c>
      <c r="G15" s="8"/>
    </row>
    <row r="16" customFormat="false" ht="15" hidden="false" customHeight="false" outlineLevel="0" collapsed="false">
      <c r="A16" s="4" t="s">
        <v>765</v>
      </c>
      <c r="B16" s="4" t="s">
        <v>766</v>
      </c>
      <c r="C16" s="4" t="s">
        <v>767</v>
      </c>
      <c r="D16" s="4" t="s">
        <v>768</v>
      </c>
      <c r="E16" s="4" t="s">
        <v>769</v>
      </c>
      <c r="F16" s="4" t="s">
        <v>770</v>
      </c>
      <c r="G16" s="8"/>
    </row>
    <row r="17" customFormat="false" ht="15" hidden="false" customHeight="false" outlineLevel="0" collapsed="false">
      <c r="A17" s="4" t="s">
        <v>771</v>
      </c>
      <c r="B17" s="4" t="s">
        <v>772</v>
      </c>
      <c r="C17" s="4" t="s">
        <v>773</v>
      </c>
      <c r="D17" s="4" t="s">
        <v>774</v>
      </c>
      <c r="E17" s="4" t="s">
        <v>775</v>
      </c>
      <c r="F17" s="4" t="s">
        <v>776</v>
      </c>
      <c r="G17" s="8"/>
    </row>
    <row r="18" customFormat="false" ht="15" hidden="false" customHeight="false" outlineLevel="0" collapsed="false">
      <c r="A18" s="4" t="s">
        <v>777</v>
      </c>
      <c r="B18" s="4" t="s">
        <v>778</v>
      </c>
      <c r="C18" s="4" t="s">
        <v>779</v>
      </c>
      <c r="D18" s="4" t="s">
        <v>762</v>
      </c>
      <c r="E18" s="4" t="s">
        <v>780</v>
      </c>
      <c r="F18" s="4" t="s">
        <v>781</v>
      </c>
      <c r="G18" s="8"/>
    </row>
    <row r="19" customFormat="false" ht="15" hidden="false" customHeight="false" outlineLevel="0" collapsed="false">
      <c r="A19" s="4" t="s">
        <v>782</v>
      </c>
      <c r="B19" s="4" t="s">
        <v>783</v>
      </c>
      <c r="C19" s="4" t="s">
        <v>784</v>
      </c>
      <c r="D19" s="4" t="s">
        <v>785</v>
      </c>
      <c r="E19" s="4" t="s">
        <v>786</v>
      </c>
      <c r="F19" s="4" t="s">
        <v>787</v>
      </c>
      <c r="G19" s="8"/>
    </row>
    <row r="20" customFormat="false" ht="15" hidden="false" customHeight="false" outlineLevel="0" collapsed="false">
      <c r="A20" s="4" t="s">
        <v>788</v>
      </c>
      <c r="B20" s="4" t="s">
        <v>789</v>
      </c>
      <c r="C20" s="4" t="s">
        <v>790</v>
      </c>
      <c r="D20" s="4" t="s">
        <v>791</v>
      </c>
      <c r="E20" s="4" t="s">
        <v>792</v>
      </c>
      <c r="F20" s="4" t="s">
        <v>793</v>
      </c>
      <c r="G20" s="8"/>
    </row>
  </sheetData>
  <mergeCells count="2">
    <mergeCell ref="A1:G1"/>
    <mergeCell ref="A2:G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0"/>
    <col collapsed="false" customWidth="true" hidden="false" outlineLevel="0" max="3" min="3" style="0" width="50"/>
    <col collapsed="false" customWidth="true" hidden="false" outlineLevel="0" max="4" min="4" style="0" width="58"/>
  </cols>
  <sheetData>
    <row r="1" customFormat="false" ht="30" hidden="false" customHeight="true" outlineLevel="0" collapsed="false">
      <c r="A1" s="1" t="s">
        <v>794</v>
      </c>
      <c r="B1" s="1"/>
      <c r="C1" s="1"/>
      <c r="D1" s="1"/>
    </row>
    <row r="2" customFormat="false" ht="28" hidden="false" customHeight="true" outlineLevel="0" collapsed="false">
      <c r="A2" s="2" t="s">
        <v>795</v>
      </c>
      <c r="B2" s="2"/>
      <c r="C2" s="2"/>
      <c r="D2" s="2"/>
    </row>
    <row r="5" customFormat="false" ht="34" hidden="false" customHeight="true" outlineLevel="0" collapsed="false">
      <c r="A5" s="3" t="s">
        <v>796</v>
      </c>
      <c r="B5" s="3" t="s">
        <v>797</v>
      </c>
      <c r="C5" s="3" t="s">
        <v>798</v>
      </c>
      <c r="D5" s="3" t="s">
        <v>799</v>
      </c>
    </row>
    <row r="6" customFormat="false" ht="15" hidden="false" customHeight="false" outlineLevel="0" collapsed="false">
      <c r="A6" s="4" t="s">
        <v>800</v>
      </c>
      <c r="B6" s="4" t="s">
        <v>801</v>
      </c>
      <c r="C6" s="4" t="s">
        <v>802</v>
      </c>
      <c r="D6" s="4" t="s">
        <v>803</v>
      </c>
    </row>
    <row r="7" customFormat="false" ht="15" hidden="false" customHeight="false" outlineLevel="0" collapsed="false">
      <c r="A7" s="4" t="s">
        <v>804</v>
      </c>
      <c r="B7" s="4" t="s">
        <v>805</v>
      </c>
      <c r="C7" s="4" t="s">
        <v>806</v>
      </c>
      <c r="D7" s="4" t="s">
        <v>807</v>
      </c>
    </row>
    <row r="8" customFormat="false" ht="15" hidden="false" customHeight="false" outlineLevel="0" collapsed="false">
      <c r="A8" s="4" t="s">
        <v>808</v>
      </c>
      <c r="B8" s="4" t="s">
        <v>809</v>
      </c>
      <c r="C8" s="4" t="s">
        <v>810</v>
      </c>
      <c r="D8" s="4" t="s">
        <v>811</v>
      </c>
    </row>
    <row r="9" customFormat="false" ht="15" hidden="false" customHeight="false" outlineLevel="0" collapsed="false">
      <c r="A9" s="4" t="s">
        <v>812</v>
      </c>
      <c r="B9" s="4" t="s">
        <v>813</v>
      </c>
      <c r="C9" s="4" t="s">
        <v>814</v>
      </c>
      <c r="D9" s="4" t="s">
        <v>815</v>
      </c>
    </row>
    <row r="10" customFormat="false" ht="15" hidden="false" customHeight="false" outlineLevel="0" collapsed="false">
      <c r="A10" s="4" t="s">
        <v>816</v>
      </c>
      <c r="B10" s="4" t="s">
        <v>817</v>
      </c>
      <c r="C10" s="4" t="s">
        <v>818</v>
      </c>
      <c r="D10" s="4" t="s">
        <v>819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