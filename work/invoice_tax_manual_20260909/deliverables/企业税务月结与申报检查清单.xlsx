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61e8ce025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概览与参数" sheetId="1" r:id="R4566bfd9c8f64c0e"/>
    <x:sheet xmlns:r="http://schemas.openxmlformats.org/officeDocument/2006/relationships" name="01-全年税务日历" sheetId="2" r:id="Ra25c5385cb044652"/>
    <x:sheet xmlns:r="http://schemas.openxmlformats.org/officeDocument/2006/relationships" name="02-月度税务清单" sheetId="3" r:id="Rc139f091d97346fa"/>
    <x:sheet xmlns:r="http://schemas.openxmlformats.org/officeDocument/2006/relationships" name="03-季度税务清单" sheetId="4" r:id="Rf50147ed80ed4029"/>
    <x:sheet xmlns:r="http://schemas.openxmlformats.org/officeDocument/2006/relationships" name="04-年度税务清单" sheetId="5" r:id="R164f971235b648e1"/>
    <x:sheet xmlns:r="http://schemas.openxmlformats.org/officeDocument/2006/relationships" name="05-增值税账票税" sheetId="6" r:id="Rc2c8fbc1f0b5498a"/>
    <x:sheet xmlns:r="http://schemas.openxmlformats.org/officeDocument/2006/relationships" name="06-企业所得税" sheetId="7" r:id="R4c883c0468614368"/>
    <x:sheet xmlns:r="http://schemas.openxmlformats.org/officeDocument/2006/relationships" name="07-发票异常" sheetId="8" r:id="Reb44143923ba444f"/>
    <x:sheet xmlns:r="http://schemas.openxmlformats.org/officeDocument/2006/relationships" name="08-未到票暂估" sheetId="9" r:id="Rbad6f6437d6548c6"/>
    <x:sheet xmlns:r="http://schemas.openxmlformats.org/officeDocument/2006/relationships" name="09-税务异常整改" sheetId="10" r:id="Re9d56ae212394a1d"/>
    <x:sheet xmlns:r="http://schemas.openxmlformats.org/officeDocument/2006/relationships" name="10-数据字典" sheetId="11" r:id="R370ad0db6a98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0.00"/>
    <x:numFmt numFmtId="203" formatCode="#,##0.00;[Red](#,##0.00);-"/>
    <x:numFmt numFmtId="204" formatCode="#,##0.00"/>
  </x:numFmts>
  <x:fonts count="8">
    <x:font>
      <x:sz val="11"/>
      <x:name val="Carlito"/>
    </x:font>
    <x:font>
      <x:b/>
      <x:sz val="15"/>
      <x:color rgb="FF000000"/>
      <x:name val="Arial"/>
    </x:font>
    <x:font>
      <x:i/>
      <x:sz val="9"/>
      <x:color rgb="FF666666"/>
      <x:name val="Arial"/>
    </x:font>
    <x:font>
      <x:b/>
      <x:sz val="9"/>
      <x:color rgb="FFFFFFFF"/>
      <x:name val="Arial"/>
    </x:font>
    <x:font>
      <x:sz val="9"/>
      <x:name val="Arial"/>
    </x:font>
    <x:font>
      <x:b/>
      <x:sz val="11"/>
      <x:color rgb="FF000000"/>
      <x:name val="Arial"/>
    </x:font>
    <x:font>
      <x:sz val="8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2F4F7"/>
      </x:patternFill>
    </x:fill>
  </x:fills>
  <x:borders count="4">
    <x:border/>
    <x:border>
      <x:bottom style="thin">
        <x:color rgb="FF2F75B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202" fontId="4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center" wrapText="1"/>
    </x:xf>
    <x:xf numFmtId="203" fontId="4" fillId="0" borderId="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201" fontId="4" fillId="3" borderId="3" xfId="0" applyNumberFormat="1" applyFont="1" applyFill="1" applyBorder="1" applyAlignment="1">
      <x:alignment vertical="center" wrapText="1"/>
    </x:xf>
    <x:xf numFmtId="203" fontId="4" fillId="3" borderId="3" xfId="0" applyNumberFormat="1" applyFont="1" applyFill="1" applyBorder="1" applyAlignment="1">
      <x:alignment vertical="center" wrapText="1"/>
    </x:xf>
    <x:xf numFmtId="203" fontId="4" fillId="4" borderId="3" xfId="0" applyNumberFormat="1" applyFont="1" applyFill="1" applyBorder="1" applyAlignment="1">
      <x:alignment vertical="center" wrapText="1"/>
    </x:xf>
    <x:xf numFmtId="204" fontId="4" fillId="0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7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2F75B5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5de03774ef402c" /><Relationship Type="http://schemas.openxmlformats.org/officeDocument/2006/relationships/theme" Target="/xl/theme/theme1.xml" Id="R9ea91095ca044d17" /><Relationship Type="http://schemas.openxmlformats.org/officeDocument/2006/relationships/sharedStrings" Target="/xl/sharedStrings.xml" Id="R013b1ed162aa4ce3" /><Relationship Type="http://schemas.openxmlformats.org/officeDocument/2006/relationships/worksheet" Target="/xl/worksheets/sheet1.xml" Id="R4566bfd9c8f64c0e" /><Relationship Type="http://schemas.openxmlformats.org/officeDocument/2006/relationships/worksheet" Target="/xl/worksheets/sheet2.xml" Id="Ra25c5385cb044652" /><Relationship Type="http://schemas.openxmlformats.org/officeDocument/2006/relationships/worksheet" Target="/xl/worksheets/sheet3.xml" Id="Rc139f091d97346fa" /><Relationship Type="http://schemas.openxmlformats.org/officeDocument/2006/relationships/worksheet" Target="/xl/worksheets/sheet4.xml" Id="Rf50147ed80ed4029" /><Relationship Type="http://schemas.openxmlformats.org/officeDocument/2006/relationships/worksheet" Target="/xl/worksheets/sheet5.xml" Id="R164f971235b648e1" /><Relationship Type="http://schemas.openxmlformats.org/officeDocument/2006/relationships/worksheet" Target="/xl/worksheets/sheet6.xml" Id="Rc2c8fbc1f0b5498a" /><Relationship Type="http://schemas.openxmlformats.org/officeDocument/2006/relationships/worksheet" Target="/xl/worksheets/sheet7.xml" Id="R4c883c0468614368" /><Relationship Type="http://schemas.openxmlformats.org/officeDocument/2006/relationships/worksheet" Target="/xl/worksheets/sheet8.xml" Id="Reb44143923ba444f" /><Relationship Type="http://schemas.openxmlformats.org/officeDocument/2006/relationships/worksheet" Target="/xl/worksheets/sheet9.xml" Id="Rbad6f6437d6548c6" /><Relationship Type="http://schemas.openxmlformats.org/officeDocument/2006/relationships/worksheet" Target="/xl/worksheets/sheet10.xml" Id="Re9d56ae212394a1d" /><Relationship Type="http://schemas.openxmlformats.org/officeDocument/2006/relationships/worksheet" Target="/xl/worksheets/sheet11.xml" Id="R370ad0db6a98426a" /></Relationships>
</file>

<file path=xl/tables/table1.xml><?xml version="1.0" encoding="utf-8"?>
<x:table xmlns:x="http://schemas.openxmlformats.org/spreadsheetml/2006/main" id="1" name="AnnualTaxCalendar" displayName="AnnualTaxCalendar" ref="A5:I18" headerRowCount="1" totalsRowCount="0" totalsRowShown="0">
  <x:tableColumns count="9">
    <x:tableColumn id="1" name="层次"/>
    <x:tableColumn id="2" name="时间节点"/>
    <x:tableColumn id="3" name="事项"/>
    <x:tableColumn id="4" name="责任人"/>
    <x:tableColumn id="5" name="完成标准"/>
    <x:tableColumn id="6" name="数据来源"/>
    <x:tableColumn id="7" name="复核人"/>
    <x:tableColumn id="8" name="状态"/>
    <x:tableColumn id="9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月度税务清单Table" displayName="02月度税务清单Table" ref="A5:K25" headerRowCount="1" totalsRowCount="0" totalsRowShown="0">
  <x:tableColumns count="11">
    <x:tableColumn id="1" name="事项"/>
    <x:tableColumn id="2" name="责任人"/>
    <x:tableColumn id="3" name="完成期限"/>
    <x:tableColumn id="4" name="数据来源"/>
    <x:tableColumn id="5" name="核对对象"/>
    <x:tableColumn id="6" name="是否完成"/>
    <x:tableColumn id="7" name="异常金额 万元"/>
    <x:tableColumn id="8" name="异常原因"/>
    <x:tableColumn id="9" name="处理方案"/>
    <x:tableColumn id="10" name="复核人"/>
    <x:tableColumn id="11" name="关闭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季度税务清单Table" displayName="03季度税务清单Table" ref="A5:K19" headerRowCount="1" totalsRowCount="0" totalsRowShown="0">
  <x:tableColumns count="11">
    <x:tableColumn id="1" name="事项"/>
    <x:tableColumn id="2" name="责任人"/>
    <x:tableColumn id="3" name="完成期限"/>
    <x:tableColumn id="4" name="数据来源"/>
    <x:tableColumn id="5" name="核对对象"/>
    <x:tableColumn id="6" name="是否完成"/>
    <x:tableColumn id="7" name="异常金额 万元"/>
    <x:tableColumn id="8" name="异常原因"/>
    <x:tableColumn id="9" name="处理方案"/>
    <x:tableColumn id="10" name="复核人"/>
    <x:tableColumn id="11" name="关闭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年度税务清单Table" displayName="04年度税务清单Table" ref="A5:K21" headerRowCount="1" totalsRowCount="0" totalsRowShown="0">
  <x:tableColumns count="11">
    <x:tableColumn id="1" name="事项"/>
    <x:tableColumn id="2" name="责任人"/>
    <x:tableColumn id="3" name="完成期限"/>
    <x:tableColumn id="4" name="数据来源"/>
    <x:tableColumn id="5" name="核对对象"/>
    <x:tableColumn id="6" name="是否完成"/>
    <x:tableColumn id="7" name="异常金额 万元"/>
    <x:tableColumn id="8" name="异常原因"/>
    <x:tableColumn id="9" name="处理方案"/>
    <x:tableColumn id="10" name="复核人"/>
    <x:tableColumn id="11" name="关闭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TReconciliation" displayName="VATReconciliation" ref="A5:M14" headerRowCount="1" totalsRowCount="0" totalsRowShown="0">
  <x:tableColumns count="13">
    <x:tableColumn id="1" name="类别"/>
    <x:tableColumn id="2" name="业务事项"/>
    <x:tableColumn id="3" name="业务金额 不含税"/>
    <x:tableColumn id="4" name="开票金额 不含税"/>
    <x:tableColumn id="5" name="账面金额 不含税"/>
    <x:tableColumn id="6" name="税率"/>
    <x:tableColumn id="7" name="发票税额"/>
    <x:tableColumn id="8" name="账面税额"/>
    <x:tableColumn id="9" name="用途确认税额"/>
    <x:tableColumn id="10" name="申报税额"/>
    <x:tableColumn id="11" name="差异"/>
    <x:tableColumn id="12" name="原因"/>
    <x:tableColumn id="13" name="处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Check" displayName="CITCheck" ref="A5:J12" headerRowCount="1" totalsRowCount="0" totalsRowShown="0">
  <x:tableColumns count="10">
    <x:tableColumn id="1" name="项目"/>
    <x:tableColumn id="2" name="会计金额"/>
    <x:tableColumn id="3" name="税务调整"/>
    <x:tableColumn id="4" name="调整方向"/>
    <x:tableColumn id="5" name="税务金额"/>
    <x:tableColumn id="6" name="数据来源"/>
    <x:tableColumn id="7" name="政策依据"/>
    <x:tableColumn id="8" name="是否完成"/>
    <x:tableColumn id="9" name="复核人"/>
    <x:tableColumn id="1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nvoiceExceptions" displayName="InvoiceExceptions" ref="A5:Q25" headerRowCount="1" totalsRowCount="0" totalsRowShown="0">
  <x:tableColumns count="17">
    <x:tableColumn id="1" name="异常编号"/>
    <x:tableColumn id="2" name="发现日期"/>
    <x:tableColumn id="3" name="业务编号"/>
    <x:tableColumn id="4" name="发票号码"/>
    <x:tableColumn id="5" name="供应商或客户"/>
    <x:tableColumn id="6" name="异常类型"/>
    <x:tableColumn id="7" name="价税金额 万元"/>
    <x:tableColumn id="8" name="发现人"/>
    <x:tableColumn id="9" name="异常原因"/>
    <x:tableColumn id="10" name="系统处理"/>
    <x:tableColumn id="11" name="会计处理"/>
    <x:tableColumn id="12" name="税务处理"/>
    <x:tableColumn id="13" name="责任人"/>
    <x:tableColumn id="14" name="状态"/>
    <x:tableColumn id="15" name="复核人"/>
    <x:tableColumn id="16" name="关闭日期"/>
    <x:tableColumn id="17" name="证据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ccrualTracking" displayName="AccrualTracking" ref="A5:Q25" headerRowCount="1" totalsRowCount="0" totalsRowShown="0">
  <x:tableColumns count="17">
    <x:tableColumn id="1" name="记录编号"/>
    <x:tableColumn id="2" name="业务编号"/>
    <x:tableColumn id="3" name="供应商"/>
    <x:tableColumn id="4" name="业务类型"/>
    <x:tableColumn id="5" name="收货验收日"/>
    <x:tableColumn id="6" name="暂估金额 万元"/>
    <x:tableColumn id="7" name="预计税率"/>
    <x:tableColumn id="8" name="暂估税额 不入账"/>
    <x:tableColumn id="9" name="收到发票日"/>
    <x:tableColumn id="10" name="发票不含税金额"/>
    <x:tableColumn id="11" name="发票税额"/>
    <x:tableColumn id="12" name="价差"/>
    <x:tableColumn id="13" name="账龄天数"/>
    <x:tableColumn id="14" name="状态"/>
    <x:tableColumn id="15" name="责任人"/>
    <x:tableColumn id="16" name="预计关闭日"/>
    <x:tableColumn id="17" name="处理说明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xRemediation" displayName="TaxRemediation" ref="A5:R25" headerRowCount="1" totalsRowCount="0" totalsRowShown="0">
  <x:tableColumns count="18">
    <x:tableColumn id="1" name="整改编号"/>
    <x:tableColumn id="2" name="发现日期"/>
    <x:tableColumn id="3" name="税种"/>
    <x:tableColumn id="4" name="所属期"/>
    <x:tableColumn id="5" name="异常类型"/>
    <x:tableColumn id="6" name="发现异常"/>
    <x:tableColumn id="7" name="原因判断"/>
    <x:tableColumn id="8" name="资料保全"/>
    <x:tableColumn id="9" name="影响税额 万元"/>
    <x:tableColumn id="10" name="是否调账"/>
    <x:tableColumn id="11" name="是否更正申报"/>
    <x:tableColumn id="12" name="税款及滞纳金处理"/>
    <x:tableColumn id="13" name="防复发措施"/>
    <x:tableColumn id="14" name="责任人"/>
    <x:tableColumn id="15" name="复核人"/>
    <x:tableColumn id="16" name="状态"/>
    <x:tableColumn id="17" name="计划关闭日"/>
    <x:tableColumn id="18" name="实际关闭日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Dictionary" displayName="DataDictionary" ref="A5:H23" headerRowCount="1" totalsRowCount="0" totalsRowShown="0">
  <x:tableColumns count="8">
    <x:tableColumn id="1" name="类别"/>
    <x:tableColumn id="2" name="代码"/>
    <x:tableColumn id="3" name="名称"/>
    <x:tableColumn id="4" name="定义"/>
    <x:tableColumn id="5" name="是否需复核"/>
    <x:tableColumn id="6" name="默认责任人"/>
    <x:tableColumn id="7" name="关闭条件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93baa8afe244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1c4c6d83c4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d77cb862f049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c7d0fe785d49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7974d0c04145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bf4c03a87b74c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a34c7deaf54f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7e6c106a1b42e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74ad8db130943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7025445743946d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38" hidden="0" customWidth="1"/>
    <x:col min="4" max="4" width="18" hidden="0" customWidth="1"/>
    <x:col min="5" max="5" width="3" hidden="0" customWidth="1"/>
    <x:col min="6" max="6" width="29" hidden="0" customWidth="1"/>
    <x:col min="7" max="7" width="25" hidden="0" customWidth="1"/>
    <x:col min="8" max="8" width="20" hidden="0" customWidth="1"/>
    <x:col min="9" max="9" width="58" hidden="0" customWidth="1"/>
  </x:cols>
  <x:sheetData>
    <x:row r="1" ht="28" customHeight="1">
      <x:c r="A1" s="2" t="str">
        <x:v>企业税务月结与申报检查清单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 ht="22" customHeight="1">
      <x:c r="A2" s="33" t="str">
        <x:v>远澜智能设备（苏州）有限公司　案例期间 2026年6月　政策核验日 2026年9月9日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</x:row>
    <x:row r="5" ht="30" customHeight="1">
      <x:c r="A5" s="10" t="str">
        <x:v>关键参数</x:v>
      </x:c>
      <x:c r="B5" s="10" t="str">
        <x:v>数值</x:v>
      </x:c>
      <x:c r="C5" s="10" t="str">
        <x:v>适用说明</x:v>
      </x:c>
      <x:c r="D5" s="10" t="str">
        <x:v>维护责任</x:v>
      </x:c>
      <x:c r="E5" s="32"/>
      <x:c r="F5" s="10" t="str">
        <x:v>当前工作状态</x:v>
      </x:c>
      <x:c r="G5" s="10" t="str">
        <x:v>公式结果</x:v>
      </x:c>
      <x:c r="H5" s="10" t="str">
        <x:v>说明</x:v>
      </x:c>
      <x:c r="I5" s="10" t="str">
        <x:v>负责人</x:v>
      </x:c>
      <x:c r="J5" s="32"/>
      <x:c r="K5" s="32"/>
      <x:c r="L5" s="32"/>
    </x:row>
    <x:row r="6">
      <x:c r="A6" s="14" t="str">
        <x:v>政策核验日</x:v>
      </x:c>
      <x:c r="B6" s="15" t="n">
        <x:v>46274</x:v>
      </x:c>
      <x:c r="C6" s="14" t="str">
        <x:v>使用前检查是否有新政策</x:v>
      </x:c>
      <x:c r="D6" s="14" t="str">
        <x:v>税务会计</x:v>
      </x:c>
      <x:c r="E6" s="32"/>
      <x:c r="F6" s="14" t="str">
        <x:v>月度清单未完成</x:v>
      </x:c>
      <x:c r="G6" s="18" t="n">
        <x:f>COUNTIF('02-月度税务清单'!F6:F25,"&lt;&gt;已完成")-COUNTIF('02-月度税务清单'!F6:F25,"不适用")</x:f>
        <x:v>20</x:v>
      </x:c>
      <x:c r="H6" s="14" t="str">
        <x:v>0表示全部完成或不适用</x:v>
      </x:c>
      <x:c r="I6" s="14" t="str">
        <x:v>总账会计</x:v>
      </x:c>
      <x:c r="J6" s="32"/>
      <x:c r="K6" s="32"/>
      <x:c r="L6" s="32"/>
    </x:row>
    <x:row r="7">
      <x:c r="A7" s="14" t="str">
        <x:v>案例所属期</x:v>
      </x:c>
      <x:c r="B7" s="15" t="n">
        <x:v>46203</x:v>
      </x:c>
      <x:c r="C7" s="14" t="str">
        <x:v>用于本工作簿示例</x:v>
      </x:c>
      <x:c r="D7" s="14" t="str">
        <x:v>总账会计</x:v>
      </x:c>
      <x:c r="E7" s="32"/>
      <x:c r="F7" s="14" t="str">
        <x:v>季度清单未完成</x:v>
      </x:c>
      <x:c r="G7" s="18" t="n">
        <x:f>COUNTIF('03-季度税务清单'!F6:F19,"&lt;&gt;已完成")-COUNTIF('03-季度税务清单'!F6:F19,"不适用")</x:f>
        <x:v>13</x:v>
      </x:c>
      <x:c r="H7" s="14" t="str">
        <x:v>季度末使用</x:v>
      </x:c>
      <x:c r="I7" s="14" t="str">
        <x:v>税务会计</x:v>
      </x:c>
      <x:c r="J7" s="32"/>
      <x:c r="K7" s="32"/>
      <x:c r="L7" s="32"/>
    </x:row>
    <x:row r="8">
      <x:c r="A8" s="14" t="str">
        <x:v>一般货物增值税率</x:v>
      </x:c>
      <x:c r="B8" s="16" t="n">
        <x:v>0.13</x:v>
      </x:c>
      <x:c r="C8" s="14" t="str">
        <x:v>按具体货物和交易复核</x:v>
      </x:c>
      <x:c r="D8" s="14" t="str">
        <x:v>税务会计</x:v>
      </x:c>
      <x:c r="E8" s="32"/>
      <x:c r="F8" s="14" t="str">
        <x:v>年度清单未完成</x:v>
      </x:c>
      <x:c r="G8" s="18" t="n">
        <x:f>COUNTIF('04-年度税务清单'!F6:F21,"&lt;&gt;已完成")-COUNTIF('04-年度税务清单'!F6:F21,"不适用")</x:f>
        <x:v>16</x:v>
      </x:c>
      <x:c r="H8" s="14" t="str">
        <x:v>年度汇算使用</x:v>
      </x:c>
      <x:c r="I8" s="14" t="str">
        <x:v>税务经理</x:v>
      </x:c>
      <x:c r="J8" s="32"/>
      <x:c r="K8" s="32"/>
      <x:c r="L8" s="32"/>
    </x:row>
    <x:row r="9">
      <x:c r="A9" s="14" t="str">
        <x:v>一般服务增值税率</x:v>
      </x:c>
      <x:c r="B9" s="16" t="n">
        <x:v>0.06</x:v>
      </x:c>
      <x:c r="C9" s="14" t="str">
        <x:v>咨询等案例参数</x:v>
      </x:c>
      <x:c r="D9" s="14" t="str">
        <x:v>税务会计</x:v>
      </x:c>
      <x:c r="E9" s="32"/>
      <x:c r="F9" s="14" t="str">
        <x:v>发票异常未关闭</x:v>
      </x:c>
      <x:c r="G9" s="18" t="n">
        <x:f>COUNTIF('07-发票异常'!N6:N25,"&lt;&gt;已关闭")-COUNTBLANK('07-发票异常'!A6:A25)</x:f>
        <x:v>2</x:v>
      </x:c>
      <x:c r="H9" s="14" t="str">
        <x:v>按异常编号追踪</x:v>
      </x:c>
      <x:c r="I9" s="14" t="str">
        <x:v>AP或AR</x:v>
      </x:c>
      <x:c r="J9" s="32"/>
      <x:c r="K9" s="32"/>
      <x:c r="L9" s="32"/>
    </x:row>
    <x:row r="10">
      <x:c r="A10" s="14" t="str">
        <x:v>企业所得税率</x:v>
      </x:c>
      <x:c r="B10" s="16" t="n">
        <x:v>0.25</x:v>
      </x:c>
      <x:c r="C10" s="14" t="str">
        <x:v>案例公司不适用特殊低税率</x:v>
      </x:c>
      <x:c r="D10" s="14" t="str">
        <x:v>税务会计</x:v>
      </x:c>
      <x:c r="E10" s="32"/>
      <x:c r="F10" s="14" t="str">
        <x:v>暂估未关闭</x:v>
      </x:c>
      <x:c r="G10" s="18" t="n">
        <x:f>COUNTIF('08-未到票暂估'!N6:N25,"&lt;&gt;已关闭")-COUNTBLANK('08-未到票暂估'!A6:A25)</x:f>
        <x:v>1</x:v>
      </x:c>
      <x:c r="H10" s="14" t="str">
        <x:v>重点关注账龄</x:v>
      </x:c>
      <x:c r="I10" s="14" t="str">
        <x:v>AP</x:v>
      </x:c>
      <x:c r="J10" s="32"/>
      <x:c r="K10" s="32"/>
      <x:c r="L10" s="32"/>
    </x:row>
    <x:row r="11">
      <x:c r="A11" s="14" t="str">
        <x:v>城市维护建设税率</x:v>
      </x:c>
      <x:c r="B11" s="16" t="n">
        <x:v>0.07</x:v>
      </x:c>
      <x:c r="C11" s="14" t="str">
        <x:v>案例位于市区，实际按所在地核验</x:v>
      </x:c>
      <x:c r="D11" s="14" t="str">
        <x:v>税务会计</x:v>
      </x:c>
      <x:c r="E11" s="32"/>
      <x:c r="F11" s="14" t="str">
        <x:v>税务整改未关闭</x:v>
      </x:c>
      <x:c r="G11" s="18" t="n">
        <x:f>COUNTIF('09-税务异常整改'!P6:P25,"&lt;&gt;已关闭")-COUNTBLANK('09-税务异常整改'!A6:A25)</x:f>
        <x:v>2</x:v>
      </x:c>
      <x:c r="H11" s="14" t="str">
        <x:v>重大问题主管审批</x:v>
      </x:c>
      <x:c r="I11" s="14" t="str">
        <x:v>财务主管</x:v>
      </x:c>
      <x:c r="J11" s="32"/>
      <x:c r="K11" s="32"/>
      <x:c r="L11" s="32"/>
    </x:row>
    <x:row r="12">
      <x:c r="A12" s="14" t="str">
        <x:v>教育费附加率</x:v>
      </x:c>
      <x:c r="B12" s="16" t="n">
        <x:v>0.03</x:v>
      </x:c>
      <x:c r="C12" s="14" t="str">
        <x:v>案例参数</x:v>
      </x:c>
      <x:c r="D12" s="14" t="str">
        <x:v>税务会计</x:v>
      </x:c>
      <x:c r="E12" s="32"/>
      <x:c r="F12" s="32"/>
      <x:c r="G12" s="32"/>
      <x:c r="H12" s="32"/>
      <x:c r="I12" s="32"/>
      <x:c r="J12" s="32"/>
      <x:c r="K12" s="32"/>
      <x:c r="L12" s="32"/>
    </x:row>
    <x:row r="13">
      <x:c r="A13" s="14" t="str">
        <x:v>地方教育附加率</x:v>
      </x:c>
      <x:c r="B13" s="16" t="n">
        <x:v>0.02</x:v>
      </x:c>
      <x:c r="C13" s="14" t="str">
        <x:v>江苏案例参数，实际核验</x:v>
      </x:c>
      <x:c r="D13" s="14" t="str">
        <x:v>税务会计</x:v>
      </x:c>
      <x:c r="E13" s="32"/>
      <x:c r="F13" s="32"/>
      <x:c r="G13" s="32"/>
      <x:c r="H13" s="32"/>
      <x:c r="I13" s="32"/>
      <x:c r="J13" s="32"/>
      <x:c r="K13" s="32"/>
      <x:c r="L13" s="32"/>
    </x:row>
    <x:row r="14">
      <x:c r="A14" s="14" t="str">
        <x:v>差异复核阈值 万元</x:v>
      </x:c>
      <x:c r="B14" s="17" t="n">
        <x:v>1</x:v>
      </x:c>
      <x:c r="C14" s="14" t="str">
        <x:v>超过阈值必须书面解释</x:v>
      </x:c>
      <x:c r="D14" s="14" t="str">
        <x:v>财务主管</x:v>
      </x:c>
      <x:c r="E14" s="32"/>
      <x:c r="F14" s="32"/>
      <x:c r="G14" s="32"/>
      <x:c r="H14" s="32"/>
      <x:c r="I14" s="32"/>
      <x:c r="J14" s="32"/>
      <x:c r="K14" s="32"/>
      <x:c r="L14" s="32"/>
    </x:row>
    <x:row r="15">
      <x:c r="A15" s="14" t="str">
        <x:v>内部申报复核提前天数</x:v>
      </x:c>
      <x:c r="B15" s="17" t="n">
        <x:v>3</x:v>
      </x:c>
      <x:c r="C15" s="14" t="str">
        <x:v>早于法定截止日完成</x:v>
      </x:c>
      <x:c r="D15" s="14" t="str">
        <x:v>财务主管</x:v>
      </x:c>
      <x:c r="E15" s="32"/>
      <x:c r="F15" s="32"/>
      <x:c r="G15" s="32"/>
      <x:c r="H15" s="32"/>
      <x:c r="I15" s="32"/>
      <x:c r="J15" s="32"/>
      <x:c r="K15" s="32"/>
      <x:c r="L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</x:row>
    <x:row r="18" ht="30" customHeight="1">
      <x:c r="A18" s="10" t="str">
        <x:v>2026年申报期限</x:v>
      </x:c>
      <x:c r="B18" s="10" t="str">
        <x:v>截止日</x:v>
      </x:c>
      <x:c r="C18" s="10" t="str">
        <x:v>适用范围</x:v>
      </x:c>
      <x:c r="D18" s="10" t="str">
        <x:v>来源</x:v>
      </x:c>
      <x:c r="E18" s="32"/>
      <x:c r="F18" s="10" t="str">
        <x:v>官方来源</x:v>
      </x:c>
      <x:c r="G18" s="10" t="str">
        <x:v>用途</x:v>
      </x:c>
      <x:c r="H18" s="10" t="str">
        <x:v>有效性说明</x:v>
      </x:c>
      <x:c r="I18" s="10" t="str">
        <x:v>链接</x:v>
      </x:c>
      <x:c r="J18" s="32"/>
      <x:c r="K18" s="32"/>
      <x:c r="L18" s="32"/>
    </x:row>
    <x:row r="19">
      <x:c r="A19" s="14" t="str">
        <x:v>1月</x:v>
      </x:c>
      <x:c r="B19" s="15" t="n">
        <x:v>46042</x:v>
      </x:c>
      <x:c r="C19" s="14" t="str">
        <x:v>实行按月或按季度期满后15日内申报的税种</x:v>
      </x:c>
      <x:c r="D19" s="14" t="str">
        <x:v>国家税务总局2026年度申报期限通知</x:v>
      </x:c>
      <x:c r="E19" s="32"/>
      <x:c r="F19" s="22" t="str">
        <x:v>中华人民共和国增值税法</x:v>
      </x:c>
      <x:c r="G19" s="22" t="str">
        <x:v>税率、抵扣、义务时间</x:v>
      </x:c>
      <x:c r="H19" s="22" t="str">
        <x:v>2026-01-01施行</x:v>
      </x:c>
      <x:c r="I19" s="22" t="str">
        <x:v>https://www.npc.gov.cn/npc/c2/c30834/202412/t20241225_442015.html</x:v>
      </x:c>
      <x:c r="J19" s="32"/>
      <x:c r="K19" s="32"/>
      <x:c r="L19" s="32"/>
    </x:row>
    <x:row r="20">
      <x:c r="A20" s="14" t="str">
        <x:v>2月</x:v>
      </x:c>
      <x:c r="B20" s="15" t="n">
        <x:v>46077</x:v>
      </x:c>
      <x:c r="C20" s="14" t="str">
        <x:v>实行按月或按季度期满后15日内申报的税种</x:v>
      </x:c>
      <x:c r="D20" s="14" t="str">
        <x:v>国家税务总局2026年度申报期限通知</x:v>
      </x:c>
      <x:c r="E20" s="32"/>
      <x:c r="F20" s="22" t="str">
        <x:v>增值税法实施条例</x:v>
      </x:c>
      <x:c r="G20" s="22" t="str">
        <x:v>进项分摊与转出</x:v>
      </x:c>
      <x:c r="H20" s="22" t="str">
        <x:v>2026-01-01施行</x:v>
      </x:c>
      <x:c r="I20" s="22" t="str">
        <x:v>https://fgk.chinatax.gov.cn/zcfgk/c100010/c5246349/content.html</x:v>
      </x:c>
      <x:c r="J20" s="32"/>
      <x:c r="K20" s="32"/>
      <x:c r="L20" s="32"/>
    </x:row>
    <x:row r="21">
      <x:c r="A21" s="14" t="str">
        <x:v>3月</x:v>
      </x:c>
      <x:c r="B21" s="15" t="n">
        <x:v>46097</x:v>
      </x:c>
      <x:c r="C21" s="14" t="str">
        <x:v>实行按月或按季度期满后15日内申报的税种</x:v>
      </x:c>
      <x:c r="D21" s="14" t="str">
        <x:v>国家税务总局2026年度申报期限通知</x:v>
      </x:c>
      <x:c r="E21" s="32"/>
      <x:c r="F21" s="22" t="str">
        <x:v>税总公告2024年第11号</x:v>
      </x:c>
      <x:c r="G21" s="22" t="str">
        <x:v>数电票和红字流程</x:v>
      </x:c>
      <x:c r="H21" s="22" t="str">
        <x:v>全文有效</x:v>
      </x:c>
      <x:c r="I21" s="22" t="str">
        <x:v>https://fgk.chinatax.gov.cn/zcfgk/c100012/c5236067/content.html</x:v>
      </x:c>
      <x:c r="J21" s="32"/>
      <x:c r="K21" s="32"/>
      <x:c r="L21" s="32"/>
    </x:row>
    <x:row r="22">
      <x:c r="A22" s="14" t="str">
        <x:v>4月</x:v>
      </x:c>
      <x:c r="B22" s="15" t="n">
        <x:v>46132</x:v>
      </x:c>
      <x:c r="C22" s="14" t="str">
        <x:v>实行按月或按季度期满后15日内申报的税种</x:v>
      </x:c>
      <x:c r="D22" s="14" t="str">
        <x:v>国家税务总局2026年度申报期限通知</x:v>
      </x:c>
      <x:c r="E22" s="32"/>
      <x:c r="F22" s="22" t="str">
        <x:v>发票管理办法</x:v>
      </x:c>
      <x:c r="G22" s="22" t="str">
        <x:v>发票基础制度</x:v>
      </x:c>
      <x:c r="H22" s="22" t="str">
        <x:v>全文有效</x:v>
      </x:c>
      <x:c r="I22" s="22" t="str">
        <x:v>https://fgk.chinatax.gov.cn/zcfgk/c100010/c5195084/content.html</x:v>
      </x:c>
      <x:c r="J22" s="32"/>
      <x:c r="K22" s="32"/>
      <x:c r="L22" s="32"/>
    </x:row>
    <x:row r="23">
      <x:c r="A23" s="14" t="str">
        <x:v>5月</x:v>
      </x:c>
      <x:c r="B23" s="15" t="n">
        <x:v>46164</x:v>
      </x:c>
      <x:c r="C23" s="14" t="str">
        <x:v>实行按月或按季度期满后15日内申报的税种</x:v>
      </x:c>
      <x:c r="D23" s="14" t="str">
        <x:v>国家税务总局2026年度申报期限通知</x:v>
      </x:c>
      <x:c r="E23" s="32"/>
      <x:c r="F23" s="22" t="str">
        <x:v>发票管理办法实施细则</x:v>
      </x:c>
      <x:c r="G23" s="22" t="str">
        <x:v>电子发票与数据</x:v>
      </x:c>
      <x:c r="H23" s="22" t="str">
        <x:v>2024年修订</x:v>
      </x:c>
      <x:c r="I23" s="22" t="str">
        <x:v>https://fgk.chinatax.gov.cn/zcfgk/c100011/c5221006/content.html</x:v>
      </x:c>
      <x:c r="J23" s="32"/>
      <x:c r="K23" s="32"/>
      <x:c r="L23" s="32"/>
    </x:row>
    <x:row r="24">
      <x:c r="A24" s="14" t="str">
        <x:v>6月</x:v>
      </x:c>
      <x:c r="B24" s="15" t="n">
        <x:v>46188</x:v>
      </x:c>
      <x:c r="C24" s="14" t="str">
        <x:v>实行按月或按季度期满后15日内申报的税种</x:v>
      </x:c>
      <x:c r="D24" s="14" t="str">
        <x:v>国家税务总局2026年度申报期限通知</x:v>
      </x:c>
      <x:c r="E24" s="32"/>
      <x:c r="F24" s="22" t="str">
        <x:v>企业所得税法</x:v>
      </x:c>
      <x:c r="G24" s="22" t="str">
        <x:v>预缴与汇算</x:v>
      </x:c>
      <x:c r="H24" s="22" t="str">
        <x:v>现行</x:v>
      </x:c>
      <x:c r="I24" s="22" t="str">
        <x:v>https://fgk.chinatax.gov.cn/zcfgk/c100009/c5193018/content.html</x:v>
      </x:c>
      <x:c r="J24" s="32"/>
      <x:c r="K24" s="32"/>
      <x:c r="L24" s="32"/>
    </x:row>
    <x:row r="25">
      <x:c r="A25" s="14" t="str">
        <x:v>7月</x:v>
      </x:c>
      <x:c r="B25" s="15" t="n">
        <x:v>46218</x:v>
      </x:c>
      <x:c r="C25" s="14" t="str">
        <x:v>实行按月或按季度期满后15日内申报的税种</x:v>
      </x:c>
      <x:c r="D25" s="14" t="str">
        <x:v>国家税务总局2026年度申报期限通知</x:v>
      </x:c>
      <x:c r="E25" s="32"/>
      <x:c r="F25" s="22" t="str">
        <x:v>税前扣除凭证管理办法</x:v>
      </x:c>
      <x:c r="G25" s="22" t="str">
        <x:v>扣除凭证</x:v>
      </x:c>
      <x:c r="H25" s="22" t="str">
        <x:v>全文有效</x:v>
      </x:c>
      <x:c r="I25" s="22" t="str">
        <x:v>https://fgk.chinatax.gov.cn/zcfgk/c100012/c5194804/content.html</x:v>
      </x:c>
      <x:c r="J25" s="32"/>
      <x:c r="K25" s="32"/>
      <x:c r="L25" s="32"/>
    </x:row>
    <x:row r="26">
      <x:c r="A26" s="14" t="str">
        <x:v>8月</x:v>
      </x:c>
      <x:c r="B26" s="15" t="n">
        <x:v>46251</x:v>
      </x:c>
      <x:c r="C26" s="14" t="str">
        <x:v>实行按月或按季度期满后15日内申报的税种</x:v>
      </x:c>
      <x:c r="D26" s="14" t="str">
        <x:v>国家税务总局2026年度申报期限通知</x:v>
      </x:c>
      <x:c r="E26" s="32"/>
      <x:c r="F26" s="22" t="str">
        <x:v>研发费用公告2023年第7号</x:v>
      </x:c>
      <x:c r="G26" s="22" t="str">
        <x:v>100%加计扣除</x:v>
      </x:c>
      <x:c r="H26" s="22" t="str">
        <x:v>制度性安排</x:v>
      </x:c>
      <x:c r="I26" s="22" t="str">
        <x:v>https://fgk.chinatax.gov.cn/zcfgk/c102416/c5201978/content.html</x:v>
      </x:c>
      <x:c r="J26" s="32"/>
      <x:c r="K26" s="32"/>
      <x:c r="L26" s="32"/>
    </x:row>
    <x:row r="27">
      <x:c r="A27" s="14" t="str">
        <x:v>9月</x:v>
      </x:c>
      <x:c r="B27" s="15" t="n">
        <x:v>46280</x:v>
      </x:c>
      <x:c r="C27" s="14" t="str">
        <x:v>实行按月或按季度期满后15日内申报的税种</x:v>
      </x:c>
      <x:c r="D27" s="14" t="str">
        <x:v>国家税务总局2026年度申报期限通知</x:v>
      </x:c>
      <x:c r="E27" s="32"/>
      <x:c r="F27" s="22" t="str">
        <x:v>印花税法</x:v>
      </x:c>
      <x:c r="G27" s="22" t="str">
        <x:v>合同税源</x:v>
      </x:c>
      <x:c r="H27" s="22" t="str">
        <x:v>现行</x:v>
      </x:c>
      <x:c r="I27" s="22" t="str">
        <x:v>https://fgk.chinatax.gov.cn/zcfgk/c100009/c5193058/content.html</x:v>
      </x:c>
      <x:c r="J27" s="32"/>
      <x:c r="K27" s="32"/>
      <x:c r="L27" s="32"/>
    </x:row>
    <x:row r="28">
      <x:c r="A28" s="14" t="str">
        <x:v>10月</x:v>
      </x:c>
      <x:c r="B28" s="15" t="n">
        <x:v>46321</x:v>
      </x:c>
      <x:c r="C28" s="14" t="str">
        <x:v>实行按月或按季度期满后15日内申报的税种</x:v>
      </x:c>
      <x:c r="D28" s="14" t="str">
        <x:v>国家税务总局2026年度申报期限通知</x:v>
      </x:c>
      <x:c r="E28" s="32"/>
      <x:c r="F28" s="22" t="str">
        <x:v>个税扣缴申报管理办法</x:v>
      </x:c>
      <x:c r="G28" s="22" t="str">
        <x:v>全员全额申报</x:v>
      </x:c>
      <x:c r="H28" s="22" t="str">
        <x:v>全文有效</x:v>
      </x:c>
      <x:c r="I28" s="22" t="str">
        <x:v>https://fgk.chinatax.gov.cn/zcfgk/c100012/c5194838/content.html</x:v>
      </x:c>
      <x:c r="J28" s="32"/>
      <x:c r="K28" s="32"/>
      <x:c r="L28" s="32"/>
    </x:row>
    <x:row r="29">
      <x:c r="A29" s="14" t="str">
        <x:v>11月</x:v>
      </x:c>
      <x:c r="B29" s="15" t="n">
        <x:v>46342</x:v>
      </x:c>
      <x:c r="C29" s="14" t="str">
        <x:v>实行按月或按季度期满后15日内申报的税种</x:v>
      </x:c>
      <x:c r="D29" s="14" t="str">
        <x:v>国家税务总局2026年度申报期限通知</x:v>
      </x:c>
      <x:c r="E29" s="32"/>
      <x:c r="F29" s="22" t="str">
        <x:v>税收征管法</x:v>
      </x:c>
      <x:c r="G29" s="22" t="str">
        <x:v>逾期与滞纳金</x:v>
      </x:c>
      <x:c r="H29" s="22" t="str">
        <x:v>现行</x:v>
      </x:c>
      <x:c r="I29" s="22" t="str">
        <x:v>https://fgk.chinatax.gov.cn/zcfgk/c100009/c5195081/content.html</x:v>
      </x:c>
      <x:c r="J29" s="32"/>
      <x:c r="K29" s="32"/>
      <x:c r="L29" s="32"/>
    </x:row>
    <x:row r="30">
      <x:c r="A30" s="14" t="str">
        <x:v>12月</x:v>
      </x:c>
      <x:c r="B30" s="15" t="n">
        <x:v>46371</x:v>
      </x:c>
      <x:c r="C30" s="14" t="str">
        <x:v>实行按月或按季度期满后15日内申报的税种</x:v>
      </x:c>
      <x:c r="D30" s="14" t="str">
        <x:v>国家税务总局2026年度申报期限通知</x:v>
      </x:c>
      <x:c r="E30" s="32"/>
      <x:c r="F30" s="22" t="str">
        <x:v>2026年度申报期限通知</x:v>
      </x:c>
      <x:c r="G30" s="22" t="str">
        <x:v>年度征期</x:v>
      </x:c>
      <x:c r="H30" s="22" t="str">
        <x:v>2026年度</x:v>
      </x:c>
      <x:c r="I30" s="22" t="str">
        <x:v>https://fgk.chinatax.gov.cn/zcfgk/c102424/c5245729/content.html</x:v>
      </x:c>
      <x:c r="J30" s="32"/>
      <x:c r="K30" s="32"/>
      <x:c r="L30" s="32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16" hidden="0" customWidth="1"/>
    <x:col min="5" max="5" width="28" hidden="0" customWidth="1"/>
    <x:col min="6" max="6" width="24" hidden="0" customWidth="1"/>
    <x:col min="7" max="7" width="12" hidden="0" customWidth="1"/>
    <x:col min="8" max="8" width="11" hidden="0" customWidth="1"/>
    <x:col min="9" max="9" width="28" hidden="0" customWidth="1"/>
  </x:cols>
  <x:sheetData>
    <x:row r="1" ht="28" customHeight="1">
      <x:c r="A1" s="2" t="str">
        <x:v>企业全年税务工作日历</x:v>
      </x:c>
      <x:c r="B1" s="32"/>
      <x:c r="C1" s="32"/>
      <x:c r="D1" s="32"/>
      <x:c r="E1" s="32"/>
      <x:c r="F1" s="32"/>
      <x:c r="G1" s="32"/>
      <x:c r="H1" s="32"/>
      <x:c r="I1" s="32"/>
    </x:row>
    <x:row r="2" ht="22" customHeight="1">
      <x:c r="A2" s="33" t="str">
        <x:v>日常、月度、季度和年度任务应同时包含编制、复核、申报、缴款和归档</x:v>
      </x:c>
      <x:c r="B2" s="32"/>
      <x:c r="C2" s="32"/>
      <x:c r="D2" s="32"/>
      <x:c r="E2" s="32"/>
      <x:c r="F2" s="32"/>
      <x:c r="G2" s="32"/>
      <x:c r="H2" s="32"/>
      <x:c r="I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</x:row>
    <x:row r="5" ht="30" customHeight="1">
      <x:c r="A5" s="10" t="str">
        <x:v>层次</x:v>
      </x:c>
      <x:c r="B5" s="10" t="str">
        <x:v>时间节点</x:v>
      </x:c>
      <x:c r="C5" s="10" t="str">
        <x:v>事项</x:v>
      </x:c>
      <x:c r="D5" s="10" t="str">
        <x:v>责任人</x:v>
      </x:c>
      <x:c r="E5" s="10" t="str">
        <x:v>完成标准</x:v>
      </x:c>
      <x:c r="F5" s="10" t="str">
        <x:v>数据来源</x:v>
      </x:c>
      <x:c r="G5" s="10" t="str">
        <x:v>复核人</x:v>
      </x:c>
      <x:c r="H5" s="10" t="str">
        <x:v>状态</x:v>
      </x:c>
      <x:c r="I5" s="10" t="str">
        <x:v>说明</x:v>
      </x:c>
    </x:row>
    <x:row r="6">
      <x:c r="A6" s="14" t="str">
        <x:v>日常</x:v>
      </x:c>
      <x:c r="B6" s="14" t="str">
        <x:v>业务发生时</x:v>
      </x:c>
      <x:c r="C6" s="14" t="str">
        <x:v>合同涉税识别</x:v>
      </x:c>
      <x:c r="D6" s="14" t="str">
        <x:v>业务和税务</x:v>
      </x:c>
      <x:c r="E6" s="14" t="str">
        <x:v>税目主体时点留痕</x:v>
      </x:c>
      <x:c r="F6" s="14" t="str">
        <x:v>合同系统</x:v>
      </x:c>
      <x:c r="G6" s="14" t="str">
        <x:v>财务主管</x:v>
      </x:c>
      <x:c r="H6" s="14" t="str">
        <x:v>进行中</x:v>
      </x:c>
      <x:c r="I6" s="14" t="str">
        <x:v>重大条款签署前复核</x:v>
      </x:c>
    </x:row>
    <x:row r="7">
      <x:c r="A7" s="14" t="str">
        <x:v>日常</x:v>
      </x:c>
      <x:c r="B7" s="14" t="str">
        <x:v>每日</x:v>
      </x:c>
      <x:c r="C7" s="14" t="str">
        <x:v>销项开票和交付</x:v>
      </x:c>
      <x:c r="D7" s="14" t="str">
        <x:v>AR</x:v>
      </x:c>
      <x:c r="E7" s="14" t="str">
        <x:v>发票与申请一致</x:v>
      </x:c>
      <x:c r="F7" s="14" t="str">
        <x:v>销售和开票平台</x:v>
      </x:c>
      <x:c r="G7" s="14" t="str">
        <x:v>总账</x:v>
      </x:c>
      <x:c r="H7" s="14" t="str">
        <x:v>进行中</x:v>
      </x:c>
      <x:c r="I7" s="14" t="str">
        <x:v>异常进入跟踪表</x:v>
      </x:c>
    </x:row>
    <x:row r="8">
      <x:c r="A8" s="14" t="str">
        <x:v>日常</x:v>
      </x:c>
      <x:c r="B8" s="14" t="str">
        <x:v>每日</x:v>
      </x:c>
      <x:c r="C8" s="14" t="str">
        <x:v>进项收票验真查重</x:v>
      </x:c>
      <x:c r="D8" s="14" t="str">
        <x:v>AP</x:v>
      </x:c>
      <x:c r="E8" s="14" t="str">
        <x:v>发票池状态完整</x:v>
      </x:c>
      <x:c r="F8" s="14" t="str">
        <x:v>税务数字账户</x:v>
      </x:c>
      <x:c r="G8" s="14" t="str">
        <x:v>总账</x:v>
      </x:c>
      <x:c r="H8" s="14" t="str">
        <x:v>进行中</x:v>
      </x:c>
      <x:c r="I8" s="14" t="str">
        <x:v>未审核不得直接抵扣</x:v>
      </x:c>
    </x:row>
    <x:row r="9">
      <x:c r="A9" s="14" t="str">
        <x:v>周度</x:v>
      </x:c>
      <x:c r="B9" s="14" t="str">
        <x:v>每周</x:v>
      </x:c>
      <x:c r="C9" s="14" t="str">
        <x:v>清理待开票未到票红字</x:v>
      </x:c>
      <x:c r="D9" s="14" t="str">
        <x:v>AR和AP</x:v>
      </x:c>
      <x:c r="E9" s="14" t="str">
        <x:v>清单有责任人期限</x:v>
      </x:c>
      <x:c r="F9" s="14" t="str">
        <x:v>业务台账</x:v>
      </x:c>
      <x:c r="G9" s="14" t="str">
        <x:v>总账</x:v>
      </x:c>
      <x:c r="H9" s="14" t="str">
        <x:v>未开始</x:v>
      </x:c>
      <x:c r="I9" s="14" t="str">
        <x:v>关注高金额和账龄</x:v>
      </x:c>
    </x:row>
    <x:row r="10">
      <x:c r="A10" s="14" t="str">
        <x:v>月度</x:v>
      </x:c>
      <x:c r="B10" s="14" t="str">
        <x:v>D-5至D-1</x:v>
      </x:c>
      <x:c r="C10" s="14" t="str">
        <x:v>销售截止和税额预测</x:v>
      </x:c>
      <x:c r="D10" s="14" t="str">
        <x:v>税务</x:v>
      </x:c>
      <x:c r="E10" s="14" t="str">
        <x:v>形成销项预测</x:v>
      </x:c>
      <x:c r="F10" s="14" t="str">
        <x:v>销售验收</x:v>
      </x:c>
      <x:c r="G10" s="14" t="str">
        <x:v>主管</x:v>
      </x:c>
      <x:c r="H10" s="14" t="str">
        <x:v>未开始</x:v>
      </x:c>
      <x:c r="I10" s="14" t="str">
        <x:v>包含未开票收入</x:v>
      </x:c>
    </x:row>
    <x:row r="11">
      <x:c r="A11" s="14" t="str">
        <x:v>月度</x:v>
      </x:c>
      <x:c r="B11" s="14" t="str">
        <x:v>D+1至D+3</x:v>
      </x:c>
      <x:c r="C11" s="14" t="str">
        <x:v>暂估和进项池整理</x:v>
      </x:c>
      <x:c r="D11" s="14" t="str">
        <x:v>AP总账</x:v>
      </x:c>
      <x:c r="E11" s="14" t="str">
        <x:v>暂估进项状态清晰</x:v>
      </x:c>
      <x:c r="F11" s="14" t="str">
        <x:v>采购收货发票</x:v>
      </x:c>
      <x:c r="G11" s="14" t="str">
        <x:v>主管</x:v>
      </x:c>
      <x:c r="H11" s="14" t="str">
        <x:v>未开始</x:v>
      </x:c>
      <x:c r="I11" s="14" t="str">
        <x:v>暂估不确认进项</x:v>
      </x:c>
    </x:row>
    <x:row r="12">
      <x:c r="A12" s="14" t="str">
        <x:v>月度</x:v>
      </x:c>
      <x:c r="B12" s="14" t="str">
        <x:v>D+4至D+5</x:v>
      </x:c>
      <x:c r="C12" s="14" t="str">
        <x:v>账票税核对</x:v>
      </x:c>
      <x:c r="D12" s="14" t="str">
        <x:v>总账税务</x:v>
      </x:c>
      <x:c r="E12" s="14" t="str">
        <x:v>差异已解释</x:v>
      </x:c>
      <x:c r="F12" s="14" t="str">
        <x:v>ERP和申报底稿</x:v>
      </x:c>
      <x:c r="G12" s="14" t="str">
        <x:v>主管</x:v>
      </x:c>
      <x:c r="H12" s="14" t="str">
        <x:v>未开始</x:v>
      </x:c>
      <x:c r="I12" s="14" t="str">
        <x:v>保留差异台账</x:v>
      </x:c>
    </x:row>
    <x:row r="13">
      <x:c r="A13" s="14" t="str">
        <x:v>月度</x:v>
      </x:c>
      <x:c r="B13" s="14" t="str">
        <x:v>征期内</x:v>
      </x:c>
      <x:c r="C13" s="14" t="str">
        <x:v>申报缴款和归档</x:v>
      </x:c>
      <x:c r="D13" s="14" t="str">
        <x:v>税务资金</x:v>
      </x:c>
      <x:c r="E13" s="14" t="str">
        <x:v>回执完税回单齐全</x:v>
      </x:c>
      <x:c r="F13" s="14" t="str">
        <x:v>电子税务局银行</x:v>
      </x:c>
      <x:c r="G13" s="14" t="str">
        <x:v>主管</x:v>
      </x:c>
      <x:c r="H13" s="14" t="str">
        <x:v>未开始</x:v>
      </x:c>
      <x:c r="I13" s="14" t="str">
        <x:v>申报成功后检查扣款</x:v>
      </x:c>
    </x:row>
    <x:row r="14">
      <x:c r="A14" s="14" t="str">
        <x:v>季度</x:v>
      </x:c>
      <x:c r="B14" s="14" t="str">
        <x:v>季末</x:v>
      </x:c>
      <x:c r="C14" s="14" t="str">
        <x:v>企业所得税预缴</x:v>
      </x:c>
      <x:c r="D14" s="14" t="str">
        <x:v>总账税务</x:v>
      </x:c>
      <x:c r="E14" s="14" t="str">
        <x:v>累计数据可复算</x:v>
      </x:c>
      <x:c r="F14" s="14" t="str">
        <x:v>利润和调整台账</x:v>
      </x:c>
      <x:c r="G14" s="14" t="str">
        <x:v>主管</x:v>
      </x:c>
      <x:c r="H14" s="14" t="str">
        <x:v>未开始</x:v>
      </x:c>
      <x:c r="I14" s="14" t="str">
        <x:v>扣除前期已缴</x:v>
      </x:c>
    </x:row>
    <x:row r="15">
      <x:c r="A15" s="14" t="str">
        <x:v>季度</x:v>
      </x:c>
      <x:c r="B15" s="14" t="str">
        <x:v>依核定</x:v>
      </x:c>
      <x:c r="C15" s="14" t="str">
        <x:v>印花税等财产行为税</x:v>
      </x:c>
      <x:c r="D15" s="14" t="str">
        <x:v>税务</x:v>
      </x:c>
      <x:c r="E15" s="14" t="str">
        <x:v>税源与合同资产一致</x:v>
      </x:c>
      <x:c r="F15" s="14" t="str">
        <x:v>合同资产台账</x:v>
      </x:c>
      <x:c r="G15" s="14" t="str">
        <x:v>主管</x:v>
      </x:c>
      <x:c r="H15" s="14" t="str">
        <x:v>未开始</x:v>
      </x:c>
      <x:c r="I15" s="14" t="str">
        <x:v>地区差异</x:v>
      </x:c>
    </x:row>
    <x:row r="16">
      <x:c r="A16" s="14" t="str">
        <x:v>年度</x:v>
      </x:c>
      <x:c r="B16" s="14" t="str">
        <x:v>10月至12月</x:v>
      </x:c>
      <x:c r="C16" s="14" t="str">
        <x:v>汇算前资料清理</x:v>
      </x:c>
      <x:c r="D16" s="14" t="str">
        <x:v>总账税务</x:v>
      </x:c>
      <x:c r="E16" s="14" t="str">
        <x:v>缺失资料有行动计划</x:v>
      </x:c>
      <x:c r="F16" s="14" t="str">
        <x:v>全年台账</x:v>
      </x:c>
      <x:c r="G16" s="14" t="str">
        <x:v>主管</x:v>
      </x:c>
      <x:c r="H16" s="14" t="str">
        <x:v>未开始</x:v>
      </x:c>
      <x:c r="I16" s="14" t="str">
        <x:v>提前清理无票和损失</x:v>
      </x:c>
    </x:row>
    <x:row r="17">
      <x:c r="A17" s="14" t="str">
        <x:v>年度</x:v>
      </x:c>
      <x:c r="B17" s="14" t="str">
        <x:v>次年1月至5月</x:v>
      </x:c>
      <x:c r="C17" s="14" t="str">
        <x:v>企业所得税汇算</x:v>
      </x:c>
      <x:c r="D17" s="14" t="str">
        <x:v>税务</x:v>
      </x:c>
      <x:c r="E17" s="14" t="str">
        <x:v>申报补退税归档</x:v>
      </x:c>
      <x:c r="F17" s="14" t="str">
        <x:v>年度财务和税务资料</x:v>
      </x:c>
      <x:c r="G17" s="14" t="str">
        <x:v>负责人</x:v>
      </x:c>
      <x:c r="H17" s="14" t="str">
        <x:v>未开始</x:v>
      </x:c>
      <x:c r="I17" s="14" t="str">
        <x:v>一般5月31日前</x:v>
      </x:c>
    </x:row>
    <x:row r="18">
      <x:c r="A18" s="14" t="str">
        <x:v>年度</x:v>
      </x:c>
      <x:c r="B18" s="14" t="str">
        <x:v>完成后</x:v>
      </x:c>
      <x:c r="C18" s="14" t="str">
        <x:v>税务档案和交接更新</x:v>
      </x:c>
      <x:c r="D18" s="14" t="str">
        <x:v>税务</x:v>
      </x:c>
      <x:c r="E18" s="14" t="str">
        <x:v>资料可检索可复算</x:v>
      </x:c>
      <x:c r="F18" s="14" t="str">
        <x:v>申报档案</x:v>
      </x:c>
      <x:c r="G18" s="14" t="str">
        <x:v>主管</x:v>
      </x:c>
      <x:c r="H18" s="14" t="str">
        <x:v>未开始</x:v>
      </x:c>
      <x:c r="I18" s="14" t="str">
        <x:v>保存版本和审批</x:v>
      </x:c>
    </x:row>
  </x:sheetData>
  <x:mergeCells>
    <x:mergeCell ref="A1:I1"/>
    <x:mergeCell ref="A2:I2"/>
  </x:mergeCells>
  <x:conditionalFormatting sqref="H6:H18">
    <x:cfRule type="containsText" dxfId="0" priority="1" operator="containsText" text="已完成"/>
    <x:cfRule type="containsText" dxfId="1" priority="2" operator="containsText" text="未开始"/>
    <x:cfRule type="containsText" dxfId="2" priority="3" operator="containsText" text="进行中"/>
  </x:conditionalFormatting>
  <x:dataValidations count="1">
    <x:dataValidation type="list" sqref="H6:H18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93baa8afe244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3" hidden="0" customWidth="1"/>
    <x:col min="4" max="4" width="22" hidden="0" customWidth="1"/>
    <x:col min="5" max="5" width="22" hidden="0" customWidth="1"/>
    <x:col min="6" max="6" width="11" hidden="0" customWidth="1"/>
    <x:col min="7" max="7" width="15" hidden="0" customWidth="1"/>
    <x:col min="8" max="8" width="24" hidden="0" customWidth="1"/>
    <x:col min="9" max="9" width="26" hidden="0" customWidth="1"/>
    <x:col min="10" max="10" width="12" hidden="0" customWidth="1"/>
    <x:col min="11" max="11" width="13" hidden="0" customWidth="1"/>
  </x:cols>
  <x:sheetData>
    <x:row r="1" ht="28" customHeight="1">
      <x:c r="A1" s="2" t="str">
        <x:v>月度税务工作清单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3" t="str">
        <x:v>案例公司2026年6月所属期，日期为内部计划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30" customHeight="1">
      <x:c r="A5" s="10" t="str">
        <x:v>事项</x:v>
      </x:c>
      <x:c r="B5" s="10" t="str">
        <x:v>责任人</x:v>
      </x:c>
      <x:c r="C5" s="10" t="str">
        <x:v>完成期限</x:v>
      </x:c>
      <x:c r="D5" s="10" t="str">
        <x:v>数据来源</x:v>
      </x:c>
      <x:c r="E5" s="10" t="str">
        <x:v>核对对象</x:v>
      </x:c>
      <x:c r="F5" s="10" t="str">
        <x:v>是否完成</x:v>
      </x:c>
      <x:c r="G5" s="10" t="str">
        <x:v>异常金额 万元</x:v>
      </x:c>
      <x:c r="H5" s="10" t="str">
        <x:v>异常原因</x:v>
      </x:c>
      <x:c r="I5" s="10" t="str">
        <x:v>处理方案</x:v>
      </x:c>
      <x:c r="J5" s="10" t="str">
        <x:v>复核人</x:v>
      </x:c>
      <x:c r="K5" s="10" t="str">
        <x:v>关闭日期</x:v>
      </x:c>
    </x:row>
    <x:row r="6">
      <x:c r="A6" s="14" t="str">
        <x:v>锁定申报税种与截止日</x:v>
      </x:c>
      <x:c r="B6" s="14" t="str">
        <x:v>税务会计</x:v>
      </x:c>
      <x:c r="C6" s="15" t="n">
        <x:v>46204</x:v>
      </x:c>
      <x:c r="D6" s="14" t="str">
        <x:v>税种核定和年度日历</x:v>
      </x:c>
      <x:c r="E6" s="14" t="str">
        <x:v>电子税务局待办</x:v>
      </x:c>
      <x:c r="F6" s="14" t="str">
        <x:v>未开始</x:v>
      </x:c>
      <x:c r="G6" s="23" t="n">
        <x:v>0</x:v>
      </x:c>
      <x:c r="H6" s="14" t="str"/>
      <x:c r="I6" s="14" t="str">
        <x:v>核对本月适用税种</x:v>
      </x:c>
      <x:c r="J6" s="14" t="str">
        <x:v>财务主管</x:v>
      </x:c>
      <x:c r="K6" s="15"/>
    </x:row>
    <x:row r="7">
      <x:c r="A7" s="14" t="str">
        <x:v>销售截止和未开票收入</x:v>
      </x:c>
      <x:c r="B7" s="14" t="str">
        <x:v>AR</x:v>
      </x:c>
      <x:c r="C7" s="15" t="n">
        <x:v>46205</x:v>
      </x:c>
      <x:c r="D7" s="14" t="str">
        <x:v>订单发货签收验收</x:v>
      </x:c>
      <x:c r="E7" s="14" t="str">
        <x:v>收入和销项税</x:v>
      </x:c>
      <x:c r="F7" s="14" t="str">
        <x:v>未开始</x:v>
      </x:c>
      <x:c r="G7" s="23" t="n">
        <x:v>0</x:v>
      </x:c>
      <x:c r="H7" s="14" t="str"/>
      <x:c r="I7" s="14" t="str">
        <x:v>形成未开票清单</x:v>
      </x:c>
      <x:c r="J7" s="14" t="str">
        <x:v>总账</x:v>
      </x:c>
      <x:c r="K7" s="15"/>
    </x:row>
    <x:row r="8">
      <x:c r="A8" s="14" t="str">
        <x:v>蓝字红字作废发票汇总</x:v>
      </x:c>
      <x:c r="B8" s="14" t="str">
        <x:v>AR</x:v>
      </x:c>
      <x:c r="C8" s="15" t="n">
        <x:v>46205</x:v>
      </x:c>
      <x:c r="D8" s="14" t="str">
        <x:v>开票平台</x:v>
      </x:c>
      <x:c r="E8" s="14" t="str">
        <x:v>销项发票与销售</x:v>
      </x:c>
      <x:c r="F8" s="14" t="str">
        <x:v>未开始</x:v>
      </x:c>
      <x:c r="G8" s="23" t="n">
        <x:v>0</x:v>
      </x:c>
      <x:c r="H8" s="14" t="str"/>
      <x:c r="I8" s="14" t="str">
        <x:v>按税率汇总</x:v>
      </x:c>
      <x:c r="J8" s="14" t="str">
        <x:v>总账</x:v>
      </x:c>
      <x:c r="K8" s="15"/>
    </x:row>
    <x:row r="9">
      <x:c r="A9" s="14" t="str">
        <x:v>采购收货和未到票暂估</x:v>
      </x:c>
      <x:c r="B9" s="14" t="str">
        <x:v>AP</x:v>
      </x:c>
      <x:c r="C9" s="15" t="n">
        <x:v>46206</x:v>
      </x:c>
      <x:c r="D9" s="14" t="str">
        <x:v>采购仓库</x:v>
      </x:c>
      <x:c r="E9" s="14" t="str">
        <x:v>AP暂估和存货</x:v>
      </x:c>
      <x:c r="F9" s="14" t="str">
        <x:v>未开始</x:v>
      </x:c>
      <x:c r="G9" s="23" t="n">
        <x:v>60</x:v>
      </x:c>
      <x:c r="H9" s="14" t="str">
        <x:v>第二批材料未到票</x:v>
      </x:c>
      <x:c r="I9" s="14" t="str">
        <x:v>登记并催票</x:v>
      </x:c>
      <x:c r="J9" s="14" t="str">
        <x:v>总账</x:v>
      </x:c>
      <x:c r="K9" s="15"/>
    </x:row>
    <x:row r="10">
      <x:c r="A10" s="14" t="str">
        <x:v>进项发票验真查重</x:v>
      </x:c>
      <x:c r="B10" s="14" t="str">
        <x:v>AP</x:v>
      </x:c>
      <x:c r="C10" s="15" t="n">
        <x:v>46206</x:v>
      </x:c>
      <x:c r="D10" s="14" t="str">
        <x:v>税务数字账户</x:v>
      </x:c>
      <x:c r="E10" s="14" t="str">
        <x:v>进项台账</x:v>
      </x:c>
      <x:c r="F10" s="14" t="str">
        <x:v>未开始</x:v>
      </x:c>
      <x:c r="G10" s="23" t="n">
        <x:v>0</x:v>
      </x:c>
      <x:c r="H10" s="14" t="str"/>
      <x:c r="I10" s="14" t="str">
        <x:v>异常票冻结</x:v>
      </x:c>
      <x:c r="J10" s="14" t="str">
        <x:v>税务会计</x:v>
      </x:c>
      <x:c r="K10" s="15"/>
    </x:row>
    <x:row r="11">
      <x:c r="A11" s="14" t="str">
        <x:v>进项用途确认</x:v>
      </x:c>
      <x:c r="B11" s="14" t="str">
        <x:v>税务会计</x:v>
      </x:c>
      <x:c r="C11" s="15" t="n">
        <x:v>46209</x:v>
      </x:c>
      <x:c r="D11" s="14" t="str">
        <x:v>进项台账</x:v>
      </x:c>
      <x:c r="E11" s="14" t="str">
        <x:v>用途确认数据</x:v>
      </x:c>
      <x:c r="F11" s="14" t="str">
        <x:v>未开始</x:v>
      </x:c>
      <x:c r="G11" s="23" t="n">
        <x:v>0</x:v>
      </x:c>
      <x:c r="H11" s="14" t="str"/>
      <x:c r="I11" s="14" t="str">
        <x:v>确认可抵扣18.98</x:v>
      </x:c>
      <x:c r="J11" s="14" t="str">
        <x:v>财务主管</x:v>
      </x:c>
      <x:c r="K11" s="15"/>
    </x:row>
    <x:row r="12">
      <x:c r="A12" s="14" t="str">
        <x:v>进项转出检查</x:v>
      </x:c>
      <x:c r="B12" s="14" t="str">
        <x:v>总账</x:v>
      </x:c>
      <x:c r="C12" s="15" t="n">
        <x:v>46209</x:v>
      </x:c>
      <x:c r="D12" s="14" t="str">
        <x:v>领用和费用明细</x:v>
      </x:c>
      <x:c r="E12" s="14" t="str">
        <x:v>进项转出</x:v>
      </x:c>
      <x:c r="F12" s="14" t="str">
        <x:v>未开始</x:v>
      </x:c>
      <x:c r="G12" s="23" t="n">
        <x:v>2.6</x:v>
      </x:c>
      <x:c r="H12" s="14" t="str">
        <x:v>福利领料</x:v>
      </x:c>
      <x:c r="I12" s="14" t="str">
        <x:v>转出并留存领料单</x:v>
      </x:c>
      <x:c r="J12" s="14" t="str">
        <x:v>税务会计</x:v>
      </x:c>
      <x:c r="K12" s="15"/>
    </x:row>
    <x:row r="13">
      <x:c r="A13" s="14" t="str">
        <x:v>销项税测算</x:v>
      </x:c>
      <x:c r="B13" s="14" t="str">
        <x:v>税务会计</x:v>
      </x:c>
      <x:c r="C13" s="15" t="n">
        <x:v>46209</x:v>
      </x:c>
      <x:c r="D13" s="14" t="str">
        <x:v>销售和开票数据</x:v>
      </x:c>
      <x:c r="E13" s="14" t="str">
        <x:v>销项税明细</x:v>
      </x:c>
      <x:c r="F13" s="14" t="str">
        <x:v>未开始</x:v>
      </x:c>
      <x:c r="G13" s="23" t="n">
        <x:v>0</x:v>
      </x:c>
      <x:c r="H13" s="14" t="str"/>
      <x:c r="I13" s="14" t="str">
        <x:v>确认46.80</x:v>
      </x:c>
      <x:c r="J13" s="14" t="str">
        <x:v>财务主管</x:v>
      </x:c>
      <x:c r="K13" s="15"/>
    </x:row>
    <x:row r="14">
      <x:c r="A14" s="14" t="str">
        <x:v>应交税费明细核对</x:v>
      </x:c>
      <x:c r="B14" s="14" t="str">
        <x:v>总账</x:v>
      </x:c>
      <x:c r="C14" s="15" t="n">
        <x:v>46210</x:v>
      </x:c>
      <x:c r="D14" s="14" t="str">
        <x:v>总账和子模块</x:v>
      </x:c>
      <x:c r="E14" s="14" t="str">
        <x:v>增值税底稿</x:v>
      </x:c>
      <x:c r="F14" s="14" t="str">
        <x:v>未开始</x:v>
      </x:c>
      <x:c r="G14" s="23" t="n">
        <x:v>0</x:v>
      </x:c>
      <x:c r="H14" s="14" t="str"/>
      <x:c r="I14" s="14" t="str">
        <x:v>解释差异</x:v>
      </x:c>
      <x:c r="J14" s="14" t="str">
        <x:v>财务主管</x:v>
      </x:c>
      <x:c r="K14" s="15"/>
    </x:row>
    <x:row r="15">
      <x:c r="A15" s="14" t="str">
        <x:v>增值税申报表编制</x:v>
      </x:c>
      <x:c r="B15" s="14" t="str">
        <x:v>税务会计</x:v>
      </x:c>
      <x:c r="C15" s="15" t="n">
        <x:v>46211</x:v>
      </x:c>
      <x:c r="D15" s="14" t="str">
        <x:v>账票税底稿</x:v>
      </x:c>
      <x:c r="E15" s="14" t="str">
        <x:v>申报表</x:v>
      </x:c>
      <x:c r="F15" s="14" t="str">
        <x:v>未开始</x:v>
      </x:c>
      <x:c r="G15" s="23" t="n">
        <x:v>0</x:v>
      </x:c>
      <x:c r="H15" s="14" t="str"/>
      <x:c r="I15" s="14" t="str">
        <x:v>应纳24.82</x:v>
      </x:c>
      <x:c r="J15" s="14" t="str">
        <x:v>财务主管</x:v>
      </x:c>
      <x:c r="K15" s="15"/>
    </x:row>
    <x:row r="16">
      <x:c r="A16" s="14" t="str">
        <x:v>附加税费测算</x:v>
      </x:c>
      <x:c r="B16" s="14" t="str">
        <x:v>税务会计</x:v>
      </x:c>
      <x:c r="C16" s="15" t="n">
        <x:v>46211</x:v>
      </x:c>
      <x:c r="D16" s="14" t="str">
        <x:v>增值税应纳额</x:v>
      </x:c>
      <x:c r="E16" s="14" t="str">
        <x:v>附加申报</x:v>
      </x:c>
      <x:c r="F16" s="14" t="str">
        <x:v>未开始</x:v>
      </x:c>
      <x:c r="G16" s="23" t="n">
        <x:v>0</x:v>
      </x:c>
      <x:c r="H16" s="14" t="str"/>
      <x:c r="I16" s="14" t="str">
        <x:v>案例2.9784</x:v>
      </x:c>
      <x:c r="J16" s="14" t="str">
        <x:v>财务主管</x:v>
      </x:c>
      <x:c r="K16" s="15"/>
    </x:row>
    <x:row r="17">
      <x:c r="A17" s="14" t="str">
        <x:v>个税工资五方核对</x:v>
      </x:c>
      <x:c r="B17" s="14" t="str">
        <x:v>薪酬总账</x:v>
      </x:c>
      <x:c r="C17" s="15" t="n">
        <x:v>46211</x:v>
      </x:c>
      <x:c r="D17" s="14" t="str">
        <x:v>HR工资银行</x:v>
      </x:c>
      <x:c r="E17" s="14" t="str">
        <x:v>个税申报</x:v>
      </x:c>
      <x:c r="F17" s="14" t="str">
        <x:v>未开始</x:v>
      </x:c>
      <x:c r="G17" s="23" t="n">
        <x:v>0</x:v>
      </x:c>
      <x:c r="H17" s="14" t="str"/>
      <x:c r="I17" s="14" t="str">
        <x:v>代扣3.00</x:v>
      </x:c>
      <x:c r="J17" s="14" t="str">
        <x:v>财务主管</x:v>
      </x:c>
      <x:c r="K17" s="15"/>
    </x:row>
    <x:row r="18">
      <x:c r="A18" s="14" t="str">
        <x:v>主管复核批准</x:v>
      </x:c>
      <x:c r="B18" s="14" t="str">
        <x:v>财务主管</x:v>
      </x:c>
      <x:c r="C18" s="15" t="n">
        <x:v>46213</x:v>
      </x:c>
      <x:c r="D18" s="14" t="str">
        <x:v>申报批准包</x:v>
      </x:c>
      <x:c r="E18" s="14" t="str">
        <x:v>所有申报数据</x:v>
      </x:c>
      <x:c r="F18" s="14" t="str">
        <x:v>未开始</x:v>
      </x:c>
      <x:c r="G18" s="23" t="n">
        <x:v>0</x:v>
      </x:c>
      <x:c r="H18" s="14" t="str"/>
      <x:c r="I18" s="14" t="str">
        <x:v>签署复核结论</x:v>
      </x:c>
      <x:c r="J18" s="14" t="str">
        <x:v>财务负责人</x:v>
      </x:c>
      <x:c r="K18" s="15"/>
    </x:row>
    <x:row r="19">
      <x:c r="A19" s="14" t="str">
        <x:v>正式申报</x:v>
      </x:c>
      <x:c r="B19" s="14" t="str">
        <x:v>税务会计</x:v>
      </x:c>
      <x:c r="C19" s="15" t="n">
        <x:v>46216</x:v>
      </x:c>
      <x:c r="D19" s="14" t="str">
        <x:v>批准申报表</x:v>
      </x:c>
      <x:c r="E19" s="14" t="str">
        <x:v>电子税务局回执</x:v>
      </x:c>
      <x:c r="F19" s="14" t="str">
        <x:v>未开始</x:v>
      </x:c>
      <x:c r="G19" s="23" t="n">
        <x:v>0</x:v>
      </x:c>
      <x:c r="H19" s="14" t="str"/>
      <x:c r="I19" s="14" t="str">
        <x:v>保存回执</x:v>
      </x:c>
      <x:c r="J19" s="14" t="str">
        <x:v>财务主管</x:v>
      </x:c>
      <x:c r="K19" s="15"/>
    </x:row>
    <x:row r="20">
      <x:c r="A20" s="14" t="str">
        <x:v>税款缴纳</x:v>
      </x:c>
      <x:c r="B20" s="14" t="str">
        <x:v>资金</x:v>
      </x:c>
      <x:c r="C20" s="15" t="n">
        <x:v>46217</x:v>
      </x:c>
      <x:c r="D20" s="14" t="str">
        <x:v>申报结果</x:v>
      </x:c>
      <x:c r="E20" s="14" t="str">
        <x:v>银行和完税证明</x:v>
      </x:c>
      <x:c r="F20" s="14" t="str">
        <x:v>未开始</x:v>
      </x:c>
      <x:c r="G20" s="23" t="n">
        <x:v>0</x:v>
      </x:c>
      <x:c r="H20" s="14" t="str"/>
      <x:c r="I20" s="14" t="str">
        <x:v>确认扣款成功</x:v>
      </x:c>
      <x:c r="J20" s="14" t="str">
        <x:v>税务会计</x:v>
      </x:c>
      <x:c r="K20" s="15"/>
    </x:row>
    <x:row r="21">
      <x:c r="A21" s="14" t="str">
        <x:v>缴税账务处理</x:v>
      </x:c>
      <x:c r="B21" s="14" t="str">
        <x:v>总账</x:v>
      </x:c>
      <x:c r="C21" s="15" t="n">
        <x:v>46217</x:v>
      </x:c>
      <x:c r="D21" s="14" t="str">
        <x:v>银行回单</x:v>
      </x:c>
      <x:c r="E21" s="14" t="str">
        <x:v>应交税费余额</x:v>
      </x:c>
      <x:c r="F21" s="14" t="str">
        <x:v>未开始</x:v>
      </x:c>
      <x:c r="G21" s="23" t="n">
        <x:v>0</x:v>
      </x:c>
      <x:c r="H21" s="14" t="str"/>
      <x:c r="I21" s="14" t="str">
        <x:v>录入缴税凭证</x:v>
      </x:c>
      <x:c r="J21" s="14" t="str">
        <x:v>财务主管</x:v>
      </x:c>
      <x:c r="K21" s="15"/>
    </x:row>
    <x:row r="22">
      <x:c r="A22" s="14" t="str">
        <x:v>申报资料归档</x:v>
      </x:c>
      <x:c r="B22" s="14" t="str">
        <x:v>税务会计</x:v>
      </x:c>
      <x:c r="C22" s="15" t="n">
        <x:v>46218</x:v>
      </x:c>
      <x:c r="D22" s="14" t="str">
        <x:v>申报回执完税回单</x:v>
      </x:c>
      <x:c r="E22" s="14" t="str">
        <x:v>税务档案</x:v>
      </x:c>
      <x:c r="F22" s="14" t="str">
        <x:v>未开始</x:v>
      </x:c>
      <x:c r="G22" s="23" t="n">
        <x:v>0</x:v>
      </x:c>
      <x:c r="H22" s="14" t="str"/>
      <x:c r="I22" s="14" t="str">
        <x:v>按税种所属期归档</x:v>
      </x:c>
      <x:c r="J22" s="14" t="str">
        <x:v>财务主管</x:v>
      </x:c>
      <x:c r="K22" s="15"/>
    </x:row>
    <x:row r="23">
      <x:c r="A23" s="14" t="str">
        <x:v>异常事项关闭</x:v>
      </x:c>
      <x:c r="B23" s="14" t="str">
        <x:v>总账</x:v>
      </x:c>
      <x:c r="C23" s="15" t="n">
        <x:v>46218</x:v>
      </x:c>
      <x:c r="D23" s="14" t="str">
        <x:v>异常台账</x:v>
      </x:c>
      <x:c r="E23" s="14" t="str">
        <x:v>整改证据</x:v>
      </x:c>
      <x:c r="F23" s="14" t="str">
        <x:v>未开始</x:v>
      </x:c>
      <x:c r="G23" s="23" t="n">
        <x:v>60</x:v>
      </x:c>
      <x:c r="H23" s="14" t="str">
        <x:v>长期项目继续跟踪</x:v>
      </x:c>
      <x:c r="I23" s="14" t="str">
        <x:v>更新状态和期限</x:v>
      </x:c>
      <x:c r="J23" s="14" t="str">
        <x:v>财务主管</x:v>
      </x:c>
      <x:c r="K23" s="15"/>
    </x:row>
    <x:row r="24">
      <x:c r="A24" s="14" t="str">
        <x:v>下月税额预测</x:v>
      </x:c>
      <x:c r="B24" s="14" t="str">
        <x:v>税务会计</x:v>
      </x:c>
      <x:c r="C24" s="15" t="n">
        <x:v>46223</x:v>
      </x:c>
      <x:c r="D24" s="14" t="str">
        <x:v>滚动销售采购预测</x:v>
      </x:c>
      <x:c r="E24" s="14" t="str">
        <x:v>资金计划</x:v>
      </x:c>
      <x:c r="F24" s="14" t="str">
        <x:v>未开始</x:v>
      </x:c>
      <x:c r="G24" s="23" t="n">
        <x:v>0</x:v>
      </x:c>
      <x:c r="H24" s="14" t="str"/>
      <x:c r="I24" s="14" t="str">
        <x:v>提供资金部门</x:v>
      </x:c>
      <x:c r="J24" s="14" t="str">
        <x:v>财务主管</x:v>
      </x:c>
      <x:c r="K24" s="15"/>
    </x:row>
    <x:row r="25">
      <x:c r="A25" s="14" t="str">
        <x:v>权限和待办检查</x:v>
      </x:c>
      <x:c r="B25" s="14" t="str">
        <x:v>税务会计</x:v>
      </x:c>
      <x:c r="C25" s="15" t="n">
        <x:v>46223</x:v>
      </x:c>
      <x:c r="D25" s="14" t="str">
        <x:v>电子税务局</x:v>
      </x:c>
      <x:c r="E25" s="14" t="str">
        <x:v>办税权限</x:v>
      </x:c>
      <x:c r="F25" s="14" t="str">
        <x:v>未开始</x:v>
      </x:c>
      <x:c r="G25" s="23" t="n">
        <x:v>0</x:v>
      </x:c>
      <x:c r="H25" s="14" t="str"/>
      <x:c r="I25" s="14" t="str">
        <x:v>处理人员变化</x:v>
      </x:c>
      <x:c r="J25" s="14" t="str">
        <x:v>财务主管</x:v>
      </x:c>
      <x:c r="K25" s="15"/>
    </x:row>
  </x:sheetData>
  <x:mergeCells>
    <x:mergeCell ref="A1:K1"/>
    <x:mergeCell ref="A2:K2"/>
  </x:mergeCells>
  <x:conditionalFormatting sqref="F6:F25">
    <x:cfRule type="containsText" dxfId="3" priority="1" operator="containsText" text="已完成"/>
    <x:cfRule type="containsText" dxfId="4" priority="2" operator="containsText" text="未开始"/>
    <x:cfRule type="containsText" dxfId="5" priority="3" operator="containsText" text="进行中"/>
  </x:conditionalFormatting>
  <x:dataValidations count="1">
    <x:dataValidation type="list" sqref="F6:F25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1c4c6d83c44e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3" hidden="0" customWidth="1"/>
    <x:col min="4" max="4" width="22" hidden="0" customWidth="1"/>
    <x:col min="5" max="5" width="22" hidden="0" customWidth="1"/>
    <x:col min="6" max="6" width="11" hidden="0" customWidth="1"/>
    <x:col min="7" max="7" width="15" hidden="0" customWidth="1"/>
    <x:col min="8" max="8" width="24" hidden="0" customWidth="1"/>
    <x:col min="9" max="9" width="26" hidden="0" customWidth="1"/>
    <x:col min="10" max="10" width="12" hidden="0" customWidth="1"/>
    <x:col min="11" max="11" width="13" hidden="0" customWidth="1"/>
  </x:cols>
  <x:sheetData>
    <x:row r="1" ht="28" customHeight="1">
      <x:c r="A1" s="2" t="str">
        <x:v>季度税务工作清单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3" t="str">
        <x:v>企业所得税预缴、印花税和其他核定税费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30" customHeight="1">
      <x:c r="A5" s="10" t="str">
        <x:v>事项</x:v>
      </x:c>
      <x:c r="B5" s="10" t="str">
        <x:v>责任人</x:v>
      </x:c>
      <x:c r="C5" s="10" t="str">
        <x:v>完成期限</x:v>
      </x:c>
      <x:c r="D5" s="10" t="str">
        <x:v>数据来源</x:v>
      </x:c>
      <x:c r="E5" s="10" t="str">
        <x:v>核对对象</x:v>
      </x:c>
      <x:c r="F5" s="10" t="str">
        <x:v>是否完成</x:v>
      </x:c>
      <x:c r="G5" s="10" t="str">
        <x:v>异常金额 万元</x:v>
      </x:c>
      <x:c r="H5" s="10" t="str">
        <x:v>异常原因</x:v>
      </x:c>
      <x:c r="I5" s="10" t="str">
        <x:v>处理方案</x:v>
      </x:c>
      <x:c r="J5" s="10" t="str">
        <x:v>复核人</x:v>
      </x:c>
      <x:c r="K5" s="10" t="str">
        <x:v>关闭日期</x:v>
      </x:c>
    </x:row>
    <x:row r="6">
      <x:c r="A6" s="14" t="str">
        <x:v>季度利润表累计核对</x:v>
      </x:c>
      <x:c r="B6" s="14" t="str">
        <x:v>总账</x:v>
      </x:c>
      <x:c r="C6" s="15" t="n">
        <x:v>46209</x:v>
      </x:c>
      <x:c r="D6" s="14" t="str">
        <x:v>总账利润表</x:v>
      </x:c>
      <x:c r="E6" s="14" t="str">
        <x:v>A类预缴申报</x:v>
      </x:c>
      <x:c r="F6" s="14" t="str">
        <x:v>未开始</x:v>
      </x:c>
      <x:c r="G6" s="23" t="n">
        <x:v>0</x:v>
      </x:c>
      <x:c r="H6" s="14" t="str"/>
      <x:c r="I6" s="14" t="str">
        <x:v>确认累计利润170</x:v>
      </x:c>
      <x:c r="J6" s="14" t="str">
        <x:v>财务主管</x:v>
      </x:c>
      <x:c r="K6" s="15"/>
    </x:row>
    <x:row r="7">
      <x:c r="A7" s="14" t="str">
        <x:v>纳税调整台账更新</x:v>
      </x:c>
      <x:c r="B7" s="14" t="str">
        <x:v>税务会计</x:v>
      </x:c>
      <x:c r="C7" s="15" t="n">
        <x:v>46210</x:v>
      </x:c>
      <x:c r="D7" s="14" t="str">
        <x:v>费用资产研发台账</x:v>
      </x:c>
      <x:c r="E7" s="14" t="str">
        <x:v>应纳税所得额</x:v>
      </x:c>
      <x:c r="F7" s="14" t="str">
        <x:v>未开始</x:v>
      </x:c>
      <x:c r="G7" s="23" t="n">
        <x:v>0</x:v>
      </x:c>
      <x:c r="H7" s="14" t="str"/>
      <x:c r="I7" s="14" t="str">
        <x:v>调增13.2调减21</x:v>
      </x:c>
      <x:c r="J7" s="14" t="str">
        <x:v>财务主管</x:v>
      </x:c>
      <x:c r="K7" s="15"/>
    </x:row>
    <x:row r="8">
      <x:c r="A8" s="14" t="str">
        <x:v>研发费用资格和辅助账</x:v>
      </x:c>
      <x:c r="B8" s="14" t="str">
        <x:v>研发财务</x:v>
      </x:c>
      <x:c r="C8" s="15" t="n">
        <x:v>46210</x:v>
      </x:c>
      <x:c r="D8" s="14" t="str">
        <x:v>项目工时材料成果</x:v>
      </x:c>
      <x:c r="E8" s="14" t="str">
        <x:v>研发加计扣除</x:v>
      </x:c>
      <x:c r="F8" s="14" t="str">
        <x:v>未开始</x:v>
      </x:c>
      <x:c r="G8" s="23" t="n">
        <x:v>20</x:v>
      </x:c>
      <x:c r="H8" s="14" t="str"/>
      <x:c r="I8" s="14" t="str">
        <x:v>核验项目和归集</x:v>
      </x:c>
      <x:c r="J8" s="14" t="str">
        <x:v>税务经理</x:v>
      </x:c>
      <x:c r="K8" s="15"/>
    </x:row>
    <x:row r="9">
      <x:c r="A9" s="14" t="str">
        <x:v>业务招待费限额</x:v>
      </x:c>
      <x:c r="B9" s="14" t="str">
        <x:v>税务会计</x:v>
      </x:c>
      <x:c r="C9" s="15" t="n">
        <x:v>46210</x:v>
      </x:c>
      <x:c r="D9" s="14" t="str">
        <x:v>招待费和营业收入</x:v>
      </x:c>
      <x:c r="E9" s="14" t="str">
        <x:v>纳税调整</x:v>
      </x:c>
      <x:c r="F9" s="14" t="str">
        <x:v>未开始</x:v>
      </x:c>
      <x:c r="G9" s="23" t="n">
        <x:v>3.2</x:v>
      </x:c>
      <x:c r="H9" s="14" t="str"/>
      <x:c r="I9" s="14" t="str">
        <x:v>计算双限额</x:v>
      </x:c>
      <x:c r="J9" s="14" t="str">
        <x:v>财务主管</x:v>
      </x:c>
      <x:c r="K9" s="15"/>
    </x:row>
    <x:row r="10">
      <x:c r="A10" s="14" t="str">
        <x:v>资产折旧差异</x:v>
      </x:c>
      <x:c r="B10" s="14" t="str">
        <x:v>资产总账</x:v>
      </x:c>
      <x:c r="C10" s="15" t="n">
        <x:v>46211</x:v>
      </x:c>
      <x:c r="D10" s="14" t="str">
        <x:v>资产卡片</x:v>
      </x:c>
      <x:c r="E10" s="14" t="str">
        <x:v>税会差异</x:v>
      </x:c>
      <x:c r="F10" s="14" t="str">
        <x:v>未开始</x:v>
      </x:c>
      <x:c r="G10" s="23" t="n">
        <x:v>-1</x:v>
      </x:c>
      <x:c r="H10" s="14" t="str"/>
      <x:c r="I10" s="14" t="str">
        <x:v>更新会计税法折旧</x:v>
      </x:c>
      <x:c r="J10" s="14" t="str">
        <x:v>财务主管</x:v>
      </x:c>
      <x:c r="K10" s="15"/>
    </x:row>
    <x:row r="11">
      <x:c r="A11" s="14" t="str">
        <x:v>资产减值和损失</x:v>
      </x:c>
      <x:c r="B11" s="14" t="str">
        <x:v>总账</x:v>
      </x:c>
      <x:c r="C11" s="15" t="n">
        <x:v>46211</x:v>
      </x:c>
      <x:c r="D11" s="14" t="str">
        <x:v>减值和处置资料</x:v>
      </x:c>
      <x:c r="E11" s="14" t="str">
        <x:v>纳税调整</x:v>
      </x:c>
      <x:c r="F11" s="14" t="str">
        <x:v>未开始</x:v>
      </x:c>
      <x:c r="G11" s="23" t="n">
        <x:v>8</x:v>
      </x:c>
      <x:c r="H11" s="14" t="str"/>
      <x:c r="I11" s="14" t="str">
        <x:v>区分准备和实际损失</x:v>
      </x:c>
      <x:c r="J11" s="14" t="str">
        <x:v>财务主管</x:v>
      </x:c>
      <x:c r="K11" s="15"/>
    </x:row>
    <x:row r="12">
      <x:c r="A12" s="14" t="str">
        <x:v>以前年度亏损</x:v>
      </x:c>
      <x:c r="B12" s="14" t="str">
        <x:v>税务会计</x:v>
      </x:c>
      <x:c r="C12" s="15" t="n">
        <x:v>46211</x:v>
      </x:c>
      <x:c r="D12" s="14" t="str">
        <x:v>历年申报表</x:v>
      </x:c>
      <x:c r="E12" s="14" t="str">
        <x:v>亏损弥补</x:v>
      </x:c>
      <x:c r="F12" s="14" t="str">
        <x:v>不适用</x:v>
      </x:c>
      <x:c r="G12" s="23" t="n">
        <x:v>0</x:v>
      </x:c>
      <x:c r="H12" s="14" t="str"/>
      <x:c r="I12" s="14" t="str">
        <x:v>案例无可弥补亏损</x:v>
      </x:c>
      <x:c r="J12" s="14" t="str">
        <x:v>财务主管</x:v>
      </x:c>
      <x:c r="K12" s="15"/>
    </x:row>
    <x:row r="13">
      <x:c r="A13" s="14" t="str">
        <x:v>前期预缴核对</x:v>
      </x:c>
      <x:c r="B13" s="14" t="str">
        <x:v>税务会计</x:v>
      </x:c>
      <x:c r="C13" s="15" t="n">
        <x:v>46211</x:v>
      </x:c>
      <x:c r="D13" s="14" t="str">
        <x:v>一季度申报完税</x:v>
      </x:c>
      <x:c r="E13" s="14" t="str">
        <x:v>累计已缴</x:v>
      </x:c>
      <x:c r="F13" s="14" t="str">
        <x:v>未开始</x:v>
      </x:c>
      <x:c r="G13" s="23" t="n">
        <x:v>22.5</x:v>
      </x:c>
      <x:c r="H13" s="14" t="str"/>
      <x:c r="I13" s="14" t="str">
        <x:v>确认已缴22.5</x:v>
      </x:c>
      <x:c r="J13" s="14" t="str">
        <x:v>财务主管</x:v>
      </x:c>
      <x:c r="K13" s="15"/>
    </x:row>
    <x:row r="14">
      <x:c r="A14" s="14" t="str">
        <x:v>季度所得税测算</x:v>
      </x:c>
      <x:c r="B14" s="14" t="str">
        <x:v>税务会计</x:v>
      </x:c>
      <x:c r="C14" s="15" t="n">
        <x:v>46212</x:v>
      </x:c>
      <x:c r="D14" s="14" t="str">
        <x:v>利润和调整台账</x:v>
      </x:c>
      <x:c r="E14" s="14" t="str">
        <x:v>季度申报表</x:v>
      </x:c>
      <x:c r="F14" s="14" t="str">
        <x:v>未开始</x:v>
      </x:c>
      <x:c r="G14" s="23" t="n">
        <x:v>18.05</x:v>
      </x:c>
      <x:c r="H14" s="14" t="str"/>
      <x:c r="I14" s="14" t="str">
        <x:v>本季应补18.05</x:v>
      </x:c>
      <x:c r="J14" s="14" t="str">
        <x:v>财务主管</x:v>
      </x:c>
      <x:c r="K14" s="15"/>
    </x:row>
    <x:row r="15">
      <x:c r="A15" s="14" t="str">
        <x:v>印花税合同税源</x:v>
      </x:c>
      <x:c r="B15" s="14" t="str">
        <x:v>法务税务</x:v>
      </x:c>
      <x:c r="C15" s="15" t="n">
        <x:v>46212</x:v>
      </x:c>
      <x:c r="D15" s="14" t="str">
        <x:v>合同台账</x:v>
      </x:c>
      <x:c r="E15" s="14" t="str">
        <x:v>财产行为税申报</x:v>
      </x:c>
      <x:c r="F15" s="14" t="str">
        <x:v>未开始</x:v>
      </x:c>
      <x:c r="G15" s="23" t="n">
        <x:v>0</x:v>
      </x:c>
      <x:c r="H15" s="14" t="str"/>
      <x:c r="I15" s="14" t="str">
        <x:v>新增变更合同完整</x:v>
      </x:c>
      <x:c r="J15" s="14" t="str">
        <x:v>财务主管</x:v>
      </x:c>
      <x:c r="K15" s="15"/>
    </x:row>
    <x:row r="16">
      <x:c r="A16" s="14" t="str">
        <x:v>其他财产行为税</x:v>
      </x:c>
      <x:c r="B16" s="14" t="str">
        <x:v>税务会计</x:v>
      </x:c>
      <x:c r="C16" s="15" t="n">
        <x:v>46212</x:v>
      </x:c>
      <x:c r="D16" s="14" t="str">
        <x:v>资产环保台账</x:v>
      </x:c>
      <x:c r="E16" s="14" t="str">
        <x:v>税种核定</x:v>
      </x:c>
      <x:c r="F16" s="14" t="str">
        <x:v>未开始</x:v>
      </x:c>
      <x:c r="G16" s="23" t="n">
        <x:v>0</x:v>
      </x:c>
      <x:c r="H16" s="14" t="str"/>
      <x:c r="I16" s="14" t="str">
        <x:v>核对适用性</x:v>
      </x:c>
      <x:c r="J16" s="14" t="str">
        <x:v>财务主管</x:v>
      </x:c>
      <x:c r="K16" s="15"/>
    </x:row>
    <x:row r="17">
      <x:c r="A17" s="14" t="str">
        <x:v>主管批准和申报</x:v>
      </x:c>
      <x:c r="B17" s="14" t="str">
        <x:v>财务主管</x:v>
      </x:c>
      <x:c r="C17" s="15" t="n">
        <x:v>46213</x:v>
      </x:c>
      <x:c r="D17" s="14" t="str">
        <x:v>季度批准包</x:v>
      </x:c>
      <x:c r="E17" s="14" t="str">
        <x:v>电子税务局</x:v>
      </x:c>
      <x:c r="F17" s="14" t="str">
        <x:v>未开始</x:v>
      </x:c>
      <x:c r="G17" s="23" t="n">
        <x:v>0</x:v>
      </x:c>
      <x:c r="H17" s="14" t="str"/>
      <x:c r="I17" s="14" t="str">
        <x:v>保存批准和回执</x:v>
      </x:c>
      <x:c r="J17" s="14" t="str">
        <x:v>财务负责人</x:v>
      </x:c>
      <x:c r="K17" s="15"/>
    </x:row>
    <x:row r="18">
      <x:c r="A18" s="14" t="str">
        <x:v>季度缴款归档</x:v>
      </x:c>
      <x:c r="B18" s="14" t="str">
        <x:v>资金税务</x:v>
      </x:c>
      <x:c r="C18" s="15" t="n">
        <x:v>46217</x:v>
      </x:c>
      <x:c r="D18" s="14" t="str">
        <x:v>回执和银行</x:v>
      </x:c>
      <x:c r="E18" s="14" t="str">
        <x:v>应交税费</x:v>
      </x:c>
      <x:c r="F18" s="14" t="str">
        <x:v>未开始</x:v>
      </x:c>
      <x:c r="G18" s="23" t="n">
        <x:v>18.05</x:v>
      </x:c>
      <x:c r="H18" s="14" t="str"/>
      <x:c r="I18" s="14" t="str">
        <x:v>完税回单归档</x:v>
      </x:c>
      <x:c r="J18" s="14" t="str">
        <x:v>财务主管</x:v>
      </x:c>
      <x:c r="K18" s="15"/>
    </x:row>
    <x:row r="19">
      <x:c r="A19" s="14" t="str">
        <x:v>季度问题复盘</x:v>
      </x:c>
      <x:c r="B19" s="14" t="str">
        <x:v>财务主管</x:v>
      </x:c>
      <x:c r="C19" s="15" t="n">
        <x:v>46223</x:v>
      </x:c>
      <x:c r="D19" s="14" t="str">
        <x:v>异常和差异台账</x:v>
      </x:c>
      <x:c r="E19" s="14" t="str">
        <x:v>整改计划</x:v>
      </x:c>
      <x:c r="F19" s="14" t="str">
        <x:v>未开始</x:v>
      </x:c>
      <x:c r="G19" s="23" t="n">
        <x:v>0</x:v>
      </x:c>
      <x:c r="H19" s="14" t="str"/>
      <x:c r="I19" s="14" t="str">
        <x:v>责任期限明确</x:v>
      </x:c>
      <x:c r="J19" s="14" t="str">
        <x:v>财务负责人</x:v>
      </x:c>
      <x:c r="K19" s="15"/>
    </x:row>
  </x:sheetData>
  <x:mergeCells>
    <x:mergeCell ref="A1:K1"/>
    <x:mergeCell ref="A2:K2"/>
  </x:mergeCells>
  <x:conditionalFormatting sqref="F6:F19">
    <x:cfRule type="containsText" dxfId="6" priority="1" operator="containsText" text="已完成"/>
    <x:cfRule type="containsText" dxfId="7" priority="2" operator="containsText" text="未开始"/>
    <x:cfRule type="containsText" dxfId="8" priority="3" operator="containsText" text="进行中"/>
  </x:conditionalFormatting>
  <x:dataValidations count="1">
    <x:dataValidation type="list" sqref="F6:F19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d77cb862f0493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3" hidden="0" customWidth="1"/>
    <x:col min="4" max="4" width="22" hidden="0" customWidth="1"/>
    <x:col min="5" max="5" width="22" hidden="0" customWidth="1"/>
    <x:col min="6" max="6" width="11" hidden="0" customWidth="1"/>
    <x:col min="7" max="7" width="15" hidden="0" customWidth="1"/>
    <x:col min="8" max="8" width="24" hidden="0" customWidth="1"/>
    <x:col min="9" max="9" width="26" hidden="0" customWidth="1"/>
    <x:col min="10" max="10" width="12" hidden="0" customWidth="1"/>
    <x:col min="11" max="11" width="13" hidden="0" customWidth="1"/>
  </x:cols>
  <x:sheetData>
    <x:row r="1" ht="28" customHeight="1">
      <x:c r="A1" s="2" t="str">
        <x:v>年度税务工作清单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 ht="22" customHeight="1">
      <x:c r="A2" s="33" t="str">
        <x:v>企业所得税汇算清缴、优惠、资产损失和年度归档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</x:row>
    <x:row r="5" ht="30" customHeight="1">
      <x:c r="A5" s="10" t="str">
        <x:v>事项</x:v>
      </x:c>
      <x:c r="B5" s="10" t="str">
        <x:v>责任人</x:v>
      </x:c>
      <x:c r="C5" s="10" t="str">
        <x:v>完成期限</x:v>
      </x:c>
      <x:c r="D5" s="10" t="str">
        <x:v>数据来源</x:v>
      </x:c>
      <x:c r="E5" s="10" t="str">
        <x:v>核对对象</x:v>
      </x:c>
      <x:c r="F5" s="10" t="str">
        <x:v>是否完成</x:v>
      </x:c>
      <x:c r="G5" s="10" t="str">
        <x:v>异常金额 万元</x:v>
      </x:c>
      <x:c r="H5" s="10" t="str">
        <x:v>异常原因</x:v>
      </x:c>
      <x:c r="I5" s="10" t="str">
        <x:v>处理方案</x:v>
      </x:c>
      <x:c r="J5" s="10" t="str">
        <x:v>复核人</x:v>
      </x:c>
      <x:c r="K5" s="10" t="str">
        <x:v>关闭日期</x:v>
      </x:c>
    </x:row>
    <x:row r="6">
      <x:c r="A6" s="14" t="str">
        <x:v>政策和申报表版本更新</x:v>
      </x:c>
      <x:c r="B6" s="14" t="str">
        <x:v>税务会计</x:v>
      </x:c>
      <x:c r="C6" s="15" t="n">
        <x:v>46326</x:v>
      </x:c>
      <x:c r="D6" s="14" t="str">
        <x:v>官方法规</x:v>
      </x:c>
      <x:c r="E6" s="14" t="str">
        <x:v>年度工作底稿</x:v>
      </x:c>
      <x:c r="F6" s="14" t="str">
        <x:v>未开始</x:v>
      </x:c>
      <x:c r="G6" s="23" t="n">
        <x:v>0</x:v>
      </x:c>
      <x:c r="H6" s="14" t="str"/>
      <x:c r="I6" s="14" t="str">
        <x:v>建立版本表</x:v>
      </x:c>
      <x:c r="J6" s="14" t="str">
        <x:v>财务主管</x:v>
      </x:c>
      <x:c r="K6" s="15"/>
    </x:row>
    <x:row r="7">
      <x:c r="A7" s="14" t="str">
        <x:v>无票支出清理</x:v>
      </x:c>
      <x:c r="B7" s="14" t="str">
        <x:v>AP总账</x:v>
      </x:c>
      <x:c r="C7" s="15" t="n">
        <x:v>46371</x:v>
      </x:c>
      <x:c r="D7" s="14" t="str">
        <x:v>未到票台账</x:v>
      </x:c>
      <x:c r="E7" s="14" t="str">
        <x:v>税前扣除凭证</x:v>
      </x:c>
      <x:c r="F7" s="14" t="str">
        <x:v>未开始</x:v>
      </x:c>
      <x:c r="G7" s="23" t="n">
        <x:v>0</x:v>
      </x:c>
      <x:c r="H7" s="14" t="str"/>
      <x:c r="I7" s="14" t="str">
        <x:v>催票和补救资料</x:v>
      </x:c>
      <x:c r="J7" s="14" t="str">
        <x:v>财务主管</x:v>
      </x:c>
      <x:c r="K7" s="15"/>
    </x:row>
    <x:row r="8">
      <x:c r="A8" s="14" t="str">
        <x:v>研发辅助账全年复核</x:v>
      </x:c>
      <x:c r="B8" s="14" t="str">
        <x:v>研发财务</x:v>
      </x:c>
      <x:c r="C8" s="15" t="n">
        <x:v>46376</x:v>
      </x:c>
      <x:c r="D8" s="14" t="str">
        <x:v>项目工时材料</x:v>
      </x:c>
      <x:c r="E8" s="14" t="str">
        <x:v>加计扣除</x:v>
      </x:c>
      <x:c r="F8" s="14" t="str">
        <x:v>未开始</x:v>
      </x:c>
      <x:c r="G8" s="23" t="n">
        <x:v>0</x:v>
      </x:c>
      <x:c r="H8" s="14" t="str"/>
      <x:c r="I8" s="14" t="str">
        <x:v>项目级复算</x:v>
      </x:c>
      <x:c r="J8" s="14" t="str">
        <x:v>税务经理</x:v>
      </x:c>
      <x:c r="K8" s="15"/>
    </x:row>
    <x:row r="9">
      <x:c r="A9" s="14" t="str">
        <x:v>业务招待费广告费限额</x:v>
      </x:c>
      <x:c r="B9" s="14" t="str">
        <x:v>税务会计</x:v>
      </x:c>
      <x:c r="C9" s="15" t="n">
        <x:v>46407</x:v>
      </x:c>
      <x:c r="D9" s="14" t="str">
        <x:v>费用和收入</x:v>
      </x:c>
      <x:c r="E9" s="14" t="str">
        <x:v>纳税调整</x:v>
      </x:c>
      <x:c r="F9" s="14" t="str">
        <x:v>未开始</x:v>
      </x:c>
      <x:c r="G9" s="23" t="n">
        <x:v>0</x:v>
      </x:c>
      <x:c r="H9" s="14" t="str"/>
      <x:c r="I9" s="14" t="str">
        <x:v>计算本年及结转</x:v>
      </x:c>
      <x:c r="J9" s="14" t="str">
        <x:v>财务主管</x:v>
      </x:c>
      <x:c r="K9" s="15"/>
    </x:row>
    <x:row r="10">
      <x:c r="A10" s="14" t="str">
        <x:v>折旧摊销税会差异</x:v>
      </x:c>
      <x:c r="B10" s="14" t="str">
        <x:v>资产总账</x:v>
      </x:c>
      <x:c r="C10" s="15" t="n">
        <x:v>46407</x:v>
      </x:c>
      <x:c r="D10" s="14" t="str">
        <x:v>资产卡片</x:v>
      </x:c>
      <x:c r="E10" s="14" t="str">
        <x:v>纳税调整</x:v>
      </x:c>
      <x:c r="F10" s="14" t="str">
        <x:v>未开始</x:v>
      </x:c>
      <x:c r="G10" s="23" t="n">
        <x:v>0</x:v>
      </x:c>
      <x:c r="H10" s="14" t="str"/>
      <x:c r="I10" s="14" t="str">
        <x:v>逐项滚动</x:v>
      </x:c>
      <x:c r="J10" s="14" t="str">
        <x:v>财务主管</x:v>
      </x:c>
      <x:c r="K10" s="15"/>
    </x:row>
    <x:row r="11">
      <x:c r="A11" s="14" t="str">
        <x:v>资产损失资料</x:v>
      </x:c>
      <x:c r="B11" s="14" t="str">
        <x:v>资产总账</x:v>
      </x:c>
      <x:c r="C11" s="15" t="n">
        <x:v>46418</x:v>
      </x:c>
      <x:c r="D11" s="14" t="str">
        <x:v>盘点处置诉讼资料</x:v>
      </x:c>
      <x:c r="E11" s="14" t="str">
        <x:v>税前扣除</x:v>
      </x:c>
      <x:c r="F11" s="14" t="str">
        <x:v>未开始</x:v>
      </x:c>
      <x:c r="G11" s="23" t="n">
        <x:v>0</x:v>
      </x:c>
      <x:c r="H11" s="14" t="str"/>
      <x:c r="I11" s="14" t="str">
        <x:v>证据清单完整</x:v>
      </x:c>
      <x:c r="J11" s="14" t="str">
        <x:v>财务主管</x:v>
      </x:c>
      <x:c r="K11" s="15"/>
    </x:row>
    <x:row r="12">
      <x:c r="A12" s="14" t="str">
        <x:v>以前年度亏损</x:v>
      </x:c>
      <x:c r="B12" s="14" t="str">
        <x:v>税务会计</x:v>
      </x:c>
      <x:c r="C12" s="15" t="n">
        <x:v>46418</x:v>
      </x:c>
      <x:c r="D12" s="14" t="str">
        <x:v>历年申报</x:v>
      </x:c>
      <x:c r="E12" s="14" t="str">
        <x:v>弥补余额</x:v>
      </x:c>
      <x:c r="F12" s="14" t="str">
        <x:v>未开始</x:v>
      </x:c>
      <x:c r="G12" s="23" t="n">
        <x:v>0</x:v>
      </x:c>
      <x:c r="H12" s="14" t="str"/>
      <x:c r="I12" s="14" t="str">
        <x:v>核对到期年度</x:v>
      </x:c>
      <x:c r="J12" s="14" t="str">
        <x:v>财务主管</x:v>
      </x:c>
      <x:c r="K12" s="15"/>
    </x:row>
    <x:row r="13">
      <x:c r="A13" s="14" t="str">
        <x:v>税收优惠资格</x:v>
      </x:c>
      <x:c r="B13" s="14" t="str">
        <x:v>税务经理</x:v>
      </x:c>
      <x:c r="C13" s="15" t="n">
        <x:v>46433</x:v>
      </x:c>
      <x:c r="D13" s="14" t="str">
        <x:v>资质和项目资料</x:v>
      </x:c>
      <x:c r="E13" s="14" t="str">
        <x:v>优惠申报</x:v>
      </x:c>
      <x:c r="F13" s="14" t="str">
        <x:v>未开始</x:v>
      </x:c>
      <x:c r="G13" s="23" t="n">
        <x:v>0</x:v>
      </x:c>
      <x:c r="H13" s="14" t="str"/>
      <x:c r="I13" s="14" t="str">
        <x:v>条件逐项核验</x:v>
      </x:c>
      <x:c r="J13" s="14" t="str">
        <x:v>财务负责人</x:v>
      </x:c>
      <x:c r="K13" s="15"/>
    </x:row>
    <x:row r="14">
      <x:c r="A14" s="14" t="str">
        <x:v>关联交易和关联申报</x:v>
      </x:c>
      <x:c r="B14" s="14" t="str">
        <x:v>税务经理</x:v>
      </x:c>
      <x:c r="C14" s="15" t="n">
        <x:v>46446</x:v>
      </x:c>
      <x:c r="D14" s="14" t="str">
        <x:v>关联方和交易台账</x:v>
      </x:c>
      <x:c r="E14" s="14" t="str">
        <x:v>关联申报</x:v>
      </x:c>
      <x:c r="F14" s="14" t="str">
        <x:v>未开始</x:v>
      </x:c>
      <x:c r="G14" s="23" t="n">
        <x:v>0</x:v>
      </x:c>
      <x:c r="H14" s="14" t="str"/>
      <x:c r="I14" s="14" t="str">
        <x:v>范围金额一致</x:v>
      </x:c>
      <x:c r="J14" s="14" t="str">
        <x:v>财务负责人</x:v>
      </x:c>
      <x:c r="K14" s="15"/>
    </x:row>
    <x:row r="15">
      <x:c r="A15" s="14" t="str">
        <x:v>年度财务报表定稿</x:v>
      </x:c>
      <x:c r="B15" s="14" t="str">
        <x:v>总账</x:v>
      </x:c>
      <x:c r="C15" s="15" t="n">
        <x:v>46477</x:v>
      </x:c>
      <x:c r="D15" s="14" t="str">
        <x:v>审计和关账</x:v>
      </x:c>
      <x:c r="E15" s="14" t="str">
        <x:v>所得税申报</x:v>
      </x:c>
      <x:c r="F15" s="14" t="str">
        <x:v>未开始</x:v>
      </x:c>
      <x:c r="G15" s="23" t="n">
        <x:v>0</x:v>
      </x:c>
      <x:c r="H15" s="14" t="str"/>
      <x:c r="I15" s="14" t="str">
        <x:v>审计调整同步</x:v>
      </x:c>
      <x:c r="J15" s="14" t="str">
        <x:v>财务主管</x:v>
      </x:c>
      <x:c r="K15" s="15"/>
    </x:row>
    <x:row r="16">
      <x:c r="A16" s="14" t="str">
        <x:v>汇算清缴底稿</x:v>
      </x:c>
      <x:c r="B16" s="14" t="str">
        <x:v>税务会计</x:v>
      </x:c>
      <x:c r="C16" s="15" t="n">
        <x:v>46492</x:v>
      </x:c>
      <x:c r="D16" s="14" t="str">
        <x:v>总账和全部台账</x:v>
      </x:c>
      <x:c r="E16" s="14" t="str">
        <x:v>年度申报表</x:v>
      </x:c>
      <x:c r="F16" s="14" t="str">
        <x:v>未开始</x:v>
      </x:c>
      <x:c r="G16" s="23" t="n">
        <x:v>0</x:v>
      </x:c>
      <x:c r="H16" s="14" t="str"/>
      <x:c r="I16" s="14" t="str">
        <x:v>可追溯可复算</x:v>
      </x:c>
      <x:c r="J16" s="14" t="str">
        <x:v>财务主管</x:v>
      </x:c>
      <x:c r="K16" s="15"/>
    </x:row>
    <x:row r="17">
      <x:c r="A17" s="14" t="str">
        <x:v>风险扫描和更正</x:v>
      </x:c>
      <x:c r="B17" s="14" t="str">
        <x:v>税务经理</x:v>
      </x:c>
      <x:c r="C17" s="15" t="n">
        <x:v>46507</x:v>
      </x:c>
      <x:c r="D17" s="14" t="str">
        <x:v>年度申报草表</x:v>
      </x:c>
      <x:c r="E17" s="14" t="str">
        <x:v>历史申报</x:v>
      </x:c>
      <x:c r="F17" s="14" t="str">
        <x:v>未开始</x:v>
      </x:c>
      <x:c r="G17" s="23" t="n">
        <x:v>0</x:v>
      </x:c>
      <x:c r="H17" s="14" t="str"/>
      <x:c r="I17" s="14" t="str">
        <x:v>重大问题处理</x:v>
      </x:c>
      <x:c r="J17" s="14" t="str">
        <x:v>财务负责人</x:v>
      </x:c>
      <x:c r="K17" s="15"/>
    </x:row>
    <x:row r="18">
      <x:c r="A18" s="14" t="str">
        <x:v>批准年度申报</x:v>
      </x:c>
      <x:c r="B18" s="14" t="str">
        <x:v>财务负责人</x:v>
      </x:c>
      <x:c r="C18" s="15" t="n">
        <x:v>46522</x:v>
      </x:c>
      <x:c r="D18" s="14" t="str">
        <x:v>申报批准包</x:v>
      </x:c>
      <x:c r="E18" s="14" t="str">
        <x:v>年度申报表</x:v>
      </x:c>
      <x:c r="F18" s="14" t="str">
        <x:v>未开始</x:v>
      </x:c>
      <x:c r="G18" s="23" t="n">
        <x:v>0</x:v>
      </x:c>
      <x:c r="H18" s="14" t="str"/>
      <x:c r="I18" s="14" t="str">
        <x:v>签署批准</x:v>
      </x:c>
      <x:c r="J18" s="14" t="str">
        <x:v>管理层</x:v>
      </x:c>
      <x:c r="K18" s="15"/>
    </x:row>
    <x:row r="19">
      <x:c r="A19" s="14" t="str">
        <x:v>申报补退税</x:v>
      </x:c>
      <x:c r="B19" s="14" t="str">
        <x:v>税务会计</x:v>
      </x:c>
      <x:c r="C19" s="15" t="n">
        <x:v>46532</x:v>
      </x:c>
      <x:c r="D19" s="14" t="str">
        <x:v>批准申报</x:v>
      </x:c>
      <x:c r="E19" s="14" t="str">
        <x:v>完税退税</x:v>
      </x:c>
      <x:c r="F19" s="14" t="str">
        <x:v>未开始</x:v>
      </x:c>
      <x:c r="G19" s="23" t="n">
        <x:v>0</x:v>
      </x:c>
      <x:c r="H19" s="14" t="str"/>
      <x:c r="I19" s="14" t="str">
        <x:v>完成申报缴税</x:v>
      </x:c>
      <x:c r="J19" s="14" t="str">
        <x:v>财务负责人</x:v>
      </x:c>
      <x:c r="K19" s="15"/>
    </x:row>
    <x:row r="20">
      <x:c r="A20" s="14" t="str">
        <x:v>年度资料归档</x:v>
      </x:c>
      <x:c r="B20" s="14" t="str">
        <x:v>税务会计</x:v>
      </x:c>
      <x:c r="C20" s="15" t="n">
        <x:v>46553</x:v>
      </x:c>
      <x:c r="D20" s="14" t="str">
        <x:v>申报回执底稿</x:v>
      </x:c>
      <x:c r="E20" s="14" t="str">
        <x:v>税务档案</x:v>
      </x:c>
      <x:c r="F20" s="14" t="str">
        <x:v>未开始</x:v>
      </x:c>
      <x:c r="G20" s="23" t="n">
        <x:v>0</x:v>
      </x:c>
      <x:c r="H20" s="14" t="str"/>
      <x:c r="I20" s="14" t="str">
        <x:v>目录完整</x:v>
      </x:c>
      <x:c r="J20" s="14" t="str">
        <x:v>财务主管</x:v>
      </x:c>
      <x:c r="K20" s="15"/>
    </x:row>
    <x:row r="21">
      <x:c r="A21" s="14" t="str">
        <x:v>制度和控制更新</x:v>
      </x:c>
      <x:c r="B21" s="14" t="str">
        <x:v>财务主管</x:v>
      </x:c>
      <x:c r="C21" s="15" t="n">
        <x:v>46568</x:v>
      </x:c>
      <x:c r="D21" s="14" t="str">
        <x:v>问题复盘</x:v>
      </x:c>
      <x:c r="E21" s="14" t="str">
        <x:v>下一年度流程</x:v>
      </x:c>
      <x:c r="F21" s="14" t="str">
        <x:v>未开始</x:v>
      </x:c>
      <x:c r="G21" s="23" t="n">
        <x:v>0</x:v>
      </x:c>
      <x:c r="H21" s="14" t="str"/>
      <x:c r="I21" s="14" t="str">
        <x:v>完成改进</x:v>
      </x:c>
      <x:c r="J21" s="14" t="str">
        <x:v>财务负责人</x:v>
      </x:c>
      <x:c r="K21" s="15"/>
    </x:row>
  </x:sheetData>
  <x:mergeCells>
    <x:mergeCell ref="A1:K1"/>
    <x:mergeCell ref="A2:K2"/>
  </x:mergeCells>
  <x:conditionalFormatting sqref="F6:F21">
    <x:cfRule type="containsText" dxfId="9" priority="1" operator="containsText" text="已完成"/>
    <x:cfRule type="containsText" dxfId="10" priority="2" operator="containsText" text="未开始"/>
    <x:cfRule type="containsText" dxfId="11" priority="3" operator="containsText" text="进行中"/>
  </x:conditionalFormatting>
  <x:dataValidations count="1">
    <x:dataValidation type="list" sqref="F6:F21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c7d0fe785d498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0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2" hidden="0" customWidth="1"/>
    <x:col min="12" max="12" width="24" hidden="0" customWidth="1"/>
    <x:col min="13" max="13" width="26" hidden="0" customWidth="1"/>
  </x:cols>
  <x:sheetData>
    <x:row r="1" ht="28" customHeight="1">
      <x:c r="A1" s="2" t="str">
        <x:v>增值税账票税核对表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</x:row>
    <x:row r="2" ht="22" customHeight="1">
      <x:c r="A2" s="33" t="str">
        <x:v>案例公司2026年6月，金额单位万元；黄色单元格为可更新输入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</x:row>
    <x:row r="5" ht="30" customHeight="1">
      <x:c r="A5" s="10" t="str">
        <x:v>类别</x:v>
      </x:c>
      <x:c r="B5" s="10" t="str">
        <x:v>业务事项</x:v>
      </x:c>
      <x:c r="C5" s="10" t="str">
        <x:v>业务金额 不含税</x:v>
      </x:c>
      <x:c r="D5" s="10" t="str">
        <x:v>开票金额 不含税</x:v>
      </x:c>
      <x:c r="E5" s="10" t="str">
        <x:v>账面金额 不含税</x:v>
      </x:c>
      <x:c r="F5" s="10" t="str">
        <x:v>税率</x:v>
      </x:c>
      <x:c r="G5" s="10" t="str">
        <x:v>发票税额</x:v>
      </x:c>
      <x:c r="H5" s="10" t="str">
        <x:v>账面税额</x:v>
      </x:c>
      <x:c r="I5" s="10" t="str">
        <x:v>用途确认税额</x:v>
      </x:c>
      <x:c r="J5" s="10" t="str">
        <x:v>申报税额</x:v>
      </x:c>
      <x:c r="K5" s="10" t="str">
        <x:v>差异</x:v>
      </x:c>
      <x:c r="L5" s="10" t="str">
        <x:v>原因</x:v>
      </x:c>
      <x:c r="M5" s="10" t="str">
        <x:v>处理</x:v>
      </x:c>
    </x:row>
    <x:row r="6">
      <x:c r="A6" s="14" t="str">
        <x:v>销项</x:v>
      </x:c>
      <x:c r="B6" s="14" t="str">
        <x:v>正常销售</x:v>
      </x:c>
      <x:c r="C6" s="27" t="n">
        <x:v>300</x:v>
      </x:c>
      <x:c r="D6" s="27" t="n">
        <x:v>300</x:v>
      </x:c>
      <x:c r="E6" s="27" t="n">
        <x:v>300</x:v>
      </x:c>
      <x:c r="F6" s="27" t="n">
        <x:v>0.13</x:v>
      </x:c>
      <x:c r="G6" s="27" t="n">
        <x:v>39</x:v>
      </x:c>
      <x:c r="H6" s="27" t="n">
        <x:v>39</x:v>
      </x:c>
      <x:c r="I6" s="27"/>
      <x:c r="J6" s="27" t="n">
        <x:v>39</x:v>
      </x:c>
      <x:c r="K6" s="28" t="n">
        <x:f>H6-J6</x:f>
        <x:v>0</x:v>
      </x:c>
      <x:c r="L6" s="14" t="str"/>
      <x:c r="M6" s="14" t="str"/>
    </x:row>
    <x:row r="7">
      <x:c r="A7" s="14" t="str">
        <x:v>销项</x:v>
      </x:c>
      <x:c r="B7" s="14" t="str">
        <x:v>未开票销售</x:v>
      </x:c>
      <x:c r="C7" s="27" t="n">
        <x:v>80</x:v>
      </x:c>
      <x:c r="D7" s="27" t="n">
        <x:v>0</x:v>
      </x:c>
      <x:c r="E7" s="27" t="n">
        <x:v>80</x:v>
      </x:c>
      <x:c r="F7" s="27" t="n">
        <x:v>0.13</x:v>
      </x:c>
      <x:c r="G7" s="27" t="n">
        <x:v>0</x:v>
      </x:c>
      <x:c r="H7" s="27" t="n">
        <x:v>10.4</x:v>
      </x:c>
      <x:c r="I7" s="27"/>
      <x:c r="J7" s="27" t="n">
        <x:v>10.4</x:v>
      </x:c>
      <x:c r="K7" s="28" t="n">
        <x:f>H7-J7</x:f>
        <x:v>0</x:v>
      </x:c>
      <x:c r="L7" s="14" t="str">
        <x:v>已验收取得收款权</x:v>
      </x:c>
      <x:c r="M7" s="14" t="str">
        <x:v>申报未开票销售</x:v>
      </x:c>
    </x:row>
    <x:row r="8">
      <x:c r="A8" s="14" t="str">
        <x:v>销项</x:v>
      </x:c>
      <x:c r="B8" s="14" t="str">
        <x:v>退货红字</x:v>
      </x:c>
      <x:c r="C8" s="27" t="n">
        <x:v>-20</x:v>
      </x:c>
      <x:c r="D8" s="27" t="n">
        <x:v>-20</x:v>
      </x:c>
      <x:c r="E8" s="27" t="n">
        <x:v>-20</x:v>
      </x:c>
      <x:c r="F8" s="27" t="n">
        <x:v>0.13</x:v>
      </x:c>
      <x:c r="G8" s="27" t="n">
        <x:v>-2.6</x:v>
      </x:c>
      <x:c r="H8" s="27" t="n">
        <x:v>-2.6</x:v>
      </x:c>
      <x:c r="I8" s="27"/>
      <x:c r="J8" s="27" t="n">
        <x:v>-2.6</x:v>
      </x:c>
      <x:c r="K8" s="28" t="n">
        <x:f>H8-J8</x:f>
        <x:v>0</x:v>
      </x:c>
      <x:c r="L8" s="14" t="str">
        <x:v>销售退货</x:v>
      </x:c>
      <x:c r="M8" s="14" t="str">
        <x:v>关联蓝字和退货单</x:v>
      </x:c>
    </x:row>
    <x:row r="9">
      <x:c r="A9" s="14" t="str">
        <x:v>进项</x:v>
      </x:c>
      <x:c r="B9" s="14" t="str">
        <x:v>材料专票</x:v>
      </x:c>
      <x:c r="C9" s="27" t="n">
        <x:v>100</x:v>
      </x:c>
      <x:c r="D9" s="27" t="n">
        <x:v>100</x:v>
      </x:c>
      <x:c r="E9" s="27" t="n">
        <x:v>100</x:v>
      </x:c>
      <x:c r="F9" s="27" t="n">
        <x:v>0.13</x:v>
      </x:c>
      <x:c r="G9" s="27" t="n">
        <x:v>13</x:v>
      </x:c>
      <x:c r="H9" s="27" t="n">
        <x:v>13</x:v>
      </x:c>
      <x:c r="I9" s="27" t="n">
        <x:v>13</x:v>
      </x:c>
      <x:c r="J9" s="27" t="n">
        <x:v>13</x:v>
      </x:c>
      <x:c r="K9" s="28" t="n">
        <x:f>H9-J9</x:f>
        <x:v>0</x:v>
      </x:c>
      <x:c r="L9" s="14" t="str"/>
      <x:c r="M9" s="14" t="str"/>
    </x:row>
    <x:row r="10">
      <x:c r="A10" s="14" t="str">
        <x:v>进项</x:v>
      </x:c>
      <x:c r="B10" s="14" t="str">
        <x:v>设备专票</x:v>
      </x:c>
      <x:c r="C10" s="27" t="n">
        <x:v>50</x:v>
      </x:c>
      <x:c r="D10" s="27" t="n">
        <x:v>50</x:v>
      </x:c>
      <x:c r="E10" s="27" t="n">
        <x:v>50</x:v>
      </x:c>
      <x:c r="F10" s="27" t="n">
        <x:v>0.13</x:v>
      </x:c>
      <x:c r="G10" s="27" t="n">
        <x:v>6.5</x:v>
      </x:c>
      <x:c r="H10" s="27" t="n">
        <x:v>6.5</x:v>
      </x:c>
      <x:c r="I10" s="27" t="n">
        <x:v>6.5</x:v>
      </x:c>
      <x:c r="J10" s="27" t="n">
        <x:v>6.5</x:v>
      </x:c>
      <x:c r="K10" s="28" t="n">
        <x:f>H10-J10</x:f>
        <x:v>0</x:v>
      </x:c>
      <x:c r="L10" s="14" t="str"/>
      <x:c r="M10" s="14" t="str"/>
    </x:row>
    <x:row r="11">
      <x:c r="A11" s="14" t="str">
        <x:v>进项</x:v>
      </x:c>
      <x:c r="B11" s="14" t="str">
        <x:v>咨询服务</x:v>
      </x:c>
      <x:c r="C11" s="27" t="n">
        <x:v>10</x:v>
      </x:c>
      <x:c r="D11" s="27" t="n">
        <x:v>10</x:v>
      </x:c>
      <x:c r="E11" s="27" t="n">
        <x:v>10</x:v>
      </x:c>
      <x:c r="F11" s="27" t="n">
        <x:v>0.06</x:v>
      </x:c>
      <x:c r="G11" s="27" t="n">
        <x:v>0.6</x:v>
      </x:c>
      <x:c r="H11" s="27" t="n">
        <x:v>0.6</x:v>
      </x:c>
      <x:c r="I11" s="27" t="n">
        <x:v>0.6</x:v>
      </x:c>
      <x:c r="J11" s="27" t="n">
        <x:v>0.6</x:v>
      </x:c>
      <x:c r="K11" s="28" t="n">
        <x:f>H11-J11</x:f>
        <x:v>0</x:v>
      </x:c>
      <x:c r="L11" s="14" t="str"/>
      <x:c r="M11" s="14" t="str"/>
    </x:row>
    <x:row r="12">
      <x:c r="A12" s="14" t="str">
        <x:v>进项</x:v>
      </x:c>
      <x:c r="B12" s="14" t="str">
        <x:v>差旅凭证</x:v>
      </x:c>
      <x:c r="C12" s="27" t="n">
        <x:v>2</x:v>
      </x:c>
      <x:c r="D12" s="27" t="n">
        <x:v>2</x:v>
      </x:c>
      <x:c r="E12" s="27" t="n">
        <x:v>2</x:v>
      </x:c>
      <x:c r="F12" s="27" t="n">
        <x:v>0.09</x:v>
      </x:c>
      <x:c r="G12" s="27" t="n">
        <x:v>0.18</x:v>
      </x:c>
      <x:c r="H12" s="27" t="n">
        <x:v>0.18</x:v>
      </x:c>
      <x:c r="I12" s="27" t="n">
        <x:v>0.18</x:v>
      </x:c>
      <x:c r="J12" s="27" t="n">
        <x:v>0.18</x:v>
      </x:c>
      <x:c r="K12" s="28" t="n">
        <x:f>H12-J12</x:f>
        <x:v>0</x:v>
      </x:c>
      <x:c r="L12" s="14" t="str">
        <x:v>简化案例</x:v>
      </x:c>
      <x:c r="M12" s="14" t="str">
        <x:v>逐票按凭证规则</x:v>
      </x:c>
    </x:row>
    <x:row r="13">
      <x:c r="A13" s="14" t="str">
        <x:v>进项</x:v>
      </x:c>
      <x:c r="B13" s="14" t="str">
        <x:v>生产水电</x:v>
      </x:c>
      <x:c r="C13" s="27" t="n">
        <x:v>10</x:v>
      </x:c>
      <x:c r="D13" s="27" t="n">
        <x:v>10</x:v>
      </x:c>
      <x:c r="E13" s="27" t="n">
        <x:v>10</x:v>
      </x:c>
      <x:c r="F13" s="27" t="n">
        <x:v>0.13</x:v>
      </x:c>
      <x:c r="G13" s="27" t="n">
        <x:v>1.3</x:v>
      </x:c>
      <x:c r="H13" s="27" t="n">
        <x:v>1.3</x:v>
      </x:c>
      <x:c r="I13" s="27" t="n">
        <x:v>1.3</x:v>
      </x:c>
      <x:c r="J13" s="27" t="n">
        <x:v>1.3</x:v>
      </x:c>
      <x:c r="K13" s="28" t="n">
        <x:f>H13-J13</x:f>
        <x:v>0</x:v>
      </x:c>
      <x:c r="L13" s="14" t="str"/>
      <x:c r="M13" s="14" t="str"/>
    </x:row>
    <x:row r="14">
      <x:c r="A14" s="14" t="str">
        <x:v>转出</x:v>
      </x:c>
      <x:c r="B14" s="14" t="str">
        <x:v>福利领料</x:v>
      </x:c>
      <x:c r="C14" s="27" t="n">
        <x:v>20</x:v>
      </x:c>
      <x:c r="D14" s="27" t="n">
        <x:v>20</x:v>
      </x:c>
      <x:c r="E14" s="27" t="n">
        <x:v>20</x:v>
      </x:c>
      <x:c r="F14" s="27" t="n">
        <x:v>0.13</x:v>
      </x:c>
      <x:c r="G14" s="27" t="n">
        <x:v>2.6</x:v>
      </x:c>
      <x:c r="H14" s="27" t="n">
        <x:v>2.6</x:v>
      </x:c>
      <x:c r="I14" s="27"/>
      <x:c r="J14" s="27" t="n">
        <x:v>2.6</x:v>
      </x:c>
      <x:c r="K14" s="28" t="n">
        <x:f>H14-J14</x:f>
        <x:v>0</x:v>
      </x:c>
      <x:c r="L14" s="14" t="str">
        <x:v>改变用途</x:v>
      </x:c>
      <x:c r="M14" s="14" t="str">
        <x:v>进项转出</x:v>
      </x:c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 ht="30" customHeight="1">
      <x:c r="A17" s="10" t="str">
        <x:v>增值税汇总</x:v>
      </x:c>
      <x:c r="B17" s="10" t="str">
        <x:v>金额</x:v>
      </x:c>
      <x:c r="C17" s="10" t="str">
        <x:v>计算</x:v>
      </x:c>
      <x:c r="D17" s="10" t="str">
        <x:v>核对结果</x:v>
      </x:c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14" t="str">
        <x:v>销项税额</x:v>
      </x:c>
      <x:c r="B18" s="29" t="n">
        <x:f>SUMIF(A6:A14,"销项",J6:J14)</x:f>
        <x:v>46.8</x:v>
      </x:c>
      <x:c r="C18" s="14" t="str">
        <x:v>39+10.4-2.6</x:v>
      </x:c>
      <x:c r="D18" s="14" t="str">
        <x:f>IF(ABS(B18-46.8)&lt;0.001,"一致","检查")</x:f>
        <x:v>一致</x:v>
      </x:c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14" t="str">
        <x:v>进项取得</x:v>
      </x:c>
      <x:c r="B19" s="29" t="n">
        <x:f>SUMIF(A6:A14,"进项",J6:J14)</x:f>
        <x:v>21.580000000000002</x:v>
      </x:c>
      <x:c r="C19" s="14" t="str">
        <x:v>13+6.5+0.6+0.18+1.3</x:v>
      </x:c>
      <x:c r="D19" s="14" t="str">
        <x:f>IF(ABS(B19-21.58)&lt;0.001,"一致","检查")</x:f>
        <x:v>一致</x:v>
      </x:c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14" t="str">
        <x:v>进项转出</x:v>
      </x:c>
      <x:c r="B20" s="29" t="n">
        <x:f>SUMIF(A6:A14,"转出",J6:J14)</x:f>
        <x:v>2.6</x:v>
      </x:c>
      <x:c r="C20" s="14" t="str">
        <x:v>福利用途</x:v>
      </x:c>
      <x:c r="D20" s="14" t="str">
        <x:f>IF(ABS(B20-2.6)&lt;0.001,"一致","检查")</x:f>
        <x:v>一致</x:v>
      </x:c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14" t="str">
        <x:v>可抵扣进项</x:v>
      </x:c>
      <x:c r="B21" s="29" t="n">
        <x:f>B19-B20</x:f>
        <x:v>18.98</x:v>
      </x:c>
      <x:c r="C21" s="14" t="str">
        <x:v>进项取得减转出</x:v>
      </x:c>
      <x:c r="D21" s="14" t="str">
        <x:f>IF(ABS(B21-18.98)&lt;0.001,"一致","检查")</x:f>
        <x:v>一致</x:v>
      </x:c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14" t="str">
        <x:v>期初留抵</x:v>
      </x:c>
      <x:c r="B22" s="29" t="n">
        <x:f>3</x:f>
        <x:v>3</x:v>
      </x:c>
      <x:c r="C22" s="14" t="str">
        <x:v>上期申报表</x:v>
      </x:c>
      <x:c r="D22" s="14" t="str">
        <x:f>IF(B22=3,"一致","检查")</x:f>
        <x:v>一致</x:v>
      </x:c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14" t="str">
        <x:v>应纳增值税</x:v>
      </x:c>
      <x:c r="B23" s="29" t="n">
        <x:f>B18-B21-B22</x:f>
        <x:v>24.819999999999997</x:v>
      </x:c>
      <x:c r="C23" s="14" t="str">
        <x:v>销项减可抵扣减留抵</x:v>
      </x:c>
      <x:c r="D23" s="14" t="str">
        <x:f>IF(ABS(B23-24.82)&lt;0.001,"一致","检查")</x:f>
        <x:v>一致</x:v>
      </x:c>
      <x:c r="E23" s="32"/>
      <x:c r="F23" s="32"/>
      <x:c r="G23" s="32"/>
      <x:c r="H23" s="32"/>
      <x:c r="I23" s="32"/>
      <x:c r="J23" s="32"/>
      <x:c r="K23" s="32"/>
      <x:c r="L23" s="32"/>
      <x:c r="M23" s="32"/>
    </x:row>
  </x:sheetData>
  <x:mergeCells>
    <x:mergeCell ref="A1:M1"/>
    <x:mergeCell ref="A2:M2"/>
  </x:mergeCells>
  <x:conditionalFormatting sqref="D18:D23">
    <x:cfRule type="containsText" dxfId="12" priority="1" operator="containsText" text="已完成"/>
    <x:cfRule type="containsText" dxfId="13" priority="2" operator="containsText" text="未开始"/>
    <x:cfRule type="containsText" dxfId="14" priority="3" operator="containsText" text="进行中"/>
  </x:conditionalFormatting>
  <x:pageMargins left="0.7" right="0.7" top="0.75" bottom="0.75" header="0.3" footer="0.3"/>
  <x:tableParts count="1">
    <x:tablePart xmlns:r="http://schemas.openxmlformats.org/officeDocument/2006/relationships" r:id="R947974d0c041455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24" hidden="0" customWidth="1"/>
    <x:col min="7" max="7" width="24" hidden="0" customWidth="1"/>
    <x:col min="8" max="8" width="11" hidden="0" customWidth="1"/>
    <x:col min="9" max="9" width="12" hidden="0" customWidth="1"/>
    <x:col min="10" max="10" width="28" hidden="0" customWidth="1"/>
  </x:cols>
  <x:sheetData>
    <x:row r="1" ht="28" customHeight="1">
      <x:c r="A1" s="2" t="str">
        <x:v>企业所得税检查表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22" customHeight="1">
      <x:c r="A2" s="33" t="str">
        <x:v>2026年第二季度预缴案例，金额单位万元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</x:row>
    <x:row r="5" ht="30" customHeight="1">
      <x:c r="A5" s="10" t="str">
        <x:v>项目</x:v>
      </x:c>
      <x:c r="B5" s="10" t="str">
        <x:v>会计金额</x:v>
      </x:c>
      <x:c r="C5" s="10" t="str">
        <x:v>税务调整</x:v>
      </x:c>
      <x:c r="D5" s="10" t="str">
        <x:v>调整方向</x:v>
      </x:c>
      <x:c r="E5" s="10" t="str">
        <x:v>税务金额</x:v>
      </x:c>
      <x:c r="F5" s="10" t="str">
        <x:v>数据来源</x:v>
      </x:c>
      <x:c r="G5" s="10" t="str">
        <x:v>政策依据</x:v>
      </x:c>
      <x:c r="H5" s="10" t="str">
        <x:v>是否完成</x:v>
      </x:c>
      <x:c r="I5" s="10" t="str">
        <x:v>复核人</x:v>
      </x:c>
      <x:c r="J5" s="10" t="str">
        <x:v>备注</x:v>
      </x:c>
    </x:row>
    <x:row r="6">
      <x:c r="A6" s="14" t="str">
        <x:v>利润总额</x:v>
      </x:c>
      <x:c r="B6" s="23" t="n">
        <x:v>170</x:v>
      </x:c>
      <x:c r="C6" s="23" t="n">
        <x:v>0</x:v>
      </x:c>
      <x:c r="D6" s="23" t="str">
        <x:v>基础</x:v>
      </x:c>
      <x:c r="E6" s="23" t="n">
        <x:v>170</x:v>
      </x:c>
      <x:c r="F6" s="14" t="str">
        <x:v>累计利润表</x:v>
      </x:c>
      <x:c r="G6" s="14" t="str">
        <x:v>企业所得税法</x:v>
      </x:c>
      <x:c r="H6" s="14" t="str">
        <x:v>未开始</x:v>
      </x:c>
      <x:c r="I6" s="14" t="str">
        <x:v>财务主管</x:v>
      </x:c>
      <x:c r="J6" s="14" t="str"/>
    </x:row>
    <x:row r="7">
      <x:c r="A7" s="14" t="str">
        <x:v>业务招待费</x:v>
      </x:c>
      <x:c r="B7" s="23" t="n">
        <x:v>8</x:v>
      </x:c>
      <x:c r="C7" s="23" t="n">
        <x:v>3.2</x:v>
      </x:c>
      <x:c r="D7" s="23" t="str">
        <x:v>调增</x:v>
      </x:c>
      <x:c r="E7" s="23" t="n">
        <x:v>11.2</x:v>
      </x:c>
      <x:c r="F7" s="14" t="str">
        <x:v>费用和收入台账</x:v>
      </x:c>
      <x:c r="G7" s="14" t="str">
        <x:v>实施条例</x:v>
      </x:c>
      <x:c r="H7" s="14" t="str">
        <x:v>未开始</x:v>
      </x:c>
      <x:c r="I7" s="14" t="str">
        <x:v>财务主管</x:v>
      </x:c>
      <x:c r="J7" s="14" t="str">
        <x:v>扣除4.8</x:v>
      </x:c>
    </x:row>
    <x:row r="8">
      <x:c r="A8" s="14" t="str">
        <x:v>行政罚款</x:v>
      </x:c>
      <x:c r="B8" s="23" t="n">
        <x:v>2</x:v>
      </x:c>
      <x:c r="C8" s="23" t="n">
        <x:v>2</x:v>
      </x:c>
      <x:c r="D8" s="23" t="str">
        <x:v>调增</x:v>
      </x:c>
      <x:c r="E8" s="23" t="n">
        <x:v>4</x:v>
      </x:c>
      <x:c r="F8" s="14" t="str">
        <x:v>营业外支出</x:v>
      </x:c>
      <x:c r="G8" s="14" t="str">
        <x:v>企业所得税法</x:v>
      </x:c>
      <x:c r="H8" s="14" t="str">
        <x:v>未开始</x:v>
      </x:c>
      <x:c r="I8" s="14" t="str">
        <x:v>财务主管</x:v>
      </x:c>
      <x:c r="J8" s="14" t="str">
        <x:v>不得扣除</x:v>
      </x:c>
    </x:row>
    <x:row r="9">
      <x:c r="A9" s="14" t="str">
        <x:v>资产减值准备</x:v>
      </x:c>
      <x:c r="B9" s="23" t="n">
        <x:v>8</x:v>
      </x:c>
      <x:c r="C9" s="23" t="n">
        <x:v>8</x:v>
      </x:c>
      <x:c r="D9" s="23" t="str">
        <x:v>调增</x:v>
      </x:c>
      <x:c r="E9" s="23" t="n">
        <x:v>16</x:v>
      </x:c>
      <x:c r="F9" s="14" t="str">
        <x:v>减值台账</x:v>
      </x:c>
      <x:c r="G9" s="14" t="str">
        <x:v>资产损失规则</x:v>
      </x:c>
      <x:c r="H9" s="14" t="str">
        <x:v>未开始</x:v>
      </x:c>
      <x:c r="I9" s="14" t="str">
        <x:v>财务主管</x:v>
      </x:c>
      <x:c r="J9" s="14" t="str">
        <x:v>未实际损失</x:v>
      </x:c>
    </x:row>
    <x:row r="10">
      <x:c r="A10" s="14" t="str">
        <x:v>折旧差异</x:v>
      </x:c>
      <x:c r="B10" s="23" t="n">
        <x:v>0</x:v>
      </x:c>
      <x:c r="C10" s="23" t="n">
        <x:v>-1</x:v>
      </x:c>
      <x:c r="D10" s="23" t="str">
        <x:v>调减</x:v>
      </x:c>
      <x:c r="E10" s="23" t="n">
        <x:v>-1</x:v>
      </x:c>
      <x:c r="F10" s="14" t="str">
        <x:v>资产税会差异</x:v>
      </x:c>
      <x:c r="G10" s="14" t="str">
        <x:v>实施条例</x:v>
      </x:c>
      <x:c r="H10" s="14" t="str">
        <x:v>未开始</x:v>
      </x:c>
      <x:c r="I10" s="14" t="str">
        <x:v>财务主管</x:v>
      </x:c>
      <x:c r="J10" s="14" t="str">
        <x:v>税收折旧较多</x:v>
      </x:c>
    </x:row>
    <x:row r="11">
      <x:c r="A11" s="14" t="str">
        <x:v>研发费用加计扣除</x:v>
      </x:c>
      <x:c r="B11" s="23" t="n">
        <x:v>20</x:v>
      </x:c>
      <x:c r="C11" s="23" t="n">
        <x:v>-20</x:v>
      </x:c>
      <x:c r="D11" s="23" t="str">
        <x:v>调减</x:v>
      </x:c>
      <x:c r="E11" s="23" t="n">
        <x:v>0</x:v>
      </x:c>
      <x:c r="F11" s="14" t="str">
        <x:v>研发辅助账</x:v>
      </x:c>
      <x:c r="G11" s="14" t="str">
        <x:v>2023年第7号</x:v>
      </x:c>
      <x:c r="H11" s="14" t="str">
        <x:v>未开始</x:v>
      </x:c>
      <x:c r="I11" s="14" t="str">
        <x:v>税务经理</x:v>
      </x:c>
      <x:c r="J11" s="14" t="str">
        <x:v>额外100%</x:v>
      </x:c>
    </x:row>
    <x:row r="12">
      <x:c r="A12" s="14" t="str">
        <x:v>以前年度亏损</x:v>
      </x:c>
      <x:c r="B12" s="23" t="n">
        <x:v>0</x:v>
      </x:c>
      <x:c r="C12" s="23" t="n">
        <x:v>0</x:v>
      </x:c>
      <x:c r="D12" s="23" t="str">
        <x:v>调减</x:v>
      </x:c>
      <x:c r="E12" s="23" t="n">
        <x:v>0</x:v>
      </x:c>
      <x:c r="F12" s="14" t="str">
        <x:v>历年申报</x:v>
      </x:c>
      <x:c r="G12" s="14" t="str">
        <x:v>企业所得税法</x:v>
      </x:c>
      <x:c r="H12" s="14" t="str">
        <x:v>不适用</x:v>
      </x:c>
      <x:c r="I12" s="14" t="str">
        <x:v>财务主管</x:v>
      </x:c>
      <x:c r="J12" s="14" t="str">
        <x:v>案例无余额</x:v>
      </x:c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 ht="30" customHeight="1">
      <x:c r="A15" s="10" t="str">
        <x:v>汇总</x:v>
      </x:c>
      <x:c r="B15" s="10" t="str">
        <x:v>金额</x:v>
      </x:c>
      <x:c r="C15" s="10" t="str">
        <x:v>公式</x:v>
      </x:c>
      <x:c r="D15" s="10" t="str">
        <x:v>结果</x:v>
      </x:c>
      <x:c r="E15" s="32"/>
      <x:c r="F15" s="32"/>
      <x:c r="G15" s="32"/>
      <x:c r="H15" s="32"/>
      <x:c r="I15" s="32"/>
      <x:c r="J15" s="32"/>
    </x:row>
    <x:row r="16">
      <x:c r="A16" s="14" t="str">
        <x:v>会计利润</x:v>
      </x:c>
      <x:c r="B16" s="29" t="n">
        <x:f>B6</x:f>
        <x:v>170</x:v>
      </x:c>
      <x:c r="C16" s="14" t="str">
        <x:v>利润表累计</x:v>
      </x:c>
      <x:c r="D16" s="14" t="str">
        <x:f>IF(B16=170,"一致","检查")</x:f>
        <x:v>一致</x:v>
      </x:c>
      <x:c r="E16" s="32"/>
      <x:c r="F16" s="32"/>
      <x:c r="G16" s="32"/>
      <x:c r="H16" s="32"/>
      <x:c r="I16" s="32"/>
      <x:c r="J16" s="32"/>
    </x:row>
    <x:row r="17">
      <x:c r="A17" s="14" t="str">
        <x:v>纳税调整净额</x:v>
      </x:c>
      <x:c r="B17" s="29" t="n">
        <x:f>SUM(C7:C12)</x:f>
        <x:v>-7.800000000000001</x:v>
      </x:c>
      <x:c r="C17" s="14" t="str">
        <x:v>调增与调减合计</x:v>
      </x:c>
      <x:c r="D17" s="14" t="str">
        <x:f>IF(ABS(B17+7.8)&lt;0.001,"一致","检查")</x:f>
        <x:v>一致</x:v>
      </x:c>
      <x:c r="E17" s="32"/>
      <x:c r="F17" s="32"/>
      <x:c r="G17" s="32"/>
      <x:c r="H17" s="32"/>
      <x:c r="I17" s="32"/>
      <x:c r="J17" s="32"/>
    </x:row>
    <x:row r="18">
      <x:c r="A18" s="14" t="str">
        <x:v>应纳税所得额</x:v>
      </x:c>
      <x:c r="B18" s="29" t="n">
        <x:f>B16+B17</x:f>
        <x:v>162.2</x:v>
      </x:c>
      <x:c r="C18" s="14" t="str">
        <x:v>利润加净调整</x:v>
      </x:c>
      <x:c r="D18" s="14" t="str">
        <x:f>IF(ABS(B18-162.2)&lt;0.001,"一致","检查")</x:f>
        <x:v>一致</x:v>
      </x:c>
      <x:c r="E18" s="32"/>
      <x:c r="F18" s="32"/>
      <x:c r="G18" s="32"/>
      <x:c r="H18" s="32"/>
      <x:c r="I18" s="32"/>
      <x:c r="J18" s="32"/>
    </x:row>
    <x:row r="19">
      <x:c r="A19" s="14" t="str">
        <x:v>累计应纳所得税</x:v>
      </x:c>
      <x:c r="B19" s="29" t="n">
        <x:f>B18*0.25</x:f>
        <x:v>40.55</x:v>
      </x:c>
      <x:c r="C19" s="14" t="str">
        <x:v>税率25%</x:v>
      </x:c>
      <x:c r="D19" s="14" t="str">
        <x:f>IF(ABS(B19-40.55)&lt;0.001,"一致","检查")</x:f>
        <x:v>一致</x:v>
      </x:c>
      <x:c r="E19" s="32"/>
      <x:c r="F19" s="32"/>
      <x:c r="G19" s="32"/>
      <x:c r="H19" s="32"/>
      <x:c r="I19" s="32"/>
      <x:c r="J19" s="32"/>
    </x:row>
    <x:row r="20">
      <x:c r="A20" s="14" t="str">
        <x:v>前期已预缴</x:v>
      </x:c>
      <x:c r="B20" s="29" t="n">
        <x:f>22.5</x:f>
        <x:v>22.5</x:v>
      </x:c>
      <x:c r="C20" s="14" t="str">
        <x:v>一季度申报</x:v>
      </x:c>
      <x:c r="D20" s="14" t="str">
        <x:f>IF(B20=22.5,"一致","检查")</x:f>
        <x:v>一致</x:v>
      </x:c>
      <x:c r="E20" s="32"/>
      <x:c r="F20" s="32"/>
      <x:c r="G20" s="32"/>
      <x:c r="H20" s="32"/>
      <x:c r="I20" s="32"/>
      <x:c r="J20" s="32"/>
    </x:row>
    <x:row r="21">
      <x:c r="A21" s="14" t="str">
        <x:v>本季应补</x:v>
      </x:c>
      <x:c r="B21" s="29" t="n">
        <x:f>B19-B20</x:f>
        <x:v>18.049999999999997</x:v>
      </x:c>
      <x:c r="C21" s="14" t="str">
        <x:v>累计税额减已缴</x:v>
      </x:c>
      <x:c r="D21" s="14" t="str">
        <x:f>IF(ABS(B21-18.05)&lt;0.001,"一致","检查")</x:f>
        <x:v>一致</x:v>
      </x:c>
      <x:c r="E21" s="32"/>
      <x:c r="F21" s="32"/>
      <x:c r="G21" s="32"/>
      <x:c r="H21" s="32"/>
      <x:c r="I21" s="32"/>
      <x:c r="J21" s="32"/>
    </x:row>
  </x:sheetData>
  <x:mergeCells>
    <x:mergeCell ref="A1:J1"/>
    <x:mergeCell ref="A2:J2"/>
  </x:mergeCells>
  <x:conditionalFormatting sqref="H6:H12">
    <x:cfRule type="containsText" dxfId="15" priority="1" operator="containsText" text="已完成"/>
    <x:cfRule type="containsText" dxfId="16" priority="2" operator="containsText" text="未开始"/>
    <x:cfRule type="containsText" dxfId="17" priority="3" operator="containsText" text="进行中"/>
  </x:conditionalFormatting>
  <x:dataValidations count="1">
    <x:dataValidation type="list" sqref="H6:H12">
      <x:formula1>"未开始,进行中,待复核,已完成,不适用"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f4c03a87b74c4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20" hidden="0" customWidth="1"/>
    <x:col min="5" max="5" width="24" hidden="0" customWidth="1"/>
    <x:col min="6" max="6" width="16" hidden="0" customWidth="1"/>
    <x:col min="7" max="7" width="15" hidden="0" customWidth="1"/>
    <x:col min="8" max="8" width="12" hidden="0" customWidth="1"/>
    <x:col min="9" max="9" width="24" hidden="0" customWidth="1"/>
    <x:col min="10" max="10" width="22" hidden="0" customWidth="1"/>
    <x:col min="11" max="11" width="22" hidden="0" customWidth="1"/>
    <x:col min="12" max="12" width="22" hidden="0" customWidth="1"/>
    <x:col min="13" max="13" width="12" hidden="0" customWidth="1"/>
    <x:col min="14" max="14" width="11" hidden="0" customWidth="1"/>
    <x:col min="15" max="15" width="12" hidden="0" customWidth="1"/>
    <x:col min="16" max="16" width="13" hidden="0" customWidth="1"/>
    <x:col min="17" max="17" width="26" hidden="0" customWidth="1"/>
  </x:cols>
  <x:sheetData>
    <x:row r="1" ht="28" customHeight="1">
      <x:c r="A1" s="2" t="str">
        <x:v>发票异常跟踪表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</x:row>
    <x:row r="2" ht="22" customHeight="1">
      <x:c r="A2" s="33" t="str">
        <x:v>所有异常必须有业务编号、处理动作、复核人和关闭证据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2"/>
      <x:c r="P3" s="32"/>
      <x:c r="Q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</x:row>
    <x:row r="5" ht="30" customHeight="1">
      <x:c r="A5" s="10" t="str">
        <x:v>异常编号</x:v>
      </x:c>
      <x:c r="B5" s="10" t="str">
        <x:v>发现日期</x:v>
      </x:c>
      <x:c r="C5" s="10" t="str">
        <x:v>业务编号</x:v>
      </x:c>
      <x:c r="D5" s="10" t="str">
        <x:v>发票号码</x:v>
      </x:c>
      <x:c r="E5" s="10" t="str">
        <x:v>供应商或客户</x:v>
      </x:c>
      <x:c r="F5" s="10" t="str">
        <x:v>异常类型</x:v>
      </x:c>
      <x:c r="G5" s="10" t="str">
        <x:v>价税金额 万元</x:v>
      </x:c>
      <x:c r="H5" s="10" t="str">
        <x:v>发现人</x:v>
      </x:c>
      <x:c r="I5" s="10" t="str">
        <x:v>异常原因</x:v>
      </x:c>
      <x:c r="J5" s="10" t="str">
        <x:v>系统处理</x:v>
      </x:c>
      <x:c r="K5" s="10" t="str">
        <x:v>会计处理</x:v>
      </x:c>
      <x:c r="L5" s="10" t="str">
        <x:v>税务处理</x:v>
      </x:c>
      <x:c r="M5" s="10" t="str">
        <x:v>责任人</x:v>
      </x:c>
      <x:c r="N5" s="10" t="str">
        <x:v>状态</x:v>
      </x:c>
      <x:c r="O5" s="10" t="str">
        <x:v>复核人</x:v>
      </x:c>
      <x:c r="P5" s="10" t="str">
        <x:v>关闭日期</x:v>
      </x:c>
      <x:c r="Q5" s="10" t="str">
        <x:v>证据位置</x:v>
      </x:c>
    </x:row>
    <x:row r="6">
      <x:c r="A6" s="14" t="str">
        <x:v>INV-001</x:v>
      </x:c>
      <x:c r="B6" s="15" t="n">
        <x:v>46186</x:v>
      </x:c>
      <x:c r="C6" s="14" t="str">
        <x:v>T03</x:v>
      </x:c>
      <x:c r="D6" s="14" t="str">
        <x:v>2606XXXX001</x:v>
      </x:c>
      <x:c r="E6" s="14" t="str">
        <x:v>苏州精密材料</x:v>
      </x:c>
      <x:c r="F6" s="14" t="str">
        <x:v>票面已核验</x:v>
      </x:c>
      <x:c r="G6" s="29" t="n">
        <x:v>113</x:v>
      </x:c>
      <x:c r="H6" s="14" t="str">
        <x:v>AP</x:v>
      </x:c>
      <x:c r="I6" s="14" t="str">
        <x:v>无异常</x:v>
      </x:c>
      <x:c r="J6" s="14" t="str">
        <x:v>已匹配</x:v>
      </x:c>
      <x:c r="K6" s="14" t="str">
        <x:v>已入账</x:v>
      </x:c>
      <x:c r="L6" s="14" t="str">
        <x:v>用途确认</x:v>
      </x:c>
      <x:c r="M6" s="14" t="str">
        <x:v>AP</x:v>
      </x:c>
      <x:c r="N6" s="14" t="str">
        <x:v>已关闭</x:v>
      </x:c>
      <x:c r="O6" s="14" t="str">
        <x:v>总账</x:v>
      </x:c>
      <x:c r="P6" s="15" t="n">
        <x:v>46186</x:v>
      </x:c>
      <x:c r="Q6" s="14" t="str">
        <x:v>采购档案/T03</x:v>
      </x:c>
    </x:row>
    <x:row r="7">
      <x:c r="A7" s="14" t="str">
        <x:v>INV-002</x:v>
      </x:c>
      <x:c r="B7" s="15" t="n">
        <x:v>46201</x:v>
      </x:c>
      <x:c r="C7" s="14" t="str">
        <x:v>T12</x:v>
      </x:c>
      <x:c r="D7" s="14" t="str">
        <x:v>2606XXXX009</x:v>
      </x:c>
      <x:c r="E7" s="14" t="str">
        <x:v>苏州精密材料</x:v>
      </x:c>
      <x:c r="F7" s="14" t="str">
        <x:v>用途改变</x:v>
      </x:c>
      <x:c r="G7" s="29" t="n">
        <x:v>22.6</x:v>
      </x:c>
      <x:c r="H7" s="14" t="str">
        <x:v>总账</x:v>
      </x:c>
      <x:c r="I7" s="14" t="str">
        <x:v>材料转职工福利</x:v>
      </x:c>
      <x:c r="J7" s="14" t="str">
        <x:v>标记转出</x:v>
      </x:c>
      <x:c r="K7" s="14" t="str">
        <x:v>计入职工薪酬</x:v>
      </x:c>
      <x:c r="L7" s="14" t="str">
        <x:v>进项转出2.6</x:v>
      </x:c>
      <x:c r="M7" s="14" t="str">
        <x:v>总账</x:v>
      </x:c>
      <x:c r="N7" s="14" t="str">
        <x:v>待复核</x:v>
      </x:c>
      <x:c r="O7" s="14" t="str">
        <x:v>税务会计</x:v>
      </x:c>
      <x:c r="P7" s="15"/>
      <x:c r="Q7" s="14" t="str">
        <x:v>领料单/T12</x:v>
      </x:c>
    </x:row>
    <x:row r="8">
      <x:c r="A8" s="14" t="str">
        <x:v>INV-003</x:v>
      </x:c>
      <x:c r="B8" s="15" t="n">
        <x:v>46203</x:v>
      </x:c>
      <x:c r="C8" s="14" t="str">
        <x:v>T04</x:v>
      </x:c>
      <x:c r="D8" s="14" t="str"/>
      <x:c r="E8" s="14" t="str">
        <x:v>无锡电子组件</x:v>
      </x:c>
      <x:c r="F8" s="14" t="str">
        <x:v>货到票未到</x:v>
      </x:c>
      <x:c r="G8" s="29" t="n">
        <x:v>60</x:v>
      </x:c>
      <x:c r="H8" s="14" t="str">
        <x:v>AP</x:v>
      </x:c>
      <x:c r="I8" s="14" t="str">
        <x:v>供应商未开票</x:v>
      </x:c>
      <x:c r="J8" s="14" t="str">
        <x:v>暂估入库</x:v>
      </x:c>
      <x:c r="K8" s="14" t="str">
        <x:v>原材料和暂估应付</x:v>
      </x:c>
      <x:c r="L8" s="14" t="str">
        <x:v>不确认进项</x:v>
      </x:c>
      <x:c r="M8" s="14" t="str">
        <x:v>采购</x:v>
      </x:c>
      <x:c r="N8" s="14" t="str">
        <x:v>进行中</x:v>
      </x:c>
      <x:c r="O8" s="14" t="str">
        <x:v>总账</x:v>
      </x:c>
      <x:c r="P8" s="15"/>
      <x:c r="Q8" s="14" t="str">
        <x:v>暂估台账/T04</x:v>
      </x:c>
    </x:row>
    <x:row r="9">
      <x:c r="A9" s="14"/>
      <x:c r="B9" s="15"/>
      <x:c r="C9" s="14"/>
      <x:c r="D9" s="14"/>
      <x:c r="E9" s="14"/>
      <x:c r="F9" s="14"/>
      <x:c r="G9" s="29"/>
      <x:c r="H9" s="14"/>
      <x:c r="I9" s="14"/>
      <x:c r="J9" s="14"/>
      <x:c r="K9" s="14"/>
      <x:c r="L9" s="14"/>
      <x:c r="M9" s="14"/>
      <x:c r="N9" s="14"/>
      <x:c r="O9" s="14"/>
      <x:c r="P9" s="15"/>
      <x:c r="Q9" s="14"/>
    </x:row>
    <x:row r="10">
      <x:c r="A10" s="14"/>
      <x:c r="B10" s="15"/>
      <x:c r="C10" s="14"/>
      <x:c r="D10" s="14"/>
      <x:c r="E10" s="14"/>
      <x:c r="F10" s="14"/>
      <x:c r="G10" s="29"/>
      <x:c r="H10" s="14"/>
      <x:c r="I10" s="14"/>
      <x:c r="J10" s="14"/>
      <x:c r="K10" s="14"/>
      <x:c r="L10" s="14"/>
      <x:c r="M10" s="14"/>
      <x:c r="N10" s="14"/>
      <x:c r="O10" s="14"/>
      <x:c r="P10" s="15"/>
      <x:c r="Q10" s="14"/>
    </x:row>
    <x:row r="11">
      <x:c r="A11" s="14"/>
      <x:c r="B11" s="15"/>
      <x:c r="C11" s="14"/>
      <x:c r="D11" s="14"/>
      <x:c r="E11" s="14"/>
      <x:c r="F11" s="14"/>
      <x:c r="G11" s="29"/>
      <x:c r="H11" s="14"/>
      <x:c r="I11" s="14"/>
      <x:c r="J11" s="14"/>
      <x:c r="K11" s="14"/>
      <x:c r="L11" s="14"/>
      <x:c r="M11" s="14"/>
      <x:c r="N11" s="14"/>
      <x:c r="O11" s="14"/>
      <x:c r="P11" s="15"/>
      <x:c r="Q11" s="14"/>
    </x:row>
    <x:row r="12">
      <x:c r="A12" s="14"/>
      <x:c r="B12" s="15"/>
      <x:c r="C12" s="14"/>
      <x:c r="D12" s="14"/>
      <x:c r="E12" s="14"/>
      <x:c r="F12" s="14"/>
      <x:c r="G12" s="29"/>
      <x:c r="H12" s="14"/>
      <x:c r="I12" s="14"/>
      <x:c r="J12" s="14"/>
      <x:c r="K12" s="14"/>
      <x:c r="L12" s="14"/>
      <x:c r="M12" s="14"/>
      <x:c r="N12" s="14"/>
      <x:c r="O12" s="14"/>
      <x:c r="P12" s="15"/>
      <x:c r="Q12" s="14"/>
    </x:row>
    <x:row r="13">
      <x:c r="A13" s="14"/>
      <x:c r="B13" s="15"/>
      <x:c r="C13" s="14"/>
      <x:c r="D13" s="14"/>
      <x:c r="E13" s="14"/>
      <x:c r="F13" s="14"/>
      <x:c r="G13" s="29"/>
      <x:c r="H13" s="14"/>
      <x:c r="I13" s="14"/>
      <x:c r="J13" s="14"/>
      <x:c r="K13" s="14"/>
      <x:c r="L13" s="14"/>
      <x:c r="M13" s="14"/>
      <x:c r="N13" s="14"/>
      <x:c r="O13" s="14"/>
      <x:c r="P13" s="15"/>
      <x:c r="Q13" s="14"/>
    </x:row>
    <x:row r="14">
      <x:c r="A14" s="14"/>
      <x:c r="B14" s="15"/>
      <x:c r="C14" s="14"/>
      <x:c r="D14" s="14"/>
      <x:c r="E14" s="14"/>
      <x:c r="F14" s="14"/>
      <x:c r="G14" s="29"/>
      <x:c r="H14" s="14"/>
      <x:c r="I14" s="14"/>
      <x:c r="J14" s="14"/>
      <x:c r="K14" s="14"/>
      <x:c r="L14" s="14"/>
      <x:c r="M14" s="14"/>
      <x:c r="N14" s="14"/>
      <x:c r="O14" s="14"/>
      <x:c r="P14" s="15"/>
      <x:c r="Q14" s="14"/>
    </x:row>
    <x:row r="15">
      <x:c r="A15" s="14"/>
      <x:c r="B15" s="15"/>
      <x:c r="C15" s="14"/>
      <x:c r="D15" s="14"/>
      <x:c r="E15" s="14"/>
      <x:c r="F15" s="14"/>
      <x:c r="G15" s="29"/>
      <x:c r="H15" s="14"/>
      <x:c r="I15" s="14"/>
      <x:c r="J15" s="14"/>
      <x:c r="K15" s="14"/>
      <x:c r="L15" s="14"/>
      <x:c r="M15" s="14"/>
      <x:c r="N15" s="14"/>
      <x:c r="O15" s="14"/>
      <x:c r="P15" s="15"/>
      <x:c r="Q15" s="14"/>
    </x:row>
    <x:row r="16">
      <x:c r="A16" s="14"/>
      <x:c r="B16" s="15"/>
      <x:c r="C16" s="14"/>
      <x:c r="D16" s="14"/>
      <x:c r="E16" s="14"/>
      <x:c r="F16" s="14"/>
      <x:c r="G16" s="29"/>
      <x:c r="H16" s="14"/>
      <x:c r="I16" s="14"/>
      <x:c r="J16" s="14"/>
      <x:c r="K16" s="14"/>
      <x:c r="L16" s="14"/>
      <x:c r="M16" s="14"/>
      <x:c r="N16" s="14"/>
      <x:c r="O16" s="14"/>
      <x:c r="P16" s="15"/>
      <x:c r="Q16" s="14"/>
    </x:row>
    <x:row r="17">
      <x:c r="A17" s="14"/>
      <x:c r="B17" s="15"/>
      <x:c r="C17" s="14"/>
      <x:c r="D17" s="14"/>
      <x:c r="E17" s="14"/>
      <x:c r="F17" s="14"/>
      <x:c r="G17" s="29"/>
      <x:c r="H17" s="14"/>
      <x:c r="I17" s="14"/>
      <x:c r="J17" s="14"/>
      <x:c r="K17" s="14"/>
      <x:c r="L17" s="14"/>
      <x:c r="M17" s="14"/>
      <x:c r="N17" s="14"/>
      <x:c r="O17" s="14"/>
      <x:c r="P17" s="15"/>
      <x:c r="Q17" s="14"/>
    </x:row>
    <x:row r="18">
      <x:c r="A18" s="14"/>
      <x:c r="B18" s="15"/>
      <x:c r="C18" s="14"/>
      <x:c r="D18" s="14"/>
      <x:c r="E18" s="14"/>
      <x:c r="F18" s="14"/>
      <x:c r="G18" s="29"/>
      <x:c r="H18" s="14"/>
      <x:c r="I18" s="14"/>
      <x:c r="J18" s="14"/>
      <x:c r="K18" s="14"/>
      <x:c r="L18" s="14"/>
      <x:c r="M18" s="14"/>
      <x:c r="N18" s="14"/>
      <x:c r="O18" s="14"/>
      <x:c r="P18" s="15"/>
      <x:c r="Q18" s="14"/>
    </x:row>
    <x:row r="19">
      <x:c r="A19" s="14"/>
      <x:c r="B19" s="15"/>
      <x:c r="C19" s="14"/>
      <x:c r="D19" s="14"/>
      <x:c r="E19" s="14"/>
      <x:c r="F19" s="14"/>
      <x:c r="G19" s="29"/>
      <x:c r="H19" s="14"/>
      <x:c r="I19" s="14"/>
      <x:c r="J19" s="14"/>
      <x:c r="K19" s="14"/>
      <x:c r="L19" s="14"/>
      <x:c r="M19" s="14"/>
      <x:c r="N19" s="14"/>
      <x:c r="O19" s="14"/>
      <x:c r="P19" s="15"/>
      <x:c r="Q19" s="14"/>
    </x:row>
    <x:row r="20">
      <x:c r="A20" s="14"/>
      <x:c r="B20" s="15"/>
      <x:c r="C20" s="14"/>
      <x:c r="D20" s="14"/>
      <x:c r="E20" s="14"/>
      <x:c r="F20" s="14"/>
      <x:c r="G20" s="29"/>
      <x:c r="H20" s="14"/>
      <x:c r="I20" s="14"/>
      <x:c r="J20" s="14"/>
      <x:c r="K20" s="14"/>
      <x:c r="L20" s="14"/>
      <x:c r="M20" s="14"/>
      <x:c r="N20" s="14"/>
      <x:c r="O20" s="14"/>
      <x:c r="P20" s="15"/>
      <x:c r="Q20" s="14"/>
    </x:row>
    <x:row r="21">
      <x:c r="A21" s="14"/>
      <x:c r="B21" s="15"/>
      <x:c r="C21" s="14"/>
      <x:c r="D21" s="14"/>
      <x:c r="E21" s="14"/>
      <x:c r="F21" s="14"/>
      <x:c r="G21" s="29"/>
      <x:c r="H21" s="14"/>
      <x:c r="I21" s="14"/>
      <x:c r="J21" s="14"/>
      <x:c r="K21" s="14"/>
      <x:c r="L21" s="14"/>
      <x:c r="M21" s="14"/>
      <x:c r="N21" s="14"/>
      <x:c r="O21" s="14"/>
      <x:c r="P21" s="15"/>
      <x:c r="Q21" s="14"/>
    </x:row>
    <x:row r="22">
      <x:c r="A22" s="14"/>
      <x:c r="B22" s="15"/>
      <x:c r="C22" s="14"/>
      <x:c r="D22" s="14"/>
      <x:c r="E22" s="14"/>
      <x:c r="F22" s="14"/>
      <x:c r="G22" s="29"/>
      <x:c r="H22" s="14"/>
      <x:c r="I22" s="14"/>
      <x:c r="J22" s="14"/>
      <x:c r="K22" s="14"/>
      <x:c r="L22" s="14"/>
      <x:c r="M22" s="14"/>
      <x:c r="N22" s="14"/>
      <x:c r="O22" s="14"/>
      <x:c r="P22" s="15"/>
      <x:c r="Q22" s="14"/>
    </x:row>
    <x:row r="23">
      <x:c r="A23" s="14"/>
      <x:c r="B23" s="15"/>
      <x:c r="C23" s="14"/>
      <x:c r="D23" s="14"/>
      <x:c r="E23" s="14"/>
      <x:c r="F23" s="14"/>
      <x:c r="G23" s="29"/>
      <x:c r="H23" s="14"/>
      <x:c r="I23" s="14"/>
      <x:c r="J23" s="14"/>
      <x:c r="K23" s="14"/>
      <x:c r="L23" s="14"/>
      <x:c r="M23" s="14"/>
      <x:c r="N23" s="14"/>
      <x:c r="O23" s="14"/>
      <x:c r="P23" s="15"/>
      <x:c r="Q23" s="14"/>
    </x:row>
    <x:row r="24">
      <x:c r="A24" s="14"/>
      <x:c r="B24" s="15"/>
      <x:c r="C24" s="14"/>
      <x:c r="D24" s="14"/>
      <x:c r="E24" s="14"/>
      <x:c r="F24" s="14"/>
      <x:c r="G24" s="29"/>
      <x:c r="H24" s="14"/>
      <x:c r="I24" s="14"/>
      <x:c r="J24" s="14"/>
      <x:c r="K24" s="14"/>
      <x:c r="L24" s="14"/>
      <x:c r="M24" s="14"/>
      <x:c r="N24" s="14"/>
      <x:c r="O24" s="14"/>
      <x:c r="P24" s="15"/>
      <x:c r="Q24" s="14"/>
    </x:row>
    <x:row r="25">
      <x:c r="A25" s="14"/>
      <x:c r="B25" s="15"/>
      <x:c r="C25" s="14"/>
      <x:c r="D25" s="14"/>
      <x:c r="E25" s="14"/>
      <x:c r="F25" s="14"/>
      <x:c r="G25" s="29"/>
      <x:c r="H25" s="14"/>
      <x:c r="I25" s="14"/>
      <x:c r="J25" s="14"/>
      <x:c r="K25" s="14"/>
      <x:c r="L25" s="14"/>
      <x:c r="M25" s="14"/>
      <x:c r="N25" s="14"/>
      <x:c r="O25" s="14"/>
      <x:c r="P25" s="15"/>
      <x:c r="Q25" s="14"/>
    </x:row>
  </x:sheetData>
  <x:mergeCells>
    <x:mergeCell ref="A1:N1"/>
    <x:mergeCell ref="A2:N2"/>
  </x:mergeCells>
  <x:conditionalFormatting sqref="N6:N25">
    <x:cfRule type="containsText" dxfId="18" priority="1" operator="containsText" text="已完成"/>
    <x:cfRule type="containsText" dxfId="19" priority="2" operator="containsText" text="未开始"/>
    <x:cfRule type="containsText" dxfId="20" priority="3" operator="containsText" text="进行中"/>
  </x:conditionalFormatting>
  <x:dataValidations count="2">
    <x:dataValidation type="list" sqref="F6:F25">
      <x:formula1>"抬头错误,税号错误,税率错误,金额错误,内容错误,重复开票,重复报销,跨期,票到货未到,货到票未到,用途改变,有票无业务,红字待处理,票面已核验"</x:formula1>
    </x:dataValidation>
    <x:dataValidation type="list" sqref="N6:N25">
      <x:formula1>"未处理,进行中,待复核,已关闭"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34c7deaf54f8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14" hidden="0" customWidth="1"/>
    <x:col min="5" max="5" width="13" hidden="0" customWidth="1"/>
    <x:col min="6" max="6" width="16" hidden="0" customWidth="1"/>
    <x:col min="7" max="7" width="12" hidden="0" customWidth="1"/>
    <x:col min="8" max="8" width="18" hidden="0" customWidth="1"/>
    <x:col min="9" max="9" width="13" hidden="0" customWidth="1"/>
    <x:col min="10" max="10" width="17" hidden="0" customWidth="1"/>
    <x:col min="11" max="11" width="13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3" hidden="0" customWidth="1"/>
    <x:col min="17" max="17" width="30" hidden="0" customWidth="1"/>
  </x:cols>
  <x:sheetData>
    <x:row r="1" ht="28" customHeight="1">
      <x:c r="A1" s="2" t="str">
        <x:v>未到票与暂估台账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</x:row>
    <x:row r="2" ht="22" customHeight="1">
      <x:c r="A2" s="33" t="str">
        <x:v>暂估解决会计截止，不产生可抵扣进项税；收票后按实际发票和价差处理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2"/>
      <x:c r="P3" s="32"/>
      <x:c r="Q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</x:row>
    <x:row r="5" ht="30" customHeight="1">
      <x:c r="A5" s="10" t="str">
        <x:v>记录编号</x:v>
      </x:c>
      <x:c r="B5" s="10" t="str">
        <x:v>业务编号</x:v>
      </x:c>
      <x:c r="C5" s="10" t="str">
        <x:v>供应商</x:v>
      </x:c>
      <x:c r="D5" s="10" t="str">
        <x:v>业务类型</x:v>
      </x:c>
      <x:c r="E5" s="10" t="str">
        <x:v>收货验收日</x:v>
      </x:c>
      <x:c r="F5" s="10" t="str">
        <x:v>暂估金额 万元</x:v>
      </x:c>
      <x:c r="G5" s="10" t="str">
        <x:v>预计税率</x:v>
      </x:c>
      <x:c r="H5" s="10" t="str">
        <x:v>暂估税额 不入账</x:v>
      </x:c>
      <x:c r="I5" s="10" t="str">
        <x:v>收到发票日</x:v>
      </x:c>
      <x:c r="J5" s="10" t="str">
        <x:v>发票不含税金额</x:v>
      </x:c>
      <x:c r="K5" s="10" t="str">
        <x:v>发票税额</x:v>
      </x:c>
      <x:c r="L5" s="10" t="str">
        <x:v>价差</x:v>
      </x:c>
      <x:c r="M5" s="10" t="str">
        <x:v>账龄天数</x:v>
      </x:c>
      <x:c r="N5" s="10" t="str">
        <x:v>状态</x:v>
      </x:c>
      <x:c r="O5" s="10" t="str">
        <x:v>责任人</x:v>
      </x:c>
      <x:c r="P5" s="10" t="str">
        <x:v>预计关闭日</x:v>
      </x:c>
      <x:c r="Q5" s="10" t="str">
        <x:v>处理说明</x:v>
      </x:c>
    </x:row>
    <x:row r="6">
      <x:c r="A6" s="14" t="str">
        <x:v>ACR-001</x:v>
      </x:c>
      <x:c r="B6" s="14" t="str">
        <x:v>T02</x:v>
      </x:c>
      <x:c r="C6" s="14" t="str">
        <x:v>苏州精密材料</x:v>
      </x:c>
      <x:c r="D6" s="14" t="str">
        <x:v>原材料</x:v>
      </x:c>
      <x:c r="E6" s="15" t="n">
        <x:v>46178</x:v>
      </x:c>
      <x:c r="F6" s="23" t="n">
        <x:v>100</x:v>
      </x:c>
      <x:c r="G6" s="16" t="n">
        <x:v>0.13</x:v>
      </x:c>
      <x:c r="H6" s="23" t="n">
        <x:v>13</x:v>
      </x:c>
      <x:c r="I6" s="15" t="n">
        <x:v>46185</x:v>
      </x:c>
      <x:c r="J6" s="23" t="n">
        <x:v>100</x:v>
      </x:c>
      <x:c r="K6" s="23" t="n">
        <x:v>13</x:v>
      </x:c>
      <x:c r="L6" s="23" t="n">
        <x:f>IF(OR(F6="",J6=""),"",J6-F6)</x:f>
        <x:v>0</x:v>
      </x:c>
      <x:c r="M6" s="14" t="n">
        <x:v>7</x:v>
      </x:c>
      <x:c r="N6" s="14" t="str">
        <x:v>已关闭</x:v>
      </x:c>
      <x:c r="O6" s="14" t="str">
        <x:v>AP</x:v>
      </x:c>
      <x:c r="P6" s="15" t="n">
        <x:v>46185</x:v>
      </x:c>
      <x:c r="Q6" s="14" t="str">
        <x:v>冲暂估并按发票入账</x:v>
      </x:c>
    </x:row>
    <x:row r="7">
      <x:c r="A7" s="14" t="str">
        <x:v>ACR-002</x:v>
      </x:c>
      <x:c r="B7" s="14" t="str">
        <x:v>T04</x:v>
      </x:c>
      <x:c r="C7" s="14" t="str">
        <x:v>无锡电子组件</x:v>
      </x:c>
      <x:c r="D7" s="14" t="str">
        <x:v>原材料</x:v>
      </x:c>
      <x:c r="E7" s="15" t="n">
        <x:v>46188</x:v>
      </x:c>
      <x:c r="F7" s="23" t="n">
        <x:v>60</x:v>
      </x:c>
      <x:c r="G7" s="16" t="n">
        <x:v>0.13</x:v>
      </x:c>
      <x:c r="H7" s="23" t="n">
        <x:v>7.8</x:v>
      </x:c>
      <x:c r="I7" s="15"/>
      <x:c r="J7" s="23"/>
      <x:c r="K7" s="23"/>
      <x:c r="L7" s="23" t="str">
        <x:f>IF(OR(F7="",J7=""),"",J7-F7)</x:f>
      </x:c>
      <x:c r="M7" s="14" t="n">
        <x:v>15</x:v>
      </x:c>
      <x:c r="N7" s="14" t="str">
        <x:v>进行中</x:v>
      </x:c>
      <x:c r="O7" s="14" t="str">
        <x:v>采购</x:v>
      </x:c>
      <x:c r="P7" s="15" t="n">
        <x:v>46218</x:v>
      </x:c>
      <x:c r="Q7" s="14" t="str">
        <x:v>催票；税额仅供预测</x:v>
      </x:c>
    </x:row>
    <x:row r="8">
      <x:c r="A8" s="14"/>
      <x:c r="B8" s="14"/>
      <x:c r="C8" s="14"/>
      <x:c r="D8" s="14"/>
      <x:c r="E8" s="15"/>
      <x:c r="F8" s="23"/>
      <x:c r="G8" s="16"/>
      <x:c r="H8" s="23"/>
      <x:c r="I8" s="15"/>
      <x:c r="J8" s="23"/>
      <x:c r="K8" s="23"/>
      <x:c r="L8" s="23" t="str">
        <x:f>IF(OR(F8="",J8=""),"",J8-F8)</x:f>
      </x:c>
      <x:c r="M8" s="14"/>
      <x:c r="N8" s="14"/>
      <x:c r="O8" s="14"/>
      <x:c r="P8" s="15"/>
      <x:c r="Q8" s="14"/>
    </x:row>
    <x:row r="9">
      <x:c r="A9" s="14"/>
      <x:c r="B9" s="14"/>
      <x:c r="C9" s="14"/>
      <x:c r="D9" s="14"/>
      <x:c r="E9" s="15"/>
      <x:c r="F9" s="23"/>
      <x:c r="G9" s="16"/>
      <x:c r="H9" s="23"/>
      <x:c r="I9" s="15"/>
      <x:c r="J9" s="23"/>
      <x:c r="K9" s="23"/>
      <x:c r="L9" s="23" t="str">
        <x:f>IF(OR(F9="",J9=""),"",J9-F9)</x:f>
      </x:c>
      <x:c r="M9" s="14"/>
      <x:c r="N9" s="14"/>
      <x:c r="O9" s="14"/>
      <x:c r="P9" s="15"/>
      <x:c r="Q9" s="14"/>
    </x:row>
    <x:row r="10">
      <x:c r="A10" s="14"/>
      <x:c r="B10" s="14"/>
      <x:c r="C10" s="14"/>
      <x:c r="D10" s="14"/>
      <x:c r="E10" s="15"/>
      <x:c r="F10" s="23"/>
      <x:c r="G10" s="16"/>
      <x:c r="H10" s="23"/>
      <x:c r="I10" s="15"/>
      <x:c r="J10" s="23"/>
      <x:c r="K10" s="23"/>
      <x:c r="L10" s="23" t="str">
        <x:f>IF(OR(F10="",J10=""),"",J10-F10)</x:f>
      </x:c>
      <x:c r="M10" s="14"/>
      <x:c r="N10" s="14"/>
      <x:c r="O10" s="14"/>
      <x:c r="P10" s="15"/>
      <x:c r="Q10" s="14"/>
    </x:row>
    <x:row r="11">
      <x:c r="A11" s="14"/>
      <x:c r="B11" s="14"/>
      <x:c r="C11" s="14"/>
      <x:c r="D11" s="14"/>
      <x:c r="E11" s="15"/>
      <x:c r="F11" s="23"/>
      <x:c r="G11" s="16"/>
      <x:c r="H11" s="23"/>
      <x:c r="I11" s="15"/>
      <x:c r="J11" s="23"/>
      <x:c r="K11" s="23"/>
      <x:c r="L11" s="23" t="str">
        <x:f>IF(OR(F11="",J11=""),"",J11-F11)</x:f>
      </x:c>
      <x:c r="M11" s="14"/>
      <x:c r="N11" s="14"/>
      <x:c r="O11" s="14"/>
      <x:c r="P11" s="15"/>
      <x:c r="Q11" s="14"/>
    </x:row>
    <x:row r="12">
      <x:c r="A12" s="14"/>
      <x:c r="B12" s="14"/>
      <x:c r="C12" s="14"/>
      <x:c r="D12" s="14"/>
      <x:c r="E12" s="15"/>
      <x:c r="F12" s="23"/>
      <x:c r="G12" s="16"/>
      <x:c r="H12" s="23"/>
      <x:c r="I12" s="15"/>
      <x:c r="J12" s="23"/>
      <x:c r="K12" s="23"/>
      <x:c r="L12" s="23" t="str">
        <x:f>IF(OR(F12="",J12=""),"",J12-F12)</x:f>
      </x:c>
      <x:c r="M12" s="14"/>
      <x:c r="N12" s="14"/>
      <x:c r="O12" s="14"/>
      <x:c r="P12" s="15"/>
      <x:c r="Q12" s="14"/>
    </x:row>
    <x:row r="13">
      <x:c r="A13" s="14"/>
      <x:c r="B13" s="14"/>
      <x:c r="C13" s="14"/>
      <x:c r="D13" s="14"/>
      <x:c r="E13" s="15"/>
      <x:c r="F13" s="23"/>
      <x:c r="G13" s="16"/>
      <x:c r="H13" s="23"/>
      <x:c r="I13" s="15"/>
      <x:c r="J13" s="23"/>
      <x:c r="K13" s="23"/>
      <x:c r="L13" s="23" t="str">
        <x:f>IF(OR(F13="",J13=""),"",J13-F13)</x:f>
      </x:c>
      <x:c r="M13" s="14"/>
      <x:c r="N13" s="14"/>
      <x:c r="O13" s="14"/>
      <x:c r="P13" s="15"/>
      <x:c r="Q13" s="14"/>
    </x:row>
    <x:row r="14">
      <x:c r="A14" s="14"/>
      <x:c r="B14" s="14"/>
      <x:c r="C14" s="14"/>
      <x:c r="D14" s="14"/>
      <x:c r="E14" s="15"/>
      <x:c r="F14" s="23"/>
      <x:c r="G14" s="16"/>
      <x:c r="H14" s="23"/>
      <x:c r="I14" s="15"/>
      <x:c r="J14" s="23"/>
      <x:c r="K14" s="23"/>
      <x:c r="L14" s="23" t="str">
        <x:f>IF(OR(F14="",J14=""),"",J14-F14)</x:f>
      </x:c>
      <x:c r="M14" s="14"/>
      <x:c r="N14" s="14"/>
      <x:c r="O14" s="14"/>
      <x:c r="P14" s="15"/>
      <x:c r="Q14" s="14"/>
    </x:row>
    <x:row r="15">
      <x:c r="A15" s="14"/>
      <x:c r="B15" s="14"/>
      <x:c r="C15" s="14"/>
      <x:c r="D15" s="14"/>
      <x:c r="E15" s="15"/>
      <x:c r="F15" s="23"/>
      <x:c r="G15" s="16"/>
      <x:c r="H15" s="23"/>
      <x:c r="I15" s="15"/>
      <x:c r="J15" s="23"/>
      <x:c r="K15" s="23"/>
      <x:c r="L15" s="23" t="str">
        <x:f>IF(OR(F15="",J15=""),"",J15-F15)</x:f>
      </x:c>
      <x:c r="M15" s="14"/>
      <x:c r="N15" s="14"/>
      <x:c r="O15" s="14"/>
      <x:c r="P15" s="15"/>
      <x:c r="Q15" s="14"/>
    </x:row>
    <x:row r="16">
      <x:c r="A16" s="14"/>
      <x:c r="B16" s="14"/>
      <x:c r="C16" s="14"/>
      <x:c r="D16" s="14"/>
      <x:c r="E16" s="15"/>
      <x:c r="F16" s="23"/>
      <x:c r="G16" s="16"/>
      <x:c r="H16" s="23"/>
      <x:c r="I16" s="15"/>
      <x:c r="J16" s="23"/>
      <x:c r="K16" s="23"/>
      <x:c r="L16" s="23" t="str">
        <x:f>IF(OR(F16="",J16=""),"",J16-F16)</x:f>
      </x:c>
      <x:c r="M16" s="14"/>
      <x:c r="N16" s="14"/>
      <x:c r="O16" s="14"/>
      <x:c r="P16" s="15"/>
      <x:c r="Q16" s="14"/>
    </x:row>
    <x:row r="17">
      <x:c r="A17" s="14"/>
      <x:c r="B17" s="14"/>
      <x:c r="C17" s="14"/>
      <x:c r="D17" s="14"/>
      <x:c r="E17" s="15"/>
      <x:c r="F17" s="23"/>
      <x:c r="G17" s="16"/>
      <x:c r="H17" s="23"/>
      <x:c r="I17" s="15"/>
      <x:c r="J17" s="23"/>
      <x:c r="K17" s="23"/>
      <x:c r="L17" s="23" t="str">
        <x:f>IF(OR(F17="",J17=""),"",J17-F17)</x:f>
      </x:c>
      <x:c r="M17" s="14"/>
      <x:c r="N17" s="14"/>
      <x:c r="O17" s="14"/>
      <x:c r="P17" s="15"/>
      <x:c r="Q17" s="14"/>
    </x:row>
    <x:row r="18">
      <x:c r="A18" s="14"/>
      <x:c r="B18" s="14"/>
      <x:c r="C18" s="14"/>
      <x:c r="D18" s="14"/>
      <x:c r="E18" s="15"/>
      <x:c r="F18" s="23"/>
      <x:c r="G18" s="16"/>
      <x:c r="H18" s="23"/>
      <x:c r="I18" s="15"/>
      <x:c r="J18" s="23"/>
      <x:c r="K18" s="23"/>
      <x:c r="L18" s="23" t="str">
        <x:f>IF(OR(F18="",J18=""),"",J18-F18)</x:f>
      </x:c>
      <x:c r="M18" s="14"/>
      <x:c r="N18" s="14"/>
      <x:c r="O18" s="14"/>
      <x:c r="P18" s="15"/>
      <x:c r="Q18" s="14"/>
    </x:row>
    <x:row r="19">
      <x:c r="A19" s="14"/>
      <x:c r="B19" s="14"/>
      <x:c r="C19" s="14"/>
      <x:c r="D19" s="14"/>
      <x:c r="E19" s="15"/>
      <x:c r="F19" s="23"/>
      <x:c r="G19" s="16"/>
      <x:c r="H19" s="23"/>
      <x:c r="I19" s="15"/>
      <x:c r="J19" s="23"/>
      <x:c r="K19" s="23"/>
      <x:c r="L19" s="23" t="str">
        <x:f>IF(OR(F19="",J19=""),"",J19-F19)</x:f>
      </x:c>
      <x:c r="M19" s="14"/>
      <x:c r="N19" s="14"/>
      <x:c r="O19" s="14"/>
      <x:c r="P19" s="15"/>
      <x:c r="Q19" s="14"/>
    </x:row>
    <x:row r="20">
      <x:c r="A20" s="14"/>
      <x:c r="B20" s="14"/>
      <x:c r="C20" s="14"/>
      <x:c r="D20" s="14"/>
      <x:c r="E20" s="15"/>
      <x:c r="F20" s="23"/>
      <x:c r="G20" s="16"/>
      <x:c r="H20" s="23"/>
      <x:c r="I20" s="15"/>
      <x:c r="J20" s="23"/>
      <x:c r="K20" s="23"/>
      <x:c r="L20" s="23" t="str">
        <x:f>IF(OR(F20="",J20=""),"",J20-F20)</x:f>
      </x:c>
      <x:c r="M20" s="14"/>
      <x:c r="N20" s="14"/>
      <x:c r="O20" s="14"/>
      <x:c r="P20" s="15"/>
      <x:c r="Q20" s="14"/>
    </x:row>
    <x:row r="21">
      <x:c r="A21" s="14"/>
      <x:c r="B21" s="14"/>
      <x:c r="C21" s="14"/>
      <x:c r="D21" s="14"/>
      <x:c r="E21" s="15"/>
      <x:c r="F21" s="23"/>
      <x:c r="G21" s="16"/>
      <x:c r="H21" s="23"/>
      <x:c r="I21" s="15"/>
      <x:c r="J21" s="23"/>
      <x:c r="K21" s="23"/>
      <x:c r="L21" s="23" t="str">
        <x:f>IF(OR(F21="",J21=""),"",J21-F21)</x:f>
      </x:c>
      <x:c r="M21" s="14"/>
      <x:c r="N21" s="14"/>
      <x:c r="O21" s="14"/>
      <x:c r="P21" s="15"/>
      <x:c r="Q21" s="14"/>
    </x:row>
    <x:row r="22">
      <x:c r="A22" s="14"/>
      <x:c r="B22" s="14"/>
      <x:c r="C22" s="14"/>
      <x:c r="D22" s="14"/>
      <x:c r="E22" s="15"/>
      <x:c r="F22" s="23"/>
      <x:c r="G22" s="16"/>
      <x:c r="H22" s="23"/>
      <x:c r="I22" s="15"/>
      <x:c r="J22" s="23"/>
      <x:c r="K22" s="23"/>
      <x:c r="L22" s="23" t="str">
        <x:f>IF(OR(F22="",J22=""),"",J22-F22)</x:f>
      </x:c>
      <x:c r="M22" s="14"/>
      <x:c r="N22" s="14"/>
      <x:c r="O22" s="14"/>
      <x:c r="P22" s="15"/>
      <x:c r="Q22" s="14"/>
    </x:row>
    <x:row r="23">
      <x:c r="A23" s="14"/>
      <x:c r="B23" s="14"/>
      <x:c r="C23" s="14"/>
      <x:c r="D23" s="14"/>
      <x:c r="E23" s="15"/>
      <x:c r="F23" s="23"/>
      <x:c r="G23" s="16"/>
      <x:c r="H23" s="23"/>
      <x:c r="I23" s="15"/>
      <x:c r="J23" s="23"/>
      <x:c r="K23" s="23"/>
      <x:c r="L23" s="23" t="str">
        <x:f>IF(OR(F23="",J23=""),"",J23-F23)</x:f>
      </x:c>
      <x:c r="M23" s="14"/>
      <x:c r="N23" s="14"/>
      <x:c r="O23" s="14"/>
      <x:c r="P23" s="15"/>
      <x:c r="Q23" s="14"/>
    </x:row>
    <x:row r="24">
      <x:c r="A24" s="14"/>
      <x:c r="B24" s="14"/>
      <x:c r="C24" s="14"/>
      <x:c r="D24" s="14"/>
      <x:c r="E24" s="15"/>
      <x:c r="F24" s="23"/>
      <x:c r="G24" s="16"/>
      <x:c r="H24" s="23"/>
      <x:c r="I24" s="15"/>
      <x:c r="J24" s="23"/>
      <x:c r="K24" s="23"/>
      <x:c r="L24" s="23" t="str">
        <x:f>IF(OR(F24="",J24=""),"",J24-F24)</x:f>
      </x:c>
      <x:c r="M24" s="14"/>
      <x:c r="N24" s="14"/>
      <x:c r="O24" s="14"/>
      <x:c r="P24" s="15"/>
      <x:c r="Q24" s="14"/>
    </x:row>
    <x:row r="25">
      <x:c r="A25" s="14"/>
      <x:c r="B25" s="14"/>
      <x:c r="C25" s="14"/>
      <x:c r="D25" s="14"/>
      <x:c r="E25" s="15"/>
      <x:c r="F25" s="23"/>
      <x:c r="G25" s="16"/>
      <x:c r="H25" s="23"/>
      <x:c r="I25" s="15"/>
      <x:c r="J25" s="23"/>
      <x:c r="K25" s="23"/>
      <x:c r="L25" s="23" t="str">
        <x:f>IF(OR(F25="",J25=""),"",J25-F25)</x:f>
      </x:c>
      <x:c r="M25" s="14"/>
      <x:c r="N25" s="14"/>
      <x:c r="O25" s="14"/>
      <x:c r="P25" s="15"/>
      <x:c r="Q25" s="14"/>
    </x:row>
  </x:sheetData>
  <x:mergeCells>
    <x:mergeCell ref="A1:N1"/>
    <x:mergeCell ref="A2:N2"/>
  </x:mergeCells>
  <x:conditionalFormatting sqref="N6:N25">
    <x:cfRule type="containsText" dxfId="21" priority="1" operator="containsText" text="已完成"/>
    <x:cfRule type="containsText" dxfId="22" priority="2" operator="containsText" text="未开始"/>
    <x:cfRule type="containsText" dxfId="23" priority="3" operator="containsText" text="进行中"/>
  </x:conditionalFormatting>
  <x:dataValidations count="1">
    <x:dataValidation type="list" sqref="N6:N25">
      <x:formula1>"未开始,催票中,已收票待处理,待复核,已关闭,进行中"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e6c106a1b42e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2" hidden="0" customWidth="1"/>
    <x:col min="4" max="4" width="13" hidden="0" customWidth="1"/>
    <x:col min="5" max="5" width="16" hidden="0" customWidth="1"/>
    <x:col min="6" max="6" width="26" hidden="0" customWidth="1"/>
    <x:col min="7" max="7" width="26" hidden="0" customWidth="1"/>
    <x:col min="8" max="8" width="24" hidden="0" customWidth="1"/>
    <x:col min="9" max="9" width="15" hidden="0" customWidth="1"/>
    <x:col min="10" max="10" width="12" hidden="0" customWidth="1"/>
    <x:col min="11" max="11" width="14" hidden="0" customWidth="1"/>
    <x:col min="12" max="12" width="28" hidden="0" customWidth="1"/>
    <x:col min="13" max="13" width="28" hidden="0" customWidth="1"/>
    <x:col min="14" max="14" width="12" hidden="0" customWidth="1"/>
    <x:col min="15" max="15" width="12" hidden="0" customWidth="1"/>
    <x:col min="16" max="16" width="11" hidden="0" customWidth="1"/>
    <x:col min="17" max="17" width="13" hidden="0" customWidth="1"/>
    <x:col min="18" max="18" width="13" hidden="0" customWidth="1"/>
  </x:cols>
  <x:sheetData>
    <x:row r="1" ht="28" customHeight="1">
      <x:c r="A1" s="2" t="str">
        <x:v>税务异常整改台账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2" customHeight="1">
      <x:c r="A2" s="33" t="str">
        <x:v>按发现、量化、调账、更正、税款和控制整改形成闭环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2"/>
      <x:c r="R3" s="32"/>
    </x:row>
    <x:row r="4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</x:row>
    <x:row r="5" ht="30" customHeight="1">
      <x:c r="A5" s="10" t="str">
        <x:v>整改编号</x:v>
      </x:c>
      <x:c r="B5" s="10" t="str">
        <x:v>发现日期</x:v>
      </x:c>
      <x:c r="C5" s="10" t="str">
        <x:v>税种</x:v>
      </x:c>
      <x:c r="D5" s="10" t="str">
        <x:v>所属期</x:v>
      </x:c>
      <x:c r="E5" s="10" t="str">
        <x:v>异常类型</x:v>
      </x:c>
      <x:c r="F5" s="10" t="str">
        <x:v>发现异常</x:v>
      </x:c>
      <x:c r="G5" s="10" t="str">
        <x:v>原因判断</x:v>
      </x:c>
      <x:c r="H5" s="10" t="str">
        <x:v>资料保全</x:v>
      </x:c>
      <x:c r="I5" s="10" t="str">
        <x:v>影响税额 万元</x:v>
      </x:c>
      <x:c r="J5" s="10" t="str">
        <x:v>是否调账</x:v>
      </x:c>
      <x:c r="K5" s="10" t="str">
        <x:v>是否更正申报</x:v>
      </x:c>
      <x:c r="L5" s="10" t="str">
        <x:v>税款及滞纳金处理</x:v>
      </x:c>
      <x:c r="M5" s="10" t="str">
        <x:v>防复发措施</x:v>
      </x:c>
      <x:c r="N5" s="10" t="str">
        <x:v>责任人</x:v>
      </x:c>
      <x:c r="O5" s="10" t="str">
        <x:v>复核人</x:v>
      </x:c>
      <x:c r="P5" s="10" t="str">
        <x:v>状态</x:v>
      </x:c>
      <x:c r="Q5" s="10" t="str">
        <x:v>计划关闭日</x:v>
      </x:c>
      <x:c r="R5" s="10" t="str">
        <x:v>实际关闭日</x:v>
      </x:c>
    </x:row>
    <x:row r="6">
      <x:c r="A6" s="14" t="str">
        <x:v>TAX-001</x:v>
      </x:c>
      <x:c r="B6" s="15" t="n">
        <x:v>46206</x:v>
      </x:c>
      <x:c r="C6" s="14" t="str">
        <x:v>增值税</x:v>
      </x:c>
      <x:c r="D6" s="15" t="n">
        <x:v>46203</x:v>
      </x:c>
      <x:c r="E6" s="14" t="str">
        <x:v>进项转出</x:v>
      </x:c>
      <x:c r="F6" s="14" t="str">
        <x:v>福利领料已抵扣进项</x:v>
      </x:c>
      <x:c r="G6" s="14" t="str">
        <x:v>用途改变</x:v>
      </x:c>
      <x:c r="H6" s="14" t="str">
        <x:v>领料单和发票</x:v>
      </x:c>
      <x:c r="I6" s="29" t="n">
        <x:v>2.6</x:v>
      </x:c>
      <x:c r="J6" s="14" t="str">
        <x:v>是</x:v>
      </x:c>
      <x:c r="K6" s="14" t="str">
        <x:v>否</x:v>
      </x:c>
      <x:c r="L6" s="14" t="str">
        <x:v>当期正常申报转出</x:v>
      </x:c>
      <x:c r="M6" s="14" t="str">
        <x:v>增加用途检查</x:v>
      </x:c>
      <x:c r="N6" s="14" t="str">
        <x:v>总账</x:v>
      </x:c>
      <x:c r="O6" s="14" t="str">
        <x:v>税务主管</x:v>
      </x:c>
      <x:c r="P6" s="14" t="str">
        <x:v>待复核</x:v>
      </x:c>
      <x:c r="Q6" s="15" t="n">
        <x:v>46213</x:v>
      </x:c>
      <x:c r="R6" s="15"/>
    </x:row>
    <x:row r="7">
      <x:c r="A7" s="14" t="str">
        <x:v>TAX-002</x:v>
      </x:c>
      <x:c r="B7" s="15" t="n">
        <x:v>46208</x:v>
      </x:c>
      <x:c r="C7" s="14" t="str">
        <x:v>增值税</x:v>
      </x:c>
      <x:c r="D7" s="15" t="n">
        <x:v>46203</x:v>
      </x:c>
      <x:c r="E7" s="14" t="str">
        <x:v>未开票收入</x:v>
      </x:c>
      <x:c r="F7" s="14" t="str">
        <x:v>验收80万元未开票</x:v>
      </x:c>
      <x:c r="G7" s="14" t="str">
        <x:v>AR开票与税务底稿未自动连接</x:v>
      </x:c>
      <x:c r="H7" s="14" t="str">
        <x:v>合同验收和应收凭证</x:v>
      </x:c>
      <x:c r="I7" s="29" t="n">
        <x:v>10.4</x:v>
      </x:c>
      <x:c r="J7" s="14" t="str">
        <x:v>否</x:v>
      </x:c>
      <x:c r="K7" s="14" t="str">
        <x:v>否</x:v>
      </x:c>
      <x:c r="L7" s="14" t="str">
        <x:v>当期按未开票销售申报</x:v>
      </x:c>
      <x:c r="M7" s="14" t="str">
        <x:v>增加销售截止接口</x:v>
      </x:c>
      <x:c r="N7" s="14" t="str">
        <x:v>税务会计</x:v>
      </x:c>
      <x:c r="O7" s="14" t="str">
        <x:v>财务主管</x:v>
      </x:c>
      <x:c r="P7" s="14" t="str">
        <x:v>进行中</x:v>
      </x:c>
      <x:c r="Q7" s="15" t="n">
        <x:v>46213</x:v>
      </x:c>
      <x:c r="R7" s="15"/>
    </x:row>
    <x:row r="8">
      <x:c r="A8" s="14"/>
      <x:c r="B8" s="15"/>
      <x:c r="C8" s="14"/>
      <x:c r="D8" s="15"/>
      <x:c r="E8" s="14"/>
      <x:c r="F8" s="14"/>
      <x:c r="G8" s="14"/>
      <x:c r="H8" s="14"/>
      <x:c r="I8" s="29"/>
      <x:c r="J8" s="14"/>
      <x:c r="K8" s="14"/>
      <x:c r="L8" s="14"/>
      <x:c r="M8" s="14"/>
      <x:c r="N8" s="14"/>
      <x:c r="O8" s="14"/>
      <x:c r="P8" s="14"/>
      <x:c r="Q8" s="15"/>
      <x:c r="R8" s="15"/>
    </x:row>
    <x:row r="9">
      <x:c r="A9" s="14"/>
      <x:c r="B9" s="15"/>
      <x:c r="C9" s="14"/>
      <x:c r="D9" s="15"/>
      <x:c r="E9" s="14"/>
      <x:c r="F9" s="14"/>
      <x:c r="G9" s="14"/>
      <x:c r="H9" s="14"/>
      <x:c r="I9" s="29"/>
      <x:c r="J9" s="14"/>
      <x:c r="K9" s="14"/>
      <x:c r="L9" s="14"/>
      <x:c r="M9" s="14"/>
      <x:c r="N9" s="14"/>
      <x:c r="O9" s="14"/>
      <x:c r="P9" s="14"/>
      <x:c r="Q9" s="15"/>
      <x:c r="R9" s="15"/>
    </x:row>
    <x:row r="10">
      <x:c r="A10" s="14"/>
      <x:c r="B10" s="15"/>
      <x:c r="C10" s="14"/>
      <x:c r="D10" s="15"/>
      <x:c r="E10" s="14"/>
      <x:c r="F10" s="14"/>
      <x:c r="G10" s="14"/>
      <x:c r="H10" s="14"/>
      <x:c r="I10" s="29"/>
      <x:c r="J10" s="14"/>
      <x:c r="K10" s="14"/>
      <x:c r="L10" s="14"/>
      <x:c r="M10" s="14"/>
      <x:c r="N10" s="14"/>
      <x:c r="O10" s="14"/>
      <x:c r="P10" s="14"/>
      <x:c r="Q10" s="15"/>
      <x:c r="R10" s="15"/>
    </x:row>
    <x:row r="11">
      <x:c r="A11" s="14"/>
      <x:c r="B11" s="15"/>
      <x:c r="C11" s="14"/>
      <x:c r="D11" s="15"/>
      <x:c r="E11" s="14"/>
      <x:c r="F11" s="14"/>
      <x:c r="G11" s="14"/>
      <x:c r="H11" s="14"/>
      <x:c r="I11" s="29"/>
      <x:c r="J11" s="14"/>
      <x:c r="K11" s="14"/>
      <x:c r="L11" s="14"/>
      <x:c r="M11" s="14"/>
      <x:c r="N11" s="14"/>
      <x:c r="O11" s="14"/>
      <x:c r="P11" s="14"/>
      <x:c r="Q11" s="15"/>
      <x:c r="R11" s="15"/>
    </x:row>
    <x:row r="12">
      <x:c r="A12" s="14"/>
      <x:c r="B12" s="15"/>
      <x:c r="C12" s="14"/>
      <x:c r="D12" s="15"/>
      <x:c r="E12" s="14"/>
      <x:c r="F12" s="14"/>
      <x:c r="G12" s="14"/>
      <x:c r="H12" s="14"/>
      <x:c r="I12" s="29"/>
      <x:c r="J12" s="14"/>
      <x:c r="K12" s="14"/>
      <x:c r="L12" s="14"/>
      <x:c r="M12" s="14"/>
      <x:c r="N12" s="14"/>
      <x:c r="O12" s="14"/>
      <x:c r="P12" s="14"/>
      <x:c r="Q12" s="15"/>
      <x:c r="R12" s="15"/>
    </x:row>
    <x:row r="13">
      <x:c r="A13" s="14"/>
      <x:c r="B13" s="15"/>
      <x:c r="C13" s="14"/>
      <x:c r="D13" s="15"/>
      <x:c r="E13" s="14"/>
      <x:c r="F13" s="14"/>
      <x:c r="G13" s="14"/>
      <x:c r="H13" s="14"/>
      <x:c r="I13" s="29"/>
      <x:c r="J13" s="14"/>
      <x:c r="K13" s="14"/>
      <x:c r="L13" s="14"/>
      <x:c r="M13" s="14"/>
      <x:c r="N13" s="14"/>
      <x:c r="O13" s="14"/>
      <x:c r="P13" s="14"/>
      <x:c r="Q13" s="15"/>
      <x:c r="R13" s="15"/>
    </x:row>
    <x:row r="14">
      <x:c r="A14" s="14"/>
      <x:c r="B14" s="15"/>
      <x:c r="C14" s="14"/>
      <x:c r="D14" s="15"/>
      <x:c r="E14" s="14"/>
      <x:c r="F14" s="14"/>
      <x:c r="G14" s="14"/>
      <x:c r="H14" s="14"/>
      <x:c r="I14" s="29"/>
      <x:c r="J14" s="14"/>
      <x:c r="K14" s="14"/>
      <x:c r="L14" s="14"/>
      <x:c r="M14" s="14"/>
      <x:c r="N14" s="14"/>
      <x:c r="O14" s="14"/>
      <x:c r="P14" s="14"/>
      <x:c r="Q14" s="15"/>
      <x:c r="R14" s="15"/>
    </x:row>
    <x:row r="15">
      <x:c r="A15" s="14"/>
      <x:c r="B15" s="15"/>
      <x:c r="C15" s="14"/>
      <x:c r="D15" s="15"/>
      <x:c r="E15" s="14"/>
      <x:c r="F15" s="14"/>
      <x:c r="G15" s="14"/>
      <x:c r="H15" s="14"/>
      <x:c r="I15" s="29"/>
      <x:c r="J15" s="14"/>
      <x:c r="K15" s="14"/>
      <x:c r="L15" s="14"/>
      <x:c r="M15" s="14"/>
      <x:c r="N15" s="14"/>
      <x:c r="O15" s="14"/>
      <x:c r="P15" s="14"/>
      <x:c r="Q15" s="15"/>
      <x:c r="R15" s="15"/>
    </x:row>
    <x:row r="16">
      <x:c r="A16" s="14"/>
      <x:c r="B16" s="15"/>
      <x:c r="C16" s="14"/>
      <x:c r="D16" s="15"/>
      <x:c r="E16" s="14"/>
      <x:c r="F16" s="14"/>
      <x:c r="G16" s="14"/>
      <x:c r="H16" s="14"/>
      <x:c r="I16" s="29"/>
      <x:c r="J16" s="14"/>
      <x:c r="K16" s="14"/>
      <x:c r="L16" s="14"/>
      <x:c r="M16" s="14"/>
      <x:c r="N16" s="14"/>
      <x:c r="O16" s="14"/>
      <x:c r="P16" s="14"/>
      <x:c r="Q16" s="15"/>
      <x:c r="R16" s="15"/>
    </x:row>
    <x:row r="17">
      <x:c r="A17" s="14"/>
      <x:c r="B17" s="15"/>
      <x:c r="C17" s="14"/>
      <x:c r="D17" s="15"/>
      <x:c r="E17" s="14"/>
      <x:c r="F17" s="14"/>
      <x:c r="G17" s="14"/>
      <x:c r="H17" s="14"/>
      <x:c r="I17" s="29"/>
      <x:c r="J17" s="14"/>
      <x:c r="K17" s="14"/>
      <x:c r="L17" s="14"/>
      <x:c r="M17" s="14"/>
      <x:c r="N17" s="14"/>
      <x:c r="O17" s="14"/>
      <x:c r="P17" s="14"/>
      <x:c r="Q17" s="15"/>
      <x:c r="R17" s="15"/>
    </x:row>
    <x:row r="18">
      <x:c r="A18" s="14"/>
      <x:c r="B18" s="15"/>
      <x:c r="C18" s="14"/>
      <x:c r="D18" s="15"/>
      <x:c r="E18" s="14"/>
      <x:c r="F18" s="14"/>
      <x:c r="G18" s="14"/>
      <x:c r="H18" s="14"/>
      <x:c r="I18" s="29"/>
      <x:c r="J18" s="14"/>
      <x:c r="K18" s="14"/>
      <x:c r="L18" s="14"/>
      <x:c r="M18" s="14"/>
      <x:c r="N18" s="14"/>
      <x:c r="O18" s="14"/>
      <x:c r="P18" s="14"/>
      <x:c r="Q18" s="15"/>
      <x:c r="R18" s="15"/>
    </x:row>
    <x:row r="19">
      <x:c r="A19" s="14"/>
      <x:c r="B19" s="15"/>
      <x:c r="C19" s="14"/>
      <x:c r="D19" s="15"/>
      <x:c r="E19" s="14"/>
      <x:c r="F19" s="14"/>
      <x:c r="G19" s="14"/>
      <x:c r="H19" s="14"/>
      <x:c r="I19" s="29"/>
      <x:c r="J19" s="14"/>
      <x:c r="K19" s="14"/>
      <x:c r="L19" s="14"/>
      <x:c r="M19" s="14"/>
      <x:c r="N19" s="14"/>
      <x:c r="O19" s="14"/>
      <x:c r="P19" s="14"/>
      <x:c r="Q19" s="15"/>
      <x:c r="R19" s="15"/>
    </x:row>
    <x:row r="20">
      <x:c r="A20" s="14"/>
      <x:c r="B20" s="15"/>
      <x:c r="C20" s="14"/>
      <x:c r="D20" s="15"/>
      <x:c r="E20" s="14"/>
      <x:c r="F20" s="14"/>
      <x:c r="G20" s="14"/>
      <x:c r="H20" s="14"/>
      <x:c r="I20" s="29"/>
      <x:c r="J20" s="14"/>
      <x:c r="K20" s="14"/>
      <x:c r="L20" s="14"/>
      <x:c r="M20" s="14"/>
      <x:c r="N20" s="14"/>
      <x:c r="O20" s="14"/>
      <x:c r="P20" s="14"/>
      <x:c r="Q20" s="15"/>
      <x:c r="R20" s="15"/>
    </x:row>
    <x:row r="21">
      <x:c r="A21" s="14"/>
      <x:c r="B21" s="15"/>
      <x:c r="C21" s="14"/>
      <x:c r="D21" s="15"/>
      <x:c r="E21" s="14"/>
      <x:c r="F21" s="14"/>
      <x:c r="G21" s="14"/>
      <x:c r="H21" s="14"/>
      <x:c r="I21" s="29"/>
      <x:c r="J21" s="14"/>
      <x:c r="K21" s="14"/>
      <x:c r="L21" s="14"/>
      <x:c r="M21" s="14"/>
      <x:c r="N21" s="14"/>
      <x:c r="O21" s="14"/>
      <x:c r="P21" s="14"/>
      <x:c r="Q21" s="15"/>
      <x:c r="R21" s="15"/>
    </x:row>
    <x:row r="22">
      <x:c r="A22" s="14"/>
      <x:c r="B22" s="15"/>
      <x:c r="C22" s="14"/>
      <x:c r="D22" s="15"/>
      <x:c r="E22" s="14"/>
      <x:c r="F22" s="14"/>
      <x:c r="G22" s="14"/>
      <x:c r="H22" s="14"/>
      <x:c r="I22" s="29"/>
      <x:c r="J22" s="14"/>
      <x:c r="K22" s="14"/>
      <x:c r="L22" s="14"/>
      <x:c r="M22" s="14"/>
      <x:c r="N22" s="14"/>
      <x:c r="O22" s="14"/>
      <x:c r="P22" s="14"/>
      <x:c r="Q22" s="15"/>
      <x:c r="R22" s="15"/>
    </x:row>
    <x:row r="23">
      <x:c r="A23" s="14"/>
      <x:c r="B23" s="15"/>
      <x:c r="C23" s="14"/>
      <x:c r="D23" s="15"/>
      <x:c r="E23" s="14"/>
      <x:c r="F23" s="14"/>
      <x:c r="G23" s="14"/>
      <x:c r="H23" s="14"/>
      <x:c r="I23" s="29"/>
      <x:c r="J23" s="14"/>
      <x:c r="K23" s="14"/>
      <x:c r="L23" s="14"/>
      <x:c r="M23" s="14"/>
      <x:c r="N23" s="14"/>
      <x:c r="O23" s="14"/>
      <x:c r="P23" s="14"/>
      <x:c r="Q23" s="15"/>
      <x:c r="R23" s="15"/>
    </x:row>
    <x:row r="24">
      <x:c r="A24" s="14"/>
      <x:c r="B24" s="15"/>
      <x:c r="C24" s="14"/>
      <x:c r="D24" s="15"/>
      <x:c r="E24" s="14"/>
      <x:c r="F24" s="14"/>
      <x:c r="G24" s="14"/>
      <x:c r="H24" s="14"/>
      <x:c r="I24" s="29"/>
      <x:c r="J24" s="14"/>
      <x:c r="K24" s="14"/>
      <x:c r="L24" s="14"/>
      <x:c r="M24" s="14"/>
      <x:c r="N24" s="14"/>
      <x:c r="O24" s="14"/>
      <x:c r="P24" s="14"/>
      <x:c r="Q24" s="15"/>
      <x:c r="R24" s="15"/>
    </x:row>
    <x:row r="25">
      <x:c r="A25" s="14"/>
      <x:c r="B25" s="15"/>
      <x:c r="C25" s="14"/>
      <x:c r="D25" s="15"/>
      <x:c r="E25" s="14"/>
      <x:c r="F25" s="14"/>
      <x:c r="G25" s="14"/>
      <x:c r="H25" s="14"/>
      <x:c r="I25" s="29"/>
      <x:c r="J25" s="14"/>
      <x:c r="K25" s="14"/>
      <x:c r="L25" s="14"/>
      <x:c r="M25" s="14"/>
      <x:c r="N25" s="14"/>
      <x:c r="O25" s="14"/>
      <x:c r="P25" s="14"/>
      <x:c r="Q25" s="15"/>
      <x:c r="R25" s="15"/>
    </x:row>
  </x:sheetData>
  <x:mergeCells>
    <x:mergeCell ref="A1:P1"/>
    <x:mergeCell ref="A2:P2"/>
  </x:mergeCells>
  <x:conditionalFormatting sqref="P6:P25">
    <x:cfRule type="containsText" dxfId="24" priority="1" operator="containsText" text="已完成"/>
    <x:cfRule type="containsText" dxfId="25" priority="2" operator="containsText" text="未开始"/>
    <x:cfRule type="containsText" dxfId="26" priority="3" operator="containsText" text="进行中"/>
  </x:conditionalFormatting>
  <x:dataValidations count="2">
    <x:dataValidation type="list" sqref="J6:K25">
      <x:formula1>"是,否,待判断"</x:formula1>
    </x:dataValidation>
    <x:dataValidation type="list" sqref="P6:P25">
      <x:formula1>"未处理,进行中,待复核,已关闭"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4ad8db1309436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35" hidden="0" customWidth="1"/>
    <x:col min="5" max="5" width="13" hidden="0" customWidth="1"/>
    <x:col min="6" max="6" width="18" hidden="0" customWidth="1"/>
    <x:col min="7" max="7" width="30" hidden="0" customWidth="1"/>
    <x:col min="8" max="8" width="25" hidden="0" customWidth="1"/>
  </x:cols>
  <x:sheetData>
    <x:row r="1" ht="28" customHeight="1">
      <x:c r="A1" s="2" t="str">
        <x:v>数据字典</x:v>
      </x:c>
      <x:c r="B1" s="32"/>
      <x:c r="C1" s="32"/>
      <x:c r="D1" s="32"/>
      <x:c r="E1" s="32"/>
      <x:c r="F1" s="32"/>
      <x:c r="G1" s="32"/>
      <x:c r="H1" s="32"/>
    </x:row>
    <x:row r="2" ht="22" customHeight="1">
      <x:c r="A2" s="33" t="str">
        <x:v>用于统一状态、责任和异常分类；修改下拉口径时同步检查相关工作表</x:v>
      </x:c>
      <x:c r="B2" s="32"/>
      <x:c r="C2" s="32"/>
      <x:c r="D2" s="32"/>
      <x:c r="E2" s="32"/>
      <x:c r="F2" s="32"/>
      <x:c r="G2" s="32"/>
      <x:c r="H2" s="32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2"/>
      <x:c r="B4" s="32"/>
      <x:c r="C4" s="32"/>
      <x:c r="D4" s="32"/>
      <x:c r="E4" s="32"/>
      <x:c r="F4" s="32"/>
      <x:c r="G4" s="32"/>
      <x:c r="H4" s="32"/>
    </x:row>
    <x:row r="5" ht="30" customHeight="1">
      <x:c r="A5" s="10" t="str">
        <x:v>类别</x:v>
      </x:c>
      <x:c r="B5" s="10" t="str">
        <x:v>代码</x:v>
      </x:c>
      <x:c r="C5" s="10" t="str">
        <x:v>名称</x:v>
      </x:c>
      <x:c r="D5" s="10" t="str">
        <x:v>定义</x:v>
      </x:c>
      <x:c r="E5" s="10" t="str">
        <x:v>是否需复核</x:v>
      </x:c>
      <x:c r="F5" s="10" t="str">
        <x:v>默认责任人</x:v>
      </x:c>
      <x:c r="G5" s="10" t="str">
        <x:v>关闭条件</x:v>
      </x:c>
      <x:c r="H5" s="10" t="str">
        <x:v>备注</x:v>
      </x:c>
    </x:row>
    <x:row r="6">
      <x:c r="A6" s="14" t="str">
        <x:v>状态</x:v>
      </x:c>
      <x:c r="B6" s="14" t="str">
        <x:v>S01</x:v>
      </x:c>
      <x:c r="C6" s="14" t="str">
        <x:v>未开始</x:v>
      </x:c>
      <x:c r="D6" s="14" t="str">
        <x:v>尚未执行</x:v>
      </x:c>
      <x:c r="E6" s="14" t="str">
        <x:v>否</x:v>
      </x:c>
      <x:c r="F6" s="14" t="str">
        <x:v>事项责任人</x:v>
      </x:c>
      <x:c r="G6" s="14" t="str">
        <x:v>不适用</x:v>
      </x:c>
      <x:c r="H6" s="14" t="str"/>
    </x:row>
    <x:row r="7">
      <x:c r="A7" s="14" t="str">
        <x:v>状态</x:v>
      </x:c>
      <x:c r="B7" s="14" t="str">
        <x:v>S02</x:v>
      </x:c>
      <x:c r="C7" s="14" t="str">
        <x:v>进行中</x:v>
      </x:c>
      <x:c r="D7" s="14" t="str">
        <x:v>已开始但未完成</x:v>
      </x:c>
      <x:c r="E7" s="14" t="str">
        <x:v>否</x:v>
      </x:c>
      <x:c r="F7" s="14" t="str">
        <x:v>事项责任人</x:v>
      </x:c>
      <x:c r="G7" s="14" t="str">
        <x:v>全部步骤完成</x:v>
      </x:c>
      <x:c r="H7" s="14" t="str"/>
    </x:row>
    <x:row r="8">
      <x:c r="A8" s="14" t="str">
        <x:v>状态</x:v>
      </x:c>
      <x:c r="B8" s="14" t="str">
        <x:v>S03</x:v>
      </x:c>
      <x:c r="C8" s="14" t="str">
        <x:v>待复核</x:v>
      </x:c>
      <x:c r="D8" s="14" t="str">
        <x:v>经办完成等待复核</x:v>
      </x:c>
      <x:c r="E8" s="14" t="str">
        <x:v>是</x:v>
      </x:c>
      <x:c r="F8" s="14" t="str">
        <x:v>复核人</x:v>
      </x:c>
      <x:c r="G8" s="14" t="str">
        <x:v>复核通过</x:v>
      </x:c>
      <x:c r="H8" s="14" t="str"/>
    </x:row>
    <x:row r="9">
      <x:c r="A9" s="14" t="str">
        <x:v>状态</x:v>
      </x:c>
      <x:c r="B9" s="14" t="str">
        <x:v>S04</x:v>
      </x:c>
      <x:c r="C9" s="14" t="str">
        <x:v>已完成</x:v>
      </x:c>
      <x:c r="D9" s="14" t="str">
        <x:v>任务全部完成</x:v>
      </x:c>
      <x:c r="E9" s="14" t="str">
        <x:v>是</x:v>
      </x:c>
      <x:c r="F9" s="14" t="str">
        <x:v>复核人</x:v>
      </x:c>
      <x:c r="G9" s="14" t="str">
        <x:v>证据归档</x:v>
      </x:c>
      <x:c r="H9" s="14" t="str"/>
    </x:row>
    <x:row r="10">
      <x:c r="A10" s="14" t="str">
        <x:v>状态</x:v>
      </x:c>
      <x:c r="B10" s="14" t="str">
        <x:v>S05</x:v>
      </x:c>
      <x:c r="C10" s="14" t="str">
        <x:v>不适用</x:v>
      </x:c>
      <x:c r="D10" s="14" t="str">
        <x:v>本期无触发业务</x:v>
      </x:c>
      <x:c r="E10" s="14" t="str">
        <x:v>是</x:v>
      </x:c>
      <x:c r="F10" s="14" t="str">
        <x:v>复核人</x:v>
      </x:c>
      <x:c r="G10" s="14" t="str">
        <x:v>记录不适用原因</x:v>
      </x:c>
      <x:c r="H10" s="14" t="str"/>
    </x:row>
    <x:row r="11">
      <x:c r="A11" s="14" t="str">
        <x:v>异常</x:v>
      </x:c>
      <x:c r="B11" s="14" t="str">
        <x:v>E01</x:v>
      </x:c>
      <x:c r="C11" s="14" t="str">
        <x:v>主体错误</x:v>
      </x:c>
      <x:c r="D11" s="14" t="str">
        <x:v>合同付款发票主体不一致</x:v>
      </x:c>
      <x:c r="E11" s="14" t="str">
        <x:v>是</x:v>
      </x:c>
      <x:c r="F11" s="14" t="str">
        <x:v>AP或AR</x:v>
      </x:c>
      <x:c r="G11" s="14" t="str">
        <x:v>更正及证据完成</x:v>
      </x:c>
      <x:c r="H11" s="14" t="str"/>
    </x:row>
    <x:row r="12">
      <x:c r="A12" s="14" t="str">
        <x:v>异常</x:v>
      </x:c>
      <x:c r="B12" s="14" t="str">
        <x:v>E02</x:v>
      </x:c>
      <x:c r="C12" s="14" t="str">
        <x:v>税率错误</x:v>
      </x:c>
      <x:c r="D12" s="14" t="str">
        <x:v>税目税率与业务不符</x:v>
      </x:c>
      <x:c r="E12" s="14" t="str">
        <x:v>是</x:v>
      </x:c>
      <x:c r="F12" s="14" t="str">
        <x:v>税务会计</x:v>
      </x:c>
      <x:c r="G12" s="14" t="str">
        <x:v>红冲重开及申报处理</x:v>
      </x:c>
      <x:c r="H12" s="14" t="str"/>
    </x:row>
    <x:row r="13">
      <x:c r="A13" s="14" t="str">
        <x:v>异常</x:v>
      </x:c>
      <x:c r="B13" s="14" t="str">
        <x:v>E03</x:v>
      </x:c>
      <x:c r="C13" s="14" t="str">
        <x:v>跨期</x:v>
      </x:c>
      <x:c r="D13" s="14" t="str">
        <x:v>业务发票会计申报期间不同</x:v>
      </x:c>
      <x:c r="E13" s="14" t="str">
        <x:v>是</x:v>
      </x:c>
      <x:c r="F13" s="14" t="str">
        <x:v>总账</x:v>
      </x:c>
      <x:c r="G13" s="14" t="str">
        <x:v>差异解释或更正完成</x:v>
      </x:c>
      <x:c r="H13" s="14" t="str"/>
    </x:row>
    <x:row r="14">
      <x:c r="A14" s="14" t="str">
        <x:v>异常</x:v>
      </x:c>
      <x:c r="B14" s="14" t="str">
        <x:v>E04</x:v>
      </x:c>
      <x:c r="C14" s="14" t="str">
        <x:v>重复</x:v>
      </x:c>
      <x:c r="D14" s="14" t="str">
        <x:v>发票或报销重复</x:v>
      </x:c>
      <x:c r="E14" s="14" t="str">
        <x:v>是</x:v>
      </x:c>
      <x:c r="F14" s="14" t="str">
        <x:v>AP</x:v>
      </x:c>
      <x:c r="G14" s="14" t="str">
        <x:v>冲销追回和控制整改</x:v>
      </x:c>
      <x:c r="H14" s="14" t="str"/>
    </x:row>
    <x:row r="15">
      <x:c r="A15" s="14" t="str">
        <x:v>异常</x:v>
      </x:c>
      <x:c r="B15" s="14" t="str">
        <x:v>E05</x:v>
      </x:c>
      <x:c r="C15" s="14" t="str">
        <x:v>遗漏</x:v>
      </x:c>
      <x:c r="D15" s="14" t="str">
        <x:v>业务未进入账或申报</x:v>
      </x:c>
      <x:c r="E15" s="14" t="str">
        <x:v>是</x:v>
      </x:c>
      <x:c r="F15" s="14" t="str">
        <x:v>总账税务</x:v>
      </x:c>
      <x:c r="G15" s="14" t="str">
        <x:v>补记更正缴税完成</x:v>
      </x:c>
      <x:c r="H15" s="14" t="str"/>
    </x:row>
    <x:row r="16">
      <x:c r="A16" s="14" t="str">
        <x:v>税种</x:v>
      </x:c>
      <x:c r="B16" s="14" t="str">
        <x:v>T01</x:v>
      </x:c>
      <x:c r="C16" s="14" t="str">
        <x:v>增值税</x:v>
      </x:c>
      <x:c r="D16" s="14" t="str">
        <x:v>一般纳税人月度申报案例</x:v>
      </x:c>
      <x:c r="E16" s="14" t="str">
        <x:v>是</x:v>
      </x:c>
      <x:c r="F16" s="14" t="str">
        <x:v>税务会计</x:v>
      </x:c>
      <x:c r="G16" s="14" t="str">
        <x:v>申报缴款归档</x:v>
      </x:c>
      <x:c r="H16" s="14" t="str"/>
    </x:row>
    <x:row r="17">
      <x:c r="A17" s="14" t="str">
        <x:v>税种</x:v>
      </x:c>
      <x:c r="B17" s="14" t="str">
        <x:v>T02</x:v>
      </x:c>
      <x:c r="C17" s="14" t="str">
        <x:v>企业所得税</x:v>
      </x:c>
      <x:c r="D17" s="14" t="str">
        <x:v>季度预缴年度汇算</x:v>
      </x:c>
      <x:c r="E17" s="14" t="str">
        <x:v>是</x:v>
      </x:c>
      <x:c r="F17" s="14" t="str">
        <x:v>税务会计</x:v>
      </x:c>
      <x:c r="G17" s="14" t="str">
        <x:v>申报缴款归档</x:v>
      </x:c>
      <x:c r="H17" s="14" t="str"/>
    </x:row>
    <x:row r="18">
      <x:c r="A18" s="14" t="str">
        <x:v>税种</x:v>
      </x:c>
      <x:c r="B18" s="14" t="str">
        <x:v>T03</x:v>
      </x:c>
      <x:c r="C18" s="14" t="str">
        <x:v>个人所得税</x:v>
      </x:c>
      <x:c r="D18" s="14" t="str">
        <x:v>全员全额扣缴申报</x:v>
      </x:c>
      <x:c r="E18" s="14" t="str">
        <x:v>是</x:v>
      </x:c>
      <x:c r="F18" s="14" t="str">
        <x:v>薪酬税务</x:v>
      </x:c>
      <x:c r="G18" s="14" t="str">
        <x:v>申报缴款归档</x:v>
      </x:c>
      <x:c r="H18" s="14" t="str"/>
    </x:row>
    <x:row r="19">
      <x:c r="A19" s="14" t="str">
        <x:v>税种</x:v>
      </x:c>
      <x:c r="B19" s="14" t="str">
        <x:v>T04</x:v>
      </x:c>
      <x:c r="C19" s="14" t="str">
        <x:v>印花税</x:v>
      </x:c>
      <x:c r="D19" s="14" t="str">
        <x:v>依税源和当地核定</x:v>
      </x:c>
      <x:c r="E19" s="14" t="str">
        <x:v>是</x:v>
      </x:c>
      <x:c r="F19" s="14" t="str">
        <x:v>税务会计</x:v>
      </x:c>
      <x:c r="G19" s="14" t="str">
        <x:v>申报缴款归档</x:v>
      </x:c>
      <x:c r="H19" s="14" t="str"/>
    </x:row>
    <x:row r="20">
      <x:c r="A20" s="14" t="str">
        <x:v>口径</x:v>
      </x:c>
      <x:c r="B20" s="14" t="str">
        <x:v>P01</x:v>
      </x:c>
      <x:c r="C20" s="14" t="str">
        <x:v>会计准则要求</x:v>
      </x:c>
      <x:c r="D20" s="14" t="str">
        <x:v>确认计量列报</x:v>
      </x:c>
      <x:c r="E20" s="14" t="str">
        <x:v>是</x:v>
      </x:c>
      <x:c r="F20" s="14" t="str">
        <x:v>总账</x:v>
      </x:c>
      <x:c r="G20" s="14" t="str">
        <x:v>政策判断留痕</x:v>
      </x:c>
      <x:c r="H20" s="14" t="str"/>
    </x:row>
    <x:row r="21">
      <x:c r="A21" s="14" t="str">
        <x:v>口径</x:v>
      </x:c>
      <x:c r="B21" s="14" t="str">
        <x:v>P02</x:v>
      </x:c>
      <x:c r="C21" s="14" t="str">
        <x:v>税法要求</x:v>
      </x:c>
      <x:c r="D21" s="14" t="str">
        <x:v>纳税抵扣扣除申报</x:v>
      </x:c>
      <x:c r="E21" s="14" t="str">
        <x:v>是</x:v>
      </x:c>
      <x:c r="F21" s="14" t="str">
        <x:v>税务</x:v>
      </x:c>
      <x:c r="G21" s="14" t="str">
        <x:v>政策判断留痕</x:v>
      </x:c>
      <x:c r="H21" s="14" t="str"/>
    </x:row>
    <x:row r="22">
      <x:c r="A22" s="14" t="str">
        <x:v>口径</x:v>
      </x:c>
      <x:c r="B22" s="14" t="str">
        <x:v>P03</x:v>
      </x:c>
      <x:c r="C22" s="14" t="str">
        <x:v>常见实务</x:v>
      </x:c>
      <x:c r="D22" s="14" t="str">
        <x:v>成熟企业流程参考</x:v>
      </x:c>
      <x:c r="E22" s="14" t="str">
        <x:v>否</x:v>
      </x:c>
      <x:c r="F22" s="14" t="str">
        <x:v>流程负责人</x:v>
      </x:c>
      <x:c r="G22" s="14" t="str">
        <x:v>企业批准</x:v>
      </x:c>
      <x:c r="H22" s="14" t="str"/>
    </x:row>
    <x:row r="23">
      <x:c r="A23" s="14" t="str">
        <x:v>口径</x:v>
      </x:c>
      <x:c r="B23" s="14" t="str">
        <x:v>P04</x:v>
      </x:c>
      <x:c r="C23" s="14" t="str">
        <x:v>内部政策</x:v>
      </x:c>
      <x:c r="D23" s="14" t="str">
        <x:v>企业授权截止阈值</x:v>
      </x:c>
      <x:c r="E23" s="14" t="str">
        <x:v>是</x:v>
      </x:c>
      <x:c r="F23" s="14" t="str">
        <x:v>财务主管</x:v>
      </x:c>
      <x:c r="G23" s="14" t="str">
        <x:v>制度发布</x:v>
      </x:c>
      <x:c r="H23" s="14" t="str">
        <x:v>不代替法律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025445743946d9"/>
  </x:tableParts>
</x:worksheet>
</file>