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ables/table7.xml" ContentType="application/vnd.openxmlformats-officedocument.spreadsheetml.table+xml"/>
  <Override PartName="/xl/tables/table16.xml" ContentType="application/vnd.openxmlformats-officedocument.spreadsheetml.table+xml"/>
  <Override PartName="/xl/tables/table4.xml" ContentType="application/vnd.openxmlformats-officedocument.spreadsheetml.table+xml"/>
  <Override PartName="/xl/tables/table15.xml" ContentType="application/vnd.openxmlformats-officedocument.spreadsheetml.table+xml"/>
  <Override PartName="/xl/tables/table5.xml" ContentType="application/vnd.openxmlformats-officedocument.spreadsheetml.table+xml"/>
  <Override PartName="/xl/tables/table14.xml" ContentType="application/vnd.openxmlformats-officedocument.spreadsheetml.table+xml"/>
  <Override PartName="/xl/tables/table18.xml" ContentType="application/vnd.openxmlformats-officedocument.spreadsheetml.table+xml"/>
  <Override PartName="/xl/tables/table9.xml" ContentType="application/vnd.openxmlformats-officedocument.spreadsheetml.table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2.xml" ContentType="application/vnd.openxmlformats-officedocument.spreadsheetml.table+xml"/>
  <Override PartName="/xl/tables/table19.xml" ContentType="application/vnd.openxmlformats-officedocument.spreadsheetml.table+xml"/>
  <Override PartName="/xl/tables/table8.xml" ContentType="application/vnd.openxmlformats-officedocument.spreadsheetml.table+xml"/>
  <Override PartName="/xl/tables/table17.xml" ContentType="application/vnd.openxmlformats-officedocument.spreadsheetml.table+xml"/>
  <Override PartName="/xl/tables/table6.xml" ContentType="application/vnd.openxmlformats-officedocument.spreadsheetml.table+xml"/>
  <Override PartName="/xl/tables/table2.xml" ContentType="application/vnd.openxmlformats-officedocument.spreadsheetml.table+xml"/>
  <Override PartName="/xl/tables/table13.xml" ContentType="application/vnd.openxmlformats-officedocument.spreadsheetml.table+xml"/>
  <Override PartName="/xl/tables/table11.xml" ContentType="application/vnd.openxmlformats-officedocument.spreadsheetml.table+xml"/>
  <Override PartName="/xl/tables/table20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0-复核总览" sheetId="1" state="visible" r:id="rId3"/>
    <sheet name="01-缺口检查表" sheetId="2" state="visible" r:id="rId4"/>
    <sheet name="02-客户信用评分" sheetId="3" state="visible" r:id="rId5"/>
    <sheet name="03-账龄与逾期账龄" sheetId="4" state="visible" r:id="rId6"/>
    <sheet name="04-催收升级SLA" sheetId="5" state="visible" r:id="rId7"/>
    <sheet name="05-催收记录" sheetId="6" state="visible" r:id="rId8"/>
    <sheet name="06-风险预警" sheetId="7" state="visible" r:id="rId9"/>
    <sheet name="07-集中度分析" sheetId="8" state="visible" r:id="rId10"/>
    <sheet name="08-坏账与税务" sheetId="9" state="visible" r:id="rId11"/>
    <sheet name="09-ECL参数与迁徙" sheetId="10" state="visible" r:id="rId12"/>
    <sheet name="10-应收月报" sheetId="11" state="visible" r:id="rId13"/>
    <sheet name="11-客户对账函" sheetId="12" state="visible" r:id="rId14"/>
    <sheet name="12-催款函" sheetId="13" state="visible" r:id="rId15"/>
    <sheet name="13-回款核销异常" sheetId="14" state="visible" r:id="rId16"/>
    <sheet name="14-销售绩效挂钩" sheetId="15" state="visible" r:id="rId17"/>
    <sheet name="15-应收会议" sheetId="16" state="visible" r:id="rId18"/>
    <sheet name="16-融资评估" sheetId="17" state="visible" r:id="rId19"/>
    <sheet name="17-应收增长分析树" sheetId="18" state="visible" r:id="rId20"/>
    <sheet name="18-补强案例" sheetId="19" state="visible" r:id="rId21"/>
    <sheet name="19-资料来源" sheetId="20" state="visible" r:id="rId2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<sst xmlns="http://schemas.openxmlformats.org/spreadsheetml/2006/main" count="868" uniqueCount="668">
  <si>
    <t xml:space="preserve">第一版复核总览</t>
  </si>
  <si>
    <t xml:space="preserve">本文件仅补第一版缺口，不替代原16张核心表。</t>
  </si>
  <si>
    <t xml:space="preserve">项目</t>
  </si>
  <si>
    <t xml:space="preserve">结论/数量</t>
  </si>
  <si>
    <t xml:space="preserve">依据</t>
  </si>
  <si>
    <t xml:space="preserve">行动</t>
  </si>
  <si>
    <t xml:space="preserve">总体结论</t>
  </si>
  <si>
    <t xml:space="preserve">比较完整</t>
  </si>
  <si>
    <t xml:space="preserve">第一版具备闭环、RACI、节奏、催收、争议、核销、ECL概念、Issue、月结和15案例</t>
  </si>
  <si>
    <t xml:space="preserve">补强后更适合直接接手复杂应收</t>
  </si>
  <si>
    <t xml:space="preserve">高优先缺口</t>
  </si>
  <si>
    <t xml:space="preserve">信用评分、双账龄、催收SLA、复杂核销、坏账三口径、ECL、集中度、会议和文书</t>
  </si>
  <si>
    <t xml:space="preserve">优先启用本工具包</t>
  </si>
  <si>
    <t xml:space="preserve">中优先缺口</t>
  </si>
  <si>
    <t xml:space="preserve">销售激励、指标、现金流、融资、舞弊数据检查、接手签收等</t>
  </si>
  <si>
    <t xml:space="preserve">按企业成熟度启用</t>
  </si>
  <si>
    <t xml:space="preserve">原XMind</t>
  </si>
  <si>
    <t xml:space="preserve">无需重做</t>
  </si>
  <si>
    <t xml:space="preserve">原三张图已覆盖全景、异常闭环和接手</t>
  </si>
  <si>
    <t xml:space="preserve">继续沿用第一版</t>
  </si>
  <si>
    <t xml:space="preserve">复核缺口检查表</t>
  </si>
  <si>
    <t xml:space="preserve">“缺失”不等于第一版不可用，表示独立接手复杂场景仍需工具。</t>
  </si>
  <si>
    <t xml:space="preserve">编号</t>
  </si>
  <si>
    <t xml:space="preserve">领域</t>
  </si>
  <si>
    <t xml:space="preserve">状态</t>
  </si>
  <si>
    <t xml:space="preserve">优先级</t>
  </si>
  <si>
    <t xml:space="preserve">补强动作</t>
  </si>
  <si>
    <t xml:space="preserve">结论</t>
  </si>
  <si>
    <t xml:space="preserve">G01</t>
  </si>
  <si>
    <t xml:space="preserve">信用调查渠道</t>
  </si>
  <si>
    <t xml:space="preserve">部分覆盖</t>
  </si>
  <si>
    <t xml:space="preserve">高</t>
  </si>
  <si>
    <t xml:space="preserve">补调查清单和复评触发器</t>
  </si>
  <si>
    <t xml:space="preserve">已补</t>
  </si>
  <si>
    <t xml:space="preserve">G02</t>
  </si>
  <si>
    <t xml:space="preserve">信用评分模型</t>
  </si>
  <si>
    <t xml:space="preserve">缺失</t>
  </si>
  <si>
    <t xml:space="preserve">新增100分评分卡</t>
  </si>
  <si>
    <t xml:space="preserve">G03</t>
  </si>
  <si>
    <t xml:space="preserve">新客户信用政策</t>
  </si>
  <si>
    <t xml:space="preserve">默认预付/现款或小额试单</t>
  </si>
  <si>
    <t xml:space="preserve">G04</t>
  </si>
  <si>
    <t xml:space="preserve">额度与账期</t>
  </si>
  <si>
    <t xml:space="preserve">分开控制和测算</t>
  </si>
  <si>
    <t xml:space="preserve">G05</t>
  </si>
  <si>
    <t xml:space="preserve">账龄与逾期账龄</t>
  </si>
  <si>
    <t xml:space="preserve">新增双口径表</t>
  </si>
  <si>
    <t xml:space="preserve">G06</t>
  </si>
  <si>
    <t xml:space="preserve">催收升级SLA</t>
  </si>
  <si>
    <t xml:space="preserve">较完整</t>
  </si>
  <si>
    <t xml:space="preserve">补文书、证据和法务门槛</t>
  </si>
  <si>
    <t xml:space="preserve">G07</t>
  </si>
  <si>
    <t xml:space="preserve">销售激励约束</t>
  </si>
  <si>
    <t xml:space="preserve">中</t>
  </si>
  <si>
    <t xml:space="preserve">补绩效方案</t>
  </si>
  <si>
    <t xml:space="preserve">G08</t>
  </si>
  <si>
    <t xml:space="preserve">对账差异</t>
  </si>
  <si>
    <t xml:space="preserve">补120/100排查路径</t>
  </si>
  <si>
    <t xml:space="preserve">G09</t>
  </si>
  <si>
    <t xml:space="preserve">复杂核销</t>
  </si>
  <si>
    <t xml:space="preserve">补八类异常</t>
  </si>
  <si>
    <t xml:space="preserve">G10</t>
  </si>
  <si>
    <t xml:space="preserve">坏账三口径</t>
  </si>
  <si>
    <t xml:space="preserve">管理/会计/税务分开</t>
  </si>
  <si>
    <t xml:space="preserve">G11</t>
  </si>
  <si>
    <t xml:space="preserve">ECL方法</t>
  </si>
  <si>
    <t xml:space="preserve">补历史损失、迁徙、前瞻、回溯</t>
  </si>
  <si>
    <t xml:space="preserve">G12</t>
  </si>
  <si>
    <t xml:space="preserve">风险预警</t>
  </si>
  <si>
    <t xml:space="preserve">补评分和升级</t>
  </si>
  <si>
    <t xml:space="preserve">G13</t>
  </si>
  <si>
    <t xml:space="preserve">集中度</t>
  </si>
  <si>
    <t xml:space="preserve">补Top1/Top5</t>
  </si>
  <si>
    <t xml:space="preserve">G14</t>
  </si>
  <si>
    <t xml:space="preserve">指标</t>
  </si>
  <si>
    <t xml:space="preserve">补12项指标</t>
  </si>
  <si>
    <t xml:space="preserve">G15</t>
  </si>
  <si>
    <t xml:space="preserve">增长分析树</t>
  </si>
  <si>
    <t xml:space="preserve">补量化桥接</t>
  </si>
  <si>
    <t xml:space="preserve">G16</t>
  </si>
  <si>
    <t xml:space="preserve">现金流</t>
  </si>
  <si>
    <t xml:space="preserve">补营运资金</t>
  </si>
  <si>
    <t xml:space="preserve">G17</t>
  </si>
  <si>
    <t xml:space="preserve">应收融资</t>
  </si>
  <si>
    <t xml:space="preserve">补选择矩阵</t>
  </si>
  <si>
    <t xml:space="preserve">G18</t>
  </si>
  <si>
    <t xml:space="preserve">舞弊测试</t>
  </si>
  <si>
    <t xml:space="preserve">补数据测试</t>
  </si>
  <si>
    <t xml:space="preserve">G19</t>
  </si>
  <si>
    <t xml:space="preserve">接手检查</t>
  </si>
  <si>
    <t xml:space="preserve">补签收和基准日</t>
  </si>
  <si>
    <t xml:space="preserve">G20</t>
  </si>
  <si>
    <t xml:space="preserve">应收会议</t>
  </si>
  <si>
    <t xml:space="preserve">补周会SOP</t>
  </si>
  <si>
    <t xml:space="preserve">G21</t>
  </si>
  <si>
    <t xml:space="preserve">催收日志</t>
  </si>
  <si>
    <t xml:space="preserve">新增逐次日志</t>
  </si>
  <si>
    <t xml:space="preserve">G22</t>
  </si>
  <si>
    <t xml:space="preserve">对账函/催款函</t>
  </si>
  <si>
    <t xml:space="preserve">新增模板</t>
  </si>
  <si>
    <t xml:space="preserve">G23</t>
  </si>
  <si>
    <t xml:space="preserve">应收月报</t>
  </si>
  <si>
    <t xml:space="preserve">新增标准月报</t>
  </si>
  <si>
    <t xml:space="preserve">G24</t>
  </si>
  <si>
    <t xml:space="preserve">内容重复</t>
  </si>
  <si>
    <t xml:space="preserve">存在</t>
  </si>
  <si>
    <t xml:space="preserve">低</t>
  </si>
  <si>
    <t xml:space="preserve">不改原文</t>
  </si>
  <si>
    <t xml:space="preserve">无需处理</t>
  </si>
  <si>
    <t xml:space="preserve">G25</t>
  </si>
  <si>
    <t xml:space="preserve">XMind</t>
  </si>
  <si>
    <t xml:space="preserve">沿用原版</t>
  </si>
  <si>
    <t xml:space="preserve">客户信用评分卡</t>
  </si>
  <si>
    <t xml:space="preserve">权重和评级是企业政策示例；否决项优先于总分。</t>
  </si>
  <si>
    <t xml:space="preserve">维度</t>
  </si>
  <si>
    <t xml:space="preserve">权重</t>
  </si>
  <si>
    <t xml:space="preserve">得分</t>
  </si>
  <si>
    <t xml:space="preserve">判断依据</t>
  </si>
  <si>
    <t xml:space="preserve">证据来源</t>
  </si>
  <si>
    <t xml:space="preserve">复核意见</t>
  </si>
  <si>
    <t xml:space="preserve">偿债能力</t>
  </si>
  <si>
    <t xml:space="preserve">现金流偏弱</t>
  </si>
  <si>
    <t xml:space="preserve">财务报表/银行资信</t>
  </si>
  <si>
    <t xml:space="preserve">历史付款</t>
  </si>
  <si>
    <t xml:space="preserve">最长逾期15天</t>
  </si>
  <si>
    <t xml:space="preserve">ERP回款记录</t>
  </si>
  <si>
    <t xml:space="preserve">外部信用</t>
  </si>
  <si>
    <t xml:space="preserve">无重大失信</t>
  </si>
  <si>
    <t xml:space="preserve">工商司法公开信息</t>
  </si>
  <si>
    <t xml:space="preserve">交易质量</t>
  </si>
  <si>
    <t xml:space="preserve">毛利正常、争议低</t>
  </si>
  <si>
    <t xml:space="preserve">CRM/ERP</t>
  </si>
  <si>
    <t xml:space="preserve">预计占应收18%</t>
  </si>
  <si>
    <t xml:space="preserve">预算/应收</t>
  </si>
  <si>
    <t xml:space="preserve">增信措施</t>
  </si>
  <si>
    <t xml:space="preserve">无担保，小额预付</t>
  </si>
  <si>
    <t xml:space="preserve">合同/担保</t>
  </si>
  <si>
    <t xml:space="preserve">总分</t>
  </si>
  <si>
    <t xml:space="preserve">评级</t>
  </si>
  <si>
    <t xml:space="preserve">示例基准日2026-03-01。账龄起点应按企业政策保持一致；逾期从合同到期日次日起算。</t>
  </si>
  <si>
    <t xml:space="preserve">应收ID</t>
  </si>
  <si>
    <t xml:space="preserve">客户</t>
  </si>
  <si>
    <t xml:space="preserve">确认/开票日</t>
  </si>
  <si>
    <t xml:space="preserve">合同到期日</t>
  </si>
  <si>
    <t xml:space="preserve">余额</t>
  </si>
  <si>
    <t xml:space="preserve">会计账龄天数</t>
  </si>
  <si>
    <t xml:space="preserve">逾期天数</t>
  </si>
  <si>
    <t xml:space="preserve">逾期段</t>
  </si>
  <si>
    <t xml:space="preserve">说明</t>
  </si>
  <si>
    <t xml:space="preserve">AR001</t>
  </si>
  <si>
    <t xml:space="preserve">甲客户</t>
  </si>
  <si>
    <t xml:space="preserve">合同账期90天</t>
  </si>
  <si>
    <t xml:space="preserve">AR002</t>
  </si>
  <si>
    <t xml:space="preserve">乙客户</t>
  </si>
  <si>
    <t xml:space="preserve">已逾期60天</t>
  </si>
  <si>
    <t xml:space="preserve">AR003</t>
  </si>
  <si>
    <t xml:space="preserve">丙客户</t>
  </si>
  <si>
    <t xml:space="preserve">长期逾期</t>
  </si>
  <si>
    <t xml:space="preserve">D为合同到期日；企业可按风险提前升级。</t>
  </si>
  <si>
    <t xml:space="preserve">时点</t>
  </si>
  <si>
    <t xml:space="preserve">标准动作</t>
  </si>
  <si>
    <t xml:space="preserve">Owner</t>
  </si>
  <si>
    <t xml:space="preserve">证据</t>
  </si>
  <si>
    <t xml:space="preserve">升级/控制</t>
  </si>
  <si>
    <t xml:space="preserve">D-7</t>
  </si>
  <si>
    <t xml:space="preserve">到期提醒；确认验收、发票、门户、付款批次</t>
  </si>
  <si>
    <t xml:space="preserve">AR+销售</t>
  </si>
  <si>
    <t xml:space="preserve">邮件/门户截图</t>
  </si>
  <si>
    <t xml:space="preserve">资料障碍当天转责任部门</t>
  </si>
  <si>
    <t xml:space="preserve">D0</t>
  </si>
  <si>
    <t xml:space="preserve">确认应付入系统和预计付款日</t>
  </si>
  <si>
    <t xml:space="preserve">销售</t>
  </si>
  <si>
    <t xml:space="preserve">客户确认</t>
  </si>
  <si>
    <t xml:space="preserve">金额重大未确认则主管关注</t>
  </si>
  <si>
    <t xml:space="preserve">D+7</t>
  </si>
  <si>
    <t xml:space="preserve">第一次书面催款；记录金额和日期承诺</t>
  </si>
  <si>
    <t xml:space="preserve">失约进入周会</t>
  </si>
  <si>
    <t xml:space="preserve">D+30</t>
  </si>
  <si>
    <t xml:space="preserve">第二级催款函；限制新增信用</t>
  </si>
  <si>
    <t xml:space="preserve">销售负责人</t>
  </si>
  <si>
    <t xml:space="preserve">催款函/回执</t>
  </si>
  <si>
    <t xml:space="preserve">冻结或一次性例外</t>
  </si>
  <si>
    <t xml:space="preserve">D+60</t>
  </si>
  <si>
    <t xml:space="preserve">管理层沟通；争议专项关闭</t>
  </si>
  <si>
    <t xml:space="preserve">销售总监+财务主管</t>
  </si>
  <si>
    <t xml:space="preserve">会议纪要</t>
  </si>
  <si>
    <t xml:space="preserve">纳入ECL观察</t>
  </si>
  <si>
    <t xml:space="preserve">D+90</t>
  </si>
  <si>
    <t xml:space="preserve">原则停供；法务评估追索</t>
  </si>
  <si>
    <t xml:space="preserve">财务经理+法务</t>
  </si>
  <si>
    <t xml:space="preserve">法律意见</t>
  </si>
  <si>
    <t xml:space="preserve">个别评估/风险组合</t>
  </si>
  <si>
    <t xml:space="preserve">D+180</t>
  </si>
  <si>
    <t xml:space="preserve">诉讼、和解、担保、核销和责任复盘</t>
  </si>
  <si>
    <t xml:space="preserve">授权管理层</t>
  </si>
  <si>
    <t xml:space="preserve">决议/法律证据</t>
  </si>
  <si>
    <t xml:space="preserve">账销案存持续追索</t>
  </si>
  <si>
    <t xml:space="preserve">逐次催收记录</t>
  </si>
  <si>
    <t xml:space="preserve">每次联系都记录客户具体节点、承诺金额、日期和证据。</t>
  </si>
  <si>
    <t xml:space="preserve">记录ID</t>
  </si>
  <si>
    <t xml:space="preserve">联系日期</t>
  </si>
  <si>
    <t xml:space="preserve">联系人</t>
  </si>
  <si>
    <t xml:space="preserve">方式</t>
  </si>
  <si>
    <t xml:space="preserve">客户当前节点</t>
  </si>
  <si>
    <t xml:space="preserve">承诺金额</t>
  </si>
  <si>
    <t xml:space="preserve">承诺日期</t>
  </si>
  <si>
    <t xml:space="preserve">下次行动</t>
  </si>
  <si>
    <t xml:space="preserve">COL-001</t>
  </si>
  <si>
    <t xml:space="preserve">未开始</t>
  </si>
  <si>
    <t xml:space="preserve">COL-002</t>
  </si>
  <si>
    <t xml:space="preserve">COL-003</t>
  </si>
  <si>
    <t xml:space="preserve">COL-004</t>
  </si>
  <si>
    <t xml:space="preserve">COL-005</t>
  </si>
  <si>
    <t xml:space="preserve">COL-006</t>
  </si>
  <si>
    <t xml:space="preserve">COL-007</t>
  </si>
  <si>
    <t xml:space="preserve">COL-008</t>
  </si>
  <si>
    <t xml:space="preserve">COL-009</t>
  </si>
  <si>
    <t xml:space="preserve">COL-010</t>
  </si>
  <si>
    <t xml:space="preserve">COL-011</t>
  </si>
  <si>
    <t xml:space="preserve">COL-012</t>
  </si>
  <si>
    <t xml:space="preserve">COL-013</t>
  </si>
  <si>
    <t xml:space="preserve">COL-014</t>
  </si>
  <si>
    <t xml:space="preserve">COL-015</t>
  </si>
  <si>
    <t xml:space="preserve">COL-016</t>
  </si>
  <si>
    <t xml:space="preserve">COL-017</t>
  </si>
  <si>
    <t xml:space="preserve">COL-018</t>
  </si>
  <si>
    <t xml:space="preserve">COL-019</t>
  </si>
  <si>
    <t xml:space="preserve">COL-020</t>
  </si>
  <si>
    <t xml:space="preserve">COL-021</t>
  </si>
  <si>
    <t xml:space="preserve">COL-022</t>
  </si>
  <si>
    <t xml:space="preserve">COL-023</t>
  </si>
  <si>
    <t xml:space="preserve">COL-024</t>
  </si>
  <si>
    <t xml:space="preserve">COL-025</t>
  </si>
  <si>
    <t xml:space="preserve">COL-026</t>
  </si>
  <si>
    <t xml:space="preserve">COL-027</t>
  </si>
  <si>
    <t xml:space="preserve">COL-028</t>
  </si>
  <si>
    <t xml:space="preserve">COL-029</t>
  </si>
  <si>
    <t xml:space="preserve">COL-030</t>
  </si>
  <si>
    <t xml:space="preserve">COL-031</t>
  </si>
  <si>
    <t xml:space="preserve">COL-032</t>
  </si>
  <si>
    <t xml:space="preserve">COL-033</t>
  </si>
  <si>
    <t xml:space="preserve">COL-034</t>
  </si>
  <si>
    <t xml:space="preserve">COL-035</t>
  </si>
  <si>
    <t xml:space="preserve">COL-036</t>
  </si>
  <si>
    <t xml:space="preserve">COL-037</t>
  </si>
  <si>
    <t xml:space="preserve">COL-038</t>
  </si>
  <si>
    <t xml:space="preserve">COL-039</t>
  </si>
  <si>
    <t xml:space="preserve">COL-040</t>
  </si>
  <si>
    <t xml:space="preserve">COL-041</t>
  </si>
  <si>
    <t xml:space="preserve">COL-042</t>
  </si>
  <si>
    <t xml:space="preserve">COL-043</t>
  </si>
  <si>
    <t xml:space="preserve">COL-044</t>
  </si>
  <si>
    <t xml:space="preserve">COL-045</t>
  </si>
  <si>
    <t xml:space="preserve">客户风险预警指标</t>
  </si>
  <si>
    <t xml:space="preserve">阈值均为企业政策示例，不是法规统一标准。</t>
  </si>
  <si>
    <t xml:space="preserve">单位</t>
  </si>
  <si>
    <t xml:space="preserve">本期值</t>
  </si>
  <si>
    <t xml:space="preserve">示例阈值</t>
  </si>
  <si>
    <t xml:space="preserve">预警等级</t>
  </si>
  <si>
    <t xml:space="preserve">动作</t>
  </si>
  <si>
    <t xml:space="preserve">付款承诺失约次数</t>
  </si>
  <si>
    <t xml:space="preserve">次数</t>
  </si>
  <si>
    <t xml:space="preserve">≥2</t>
  </si>
  <si>
    <t xml:space="preserve">黄/橙</t>
  </si>
  <si>
    <t xml:space="preserve">纳入周会，复评额度</t>
  </si>
  <si>
    <t xml:space="preserve">天</t>
  </si>
  <si>
    <t xml:space="preserve">&gt;30/&gt;90</t>
  </si>
  <si>
    <t xml:space="preserve">橙/红</t>
  </si>
  <si>
    <t xml:space="preserve">限制信用/原则停供</t>
  </si>
  <si>
    <t xml:space="preserve">争议金额占比</t>
  </si>
  <si>
    <t xml:space="preserve">%</t>
  </si>
  <si>
    <t xml:space="preserve">&gt;10%</t>
  </si>
  <si>
    <t xml:space="preserve">橙</t>
  </si>
  <si>
    <t xml:space="preserve">交付专项关闭</t>
  </si>
  <si>
    <t xml:space="preserve">额度使用率</t>
  </si>
  <si>
    <t xml:space="preserve">&gt;90%</t>
  </si>
  <si>
    <t xml:space="preserve">黄</t>
  </si>
  <si>
    <t xml:space="preserve">检查未发货订单</t>
  </si>
  <si>
    <t xml:space="preserve">外部失信/执行</t>
  </si>
  <si>
    <t xml:space="preserve">是/否</t>
  </si>
  <si>
    <t xml:space="preserve">否</t>
  </si>
  <si>
    <t xml:space="preserve">是</t>
  </si>
  <si>
    <t xml:space="preserve">红</t>
  </si>
  <si>
    <t xml:space="preserve">冻结并法务评估</t>
  </si>
  <si>
    <t xml:space="preserve">客户集中度</t>
  </si>
  <si>
    <t xml:space="preserve">Top1&gt;25%示例</t>
  </si>
  <si>
    <t xml:space="preserve">压力测试和增信</t>
  </si>
  <si>
    <t xml:space="preserve">承诺兑现率</t>
  </si>
  <si>
    <t xml:space="preserve">&lt;70%</t>
  </si>
  <si>
    <t xml:space="preserve">提高审批层级</t>
  </si>
  <si>
    <t xml:space="preserve">未认领回款账龄</t>
  </si>
  <si>
    <t xml:space="preserve">&gt;3</t>
  </si>
  <si>
    <t xml:space="preserve">资金与销售确认</t>
  </si>
  <si>
    <t xml:space="preserve">应收集中度分析</t>
  </si>
  <si>
    <t xml:space="preserve">Top1/Top5应结合客户信用和最坏现金缺口，不以未逾期作为唯一判断。</t>
  </si>
  <si>
    <t xml:space="preserve">应收余额</t>
  </si>
  <si>
    <t xml:space="preserve">占比</t>
  </si>
  <si>
    <t xml:space="preserve">累计占比</t>
  </si>
  <si>
    <t xml:space="preserve">风险意见</t>
  </si>
  <si>
    <t xml:space="preserve">丁客户</t>
  </si>
  <si>
    <t xml:space="preserve">戊客户</t>
  </si>
  <si>
    <t xml:space="preserve">其他</t>
  </si>
  <si>
    <t xml:space="preserve">坏账管理、会计和税务三轨表</t>
  </si>
  <si>
    <t xml:space="preserve">依据应结合税总公告2011年第25号现行条款及2018年第15号留存备查要求。</t>
  </si>
  <si>
    <t xml:space="preserve">层面</t>
  </si>
  <si>
    <t xml:space="preserve">核心问题</t>
  </si>
  <si>
    <t xml:space="preserve">处理</t>
  </si>
  <si>
    <t xml:space="preserve">不能混淆</t>
  </si>
  <si>
    <t xml:space="preserve">本公司证据路径</t>
  </si>
  <si>
    <t xml:space="preserve">管理风险认定</t>
  </si>
  <si>
    <t xml:space="preserve">客户是否仍可收回、是否继续交易</t>
  </si>
  <si>
    <t xml:space="preserve">预警、停供、担保、法务、责任复盘</t>
  </si>
  <si>
    <t xml:space="preserve">风险客户不等于立即核销</t>
  </si>
  <si>
    <t xml:space="preserve">会计ECL</t>
  </si>
  <si>
    <t xml:space="preserve">资产负债表日预计现金短缺</t>
  </si>
  <si>
    <t xml:space="preserve">组合/个别评估、计提；满足政策审批后核销</t>
  </si>
  <si>
    <t xml:space="preserve">计提不等于债权消失</t>
  </si>
  <si>
    <t xml:space="preserve">所得税资产损失</t>
  </si>
  <si>
    <t xml:space="preserve">是否满足税前扣除条件</t>
  </si>
  <si>
    <t xml:space="preserve">按年度申报并留存交易、催收、司法、核销、会计等证据</t>
  </si>
  <si>
    <t xml:space="preserve">会计核销不自动税前扣除</t>
  </si>
  <si>
    <t xml:space="preserve">ECL参数与迁徙示例</t>
  </si>
  <si>
    <t xml:space="preserve">参数仅用于学习；实际应按共同信用风险特征、历史数据、前瞻信息和个别评估形成。</t>
  </si>
  <si>
    <t xml:space="preserve">账龄段</t>
  </si>
  <si>
    <t xml:space="preserve">历史最终损失率</t>
  </si>
  <si>
    <t xml:space="preserve">前瞻系数</t>
  </si>
  <si>
    <t xml:space="preserve">调整后ECL</t>
  </si>
  <si>
    <t xml:space="preserve">未逾期</t>
  </si>
  <si>
    <t xml:space="preserve">正常组合</t>
  </si>
  <si>
    <t xml:space="preserve">1-30天</t>
  </si>
  <si>
    <t xml:space="preserve">轻微恶化</t>
  </si>
  <si>
    <t xml:space="preserve">31-90天</t>
  </si>
  <si>
    <t xml:space="preserve">持续观察</t>
  </si>
  <si>
    <t xml:space="preserve">91-180天</t>
  </si>
  <si>
    <t xml:space="preserve">主管逐客复核</t>
  </si>
  <si>
    <t xml:space="preserve">180天以上</t>
  </si>
  <si>
    <t xml:space="preserve">个别评估优先</t>
  </si>
  <si>
    <t xml:space="preserve">ECL合计</t>
  </si>
  <si>
    <t xml:space="preserve">应收月报一页版</t>
  </si>
  <si>
    <t xml:space="preserve">把余额压缩为规模、质量、现金、风险和决策。</t>
  </si>
  <si>
    <t xml:space="preserve">项目1</t>
  </si>
  <si>
    <t xml:space="preserve">结果1</t>
  </si>
  <si>
    <t xml:space="preserve">项目2</t>
  </si>
  <si>
    <t xml:space="preserve">结果2</t>
  </si>
  <si>
    <t xml:space="preserve">项目3</t>
  </si>
  <si>
    <t xml:space="preserve">结果3</t>
  </si>
  <si>
    <t xml:space="preserve">项目4</t>
  </si>
  <si>
    <t xml:space="preserve">结果4</t>
  </si>
  <si>
    <t xml:space="preserve">环比</t>
  </si>
  <si>
    <t xml:space="preserve">逾期余额</t>
  </si>
  <si>
    <t xml:space="preserve">逾期率</t>
  </si>
  <si>
    <t xml:space="preserve">90天以上</t>
  </si>
  <si>
    <t xml:space="preserve">Top1集中度</t>
  </si>
  <si>
    <t xml:space="preserve">Top5集中度</t>
  </si>
  <si>
    <t xml:space="preserve">ECL</t>
  </si>
  <si>
    <t xml:space="preserve">本月回款</t>
  </si>
  <si>
    <t xml:space="preserve">下月预测</t>
  </si>
  <si>
    <t xml:space="preserve">未认领回款</t>
  </si>
  <si>
    <t xml:space="preserve">重大变化</t>
  </si>
  <si>
    <t xml:space="preserve">Top风险客户</t>
  </si>
  <si>
    <t xml:space="preserve">需管理层决策</t>
  </si>
  <si>
    <t xml:space="preserve">客户对账函模板</t>
  </si>
  <si>
    <t xml:space="preserve">发送前先完成内部合同、出库、验收、发票和回款核对。</t>
  </si>
  <si>
    <t xml:space="preserve">字段1</t>
  </si>
  <si>
    <t xml:space="preserve">内容1</t>
  </si>
  <si>
    <t xml:space="preserve">字段2</t>
  </si>
  <si>
    <t xml:space="preserve">内容2</t>
  </si>
  <si>
    <t xml:space="preserve">收件人：</t>
  </si>
  <si>
    <t xml:space="preserve">客户财务/业务联系人</t>
  </si>
  <si>
    <t xml:space="preserve">主题：</t>
  </si>
  <si>
    <t xml:space="preserve">截至____年__月__日往来余额确认</t>
  </si>
  <si>
    <t xml:space="preserve">我方主体：</t>
  </si>
  <si>
    <t xml:space="preserve">客户主体：</t>
  </si>
  <si>
    <t xml:space="preserve">期初余额：</t>
  </si>
  <si>
    <t xml:space="preserve">本期增加：</t>
  </si>
  <si>
    <t xml:space="preserve">本期回款/冲减：</t>
  </si>
  <si>
    <t xml:space="preserve">期末余额：</t>
  </si>
  <si>
    <t xml:space="preserve">差异：</t>
  </si>
  <si>
    <t xml:space="preserve">差异说明：</t>
  </si>
  <si>
    <t xml:space="preserve">附件：</t>
  </si>
  <si>
    <t xml:space="preserve">逐笔明细、发票、回款及差异清单</t>
  </si>
  <si>
    <t xml:space="preserve">请回复：</t>
  </si>
  <si>
    <t xml:space="preserve">确认无误/存在差异（请列明）；回复人、日期和联系方式</t>
  </si>
  <si>
    <t xml:space="preserve">分级催款函要素</t>
  </si>
  <si>
    <t xml:space="preserve">本模板提供结构，重大或法律催款函由法务复核。</t>
  </si>
  <si>
    <t xml:space="preserve">级次</t>
  </si>
  <si>
    <t xml:space="preserve">适用</t>
  </si>
  <si>
    <t xml:space="preserve">正文要素</t>
  </si>
  <si>
    <t xml:space="preserve">控制</t>
  </si>
  <si>
    <t xml:space="preserve">一级提醒</t>
  </si>
  <si>
    <t xml:space="preserve">到期/逾期初期</t>
  </si>
  <si>
    <t xml:space="preserve">列明合同、发票、金额、到期日，请确认付款节点</t>
  </si>
  <si>
    <t xml:space="preserve">友好提醒</t>
  </si>
  <si>
    <t xml:space="preserve">二级催款</t>
  </si>
  <si>
    <t xml:space="preserve">逾期30天示例</t>
  </si>
  <si>
    <t xml:space="preserve">引用前次承诺和失约，要求书面付款计划</t>
  </si>
  <si>
    <t xml:space="preserve">限制新增信用</t>
  </si>
  <si>
    <t xml:space="preserve">三级催款</t>
  </si>
  <si>
    <t xml:space="preserve">逾期90天示例</t>
  </si>
  <si>
    <t xml:space="preserve">列明违约事实、欠款、最后期限和公司保留权利</t>
  </si>
  <si>
    <t xml:space="preserve">法务复核后发送</t>
  </si>
  <si>
    <t xml:space="preserve">必要字段</t>
  </si>
  <si>
    <t xml:space="preserve">全部</t>
  </si>
  <si>
    <t xml:space="preserve">双方主体、合同/发票、余额、到期日、收款账户、联系人、附件</t>
  </si>
  <si>
    <t xml:space="preserve">不得夸大法律后果</t>
  </si>
  <si>
    <t xml:space="preserve">发送记录</t>
  </si>
  <si>
    <t xml:space="preserve">发送人、收件人、抄送、时间、回执、客户回复</t>
  </si>
  <si>
    <t xml:space="preserve">归档到客户/应收ID</t>
  </si>
  <si>
    <t xml:space="preserve">复杂回款核销异常</t>
  </si>
  <si>
    <t xml:space="preserve">不得为了清零而跨客户、跨发票错配。</t>
  </si>
  <si>
    <t xml:space="preserve">到账日</t>
  </si>
  <si>
    <t xml:space="preserve">付款主体</t>
  </si>
  <si>
    <t xml:space="preserve">金额</t>
  </si>
  <si>
    <t xml:space="preserve">合同客户</t>
  </si>
  <si>
    <t xml:space="preserve">拟核销应收</t>
  </si>
  <si>
    <t xml:space="preserve">异常类型</t>
  </si>
  <si>
    <t xml:space="preserve">客户指定/证据</t>
  </si>
  <si>
    <t xml:space="preserve">处理方案</t>
  </si>
  <si>
    <t xml:space="preserve">复核人</t>
  </si>
  <si>
    <t xml:space="preserve">ALLOC-001</t>
  </si>
  <si>
    <t xml:space="preserve">待确认</t>
  </si>
  <si>
    <t xml:space="preserve">ALLOC-002</t>
  </si>
  <si>
    <t xml:space="preserve">ALLOC-003</t>
  </si>
  <si>
    <t xml:space="preserve">ALLOC-004</t>
  </si>
  <si>
    <t xml:space="preserve">ALLOC-005</t>
  </si>
  <si>
    <t xml:space="preserve">ALLOC-006</t>
  </si>
  <si>
    <t xml:space="preserve">ALLOC-007</t>
  </si>
  <si>
    <t xml:space="preserve">ALLOC-008</t>
  </si>
  <si>
    <t xml:space="preserve">ALLOC-009</t>
  </si>
  <si>
    <t xml:space="preserve">ALLOC-010</t>
  </si>
  <si>
    <t xml:space="preserve">ALLOC-011</t>
  </si>
  <si>
    <t xml:space="preserve">ALLOC-012</t>
  </si>
  <si>
    <t xml:space="preserve">ALLOC-013</t>
  </si>
  <si>
    <t xml:space="preserve">ALLOC-014</t>
  </si>
  <si>
    <t xml:space="preserve">ALLOC-015</t>
  </si>
  <si>
    <t xml:space="preserve">ALLOC-016</t>
  </si>
  <si>
    <t xml:space="preserve">ALLOC-017</t>
  </si>
  <si>
    <t xml:space="preserve">ALLOC-018</t>
  </si>
  <si>
    <t xml:space="preserve">ALLOC-019</t>
  </si>
  <si>
    <t xml:space="preserve">ALLOC-020</t>
  </si>
  <si>
    <t xml:space="preserve">ALLOC-021</t>
  </si>
  <si>
    <t xml:space="preserve">ALLOC-022</t>
  </si>
  <si>
    <t xml:space="preserve">ALLOC-023</t>
  </si>
  <si>
    <t xml:space="preserve">ALLOC-024</t>
  </si>
  <si>
    <t xml:space="preserve">ALLOC-025</t>
  </si>
  <si>
    <t xml:space="preserve">ALLOC-026</t>
  </si>
  <si>
    <t xml:space="preserve">ALLOC-027</t>
  </si>
  <si>
    <t xml:space="preserve">ALLOC-028</t>
  </si>
  <si>
    <t xml:space="preserve">ALLOC-029</t>
  </si>
  <si>
    <t xml:space="preserve">ALLOC-030</t>
  </si>
  <si>
    <t xml:space="preserve">ALLOC-031</t>
  </si>
  <si>
    <t xml:space="preserve">ALLOC-032</t>
  </si>
  <si>
    <t xml:space="preserve">ALLOC-033</t>
  </si>
  <si>
    <t xml:space="preserve">ALLOC-034</t>
  </si>
  <si>
    <t xml:space="preserve">ALLOC-035</t>
  </si>
  <si>
    <t xml:space="preserve">ALLOC-036</t>
  </si>
  <si>
    <t xml:space="preserve">ALLOC-037</t>
  </si>
  <si>
    <t xml:space="preserve">ALLOC-038</t>
  </si>
  <si>
    <t xml:space="preserve">ALLOC-039</t>
  </si>
  <si>
    <t xml:space="preserve">ALLOC-040</t>
  </si>
  <si>
    <t xml:space="preserve">销售绩效与应收质量</t>
  </si>
  <si>
    <t xml:space="preserve">权重仅为示例，应由公司结合劳动用工规则、业务可控性和激励目标确定。</t>
  </si>
  <si>
    <t xml:space="preserve">方案</t>
  </si>
  <si>
    <t xml:space="preserve">做法</t>
  </si>
  <si>
    <t xml:space="preserve">风险控制</t>
  </si>
  <si>
    <t xml:space="preserve">本公司选择</t>
  </si>
  <si>
    <t xml:space="preserve">收入+回款双指标</t>
  </si>
  <si>
    <t xml:space="preserve">毛利/收入权重60%，到期回款40%（示例）</t>
  </si>
  <si>
    <t xml:space="preserve">常规销售团队</t>
  </si>
  <si>
    <t xml:space="preserve">账期差异、企业交付原因、客户争议需校正</t>
  </si>
  <si>
    <t xml:space="preserve">递延兑现</t>
  </si>
  <si>
    <t xml:space="preserve">部分奖金在客户回款后支付</t>
  </si>
  <si>
    <t xml:space="preserve">项目/长账期</t>
  </si>
  <si>
    <t xml:space="preserve">纳入合法有效薪酬制度和劳动约定</t>
  </si>
  <si>
    <t xml:space="preserve">质量扣分</t>
  </si>
  <si>
    <t xml:space="preserve">逾期、争议、坏账、超额例外扣分</t>
  </si>
  <si>
    <t xml:space="preserve">销售能影响准入和合同</t>
  </si>
  <si>
    <t xml:space="preserve">排除不可控原因并设申诉复核</t>
  </si>
  <si>
    <t xml:space="preserve">应收周会SOP</t>
  </si>
  <si>
    <t xml:space="preserve">禁止仅记录“正在催”“客户走流程”。</t>
  </si>
  <si>
    <t xml:space="preserve">议程</t>
  </si>
  <si>
    <t xml:space="preserve">要求</t>
  </si>
  <si>
    <t xml:space="preserve">输出</t>
  </si>
  <si>
    <t xml:space="preserve">本周结论</t>
  </si>
  <si>
    <t xml:space="preserve">会前T-1</t>
  </si>
  <si>
    <t xml:space="preserve">AR发布逾期、承诺、争议、信用例外、未认领和Top风险</t>
  </si>
  <si>
    <t xml:space="preserve">AR</t>
  </si>
  <si>
    <t xml:space="preserve">数据包</t>
  </si>
  <si>
    <t xml:space="preserve">承诺兑现</t>
  </si>
  <si>
    <t xml:space="preserve">先复盘上周金额与日期承诺</t>
  </si>
  <si>
    <t xml:space="preserve">失约原因和新动作</t>
  </si>
  <si>
    <t xml:space="preserve">新增逾期</t>
  </si>
  <si>
    <t xml:space="preserve">逐笔确认原因、Owner、截止和控制</t>
  </si>
  <si>
    <t xml:space="preserve">销售/AR</t>
  </si>
  <si>
    <t xml:space="preserve">行动清单</t>
  </si>
  <si>
    <t xml:space="preserve">争议</t>
  </si>
  <si>
    <t xml:space="preserve">验收、质量、价格、发票分别交责任部门</t>
  </si>
  <si>
    <t xml:space="preserve">项目/质量/销售</t>
  </si>
  <si>
    <t xml:space="preserve">Issue</t>
  </si>
  <si>
    <t xml:space="preserve">冻结与例外</t>
  </si>
  <si>
    <t xml:space="preserve">决定停供、预付、担保或一次性例外</t>
  </si>
  <si>
    <t xml:space="preserve">财务经理/管理层</t>
  </si>
  <si>
    <t xml:space="preserve">审批</t>
  </si>
  <si>
    <t xml:space="preserve">法律事项</t>
  </si>
  <si>
    <t xml:space="preserve">决定律师函、保全、诉讼、重组</t>
  </si>
  <si>
    <t xml:space="preserve">法务</t>
  </si>
  <si>
    <t xml:space="preserve">现金预测</t>
  </si>
  <si>
    <t xml:space="preserve">更新未来4/8/13周回款</t>
  </si>
  <si>
    <t xml:space="preserve">资金/AR</t>
  </si>
  <si>
    <t xml:space="preserve">预测</t>
  </si>
  <si>
    <t xml:space="preserve">Closure</t>
  </si>
  <si>
    <t xml:space="preserve">验证到账核销、争议和信用状态均完成</t>
  </si>
  <si>
    <t xml:space="preserve">财务主管</t>
  </si>
  <si>
    <t xml:space="preserve">关闭证据</t>
  </si>
  <si>
    <t xml:space="preserve">应收融资评估</t>
  </si>
  <si>
    <t xml:space="preserve">产品名称不直接决定会计终止确认。</t>
  </si>
  <si>
    <t xml:space="preserve">目的</t>
  </si>
  <si>
    <t xml:space="preserve">主要风险</t>
  </si>
  <si>
    <t xml:space="preserve">会计/管理判断</t>
  </si>
  <si>
    <t xml:space="preserve">无追索保理</t>
  </si>
  <si>
    <t xml:space="preserve">加速现金</t>
  </si>
  <si>
    <t xml:space="preserve">可能仍有回购/争议/继续涉入</t>
  </si>
  <si>
    <t xml:space="preserve">按风险报酬、控制和继续涉入判断</t>
  </si>
  <si>
    <t xml:space="preserve">待评估</t>
  </si>
  <si>
    <t xml:space="preserve">有追索保理</t>
  </si>
  <si>
    <t xml:space="preserve">融资</t>
  </si>
  <si>
    <t xml:space="preserve">追索、契约、成本</t>
  </si>
  <si>
    <t xml:space="preserve">常见更接近应收融资，逐合同判断</t>
  </si>
  <si>
    <t xml:space="preserve">应收质押</t>
  </si>
  <si>
    <t xml:space="preserve">贷款</t>
  </si>
  <si>
    <t xml:space="preserve">登记、回款账户限制</t>
  </si>
  <si>
    <t xml:space="preserve">通常继续确认应收并确认借款</t>
  </si>
  <si>
    <t xml:space="preserve">信用保险</t>
  </si>
  <si>
    <t xml:space="preserve">降信用损失</t>
  </si>
  <si>
    <t xml:space="preserve">免赔、除外、报案条件</t>
  </si>
  <si>
    <t xml:space="preserve">不替代信用审批和催收</t>
  </si>
  <si>
    <t xml:space="preserve">票据化</t>
  </si>
  <si>
    <t xml:space="preserve">客户提供票据</t>
  </si>
  <si>
    <t xml:space="preserve">承兑人、期限、贴现追索</t>
  </si>
  <si>
    <t xml:space="preserve">管理应收到票据的转换风险</t>
  </si>
  <si>
    <t xml:space="preserve">应收余额增长桥接</t>
  </si>
  <si>
    <t xml:space="preserve">不要把“应收增加”当成分析终点。</t>
  </si>
  <si>
    <t xml:space="preserve">桥接项</t>
  </si>
  <si>
    <t xml:space="preserve">解释</t>
  </si>
  <si>
    <t xml:space="preserve">收入效应</t>
  </si>
  <si>
    <t xml:space="preserve">收入增长自然形成</t>
  </si>
  <si>
    <t xml:space="preserve">DSO效应</t>
  </si>
  <si>
    <t xml:space="preserve">回款速度变慢</t>
  </si>
  <si>
    <t xml:space="preserve">客户/产品结构</t>
  </si>
  <si>
    <t xml:space="preserve">长账期客户占比上升</t>
  </si>
  <si>
    <t xml:space="preserve">争议和交付</t>
  </si>
  <si>
    <t xml:space="preserve">验收/质量争议</t>
  </si>
  <si>
    <t xml:space="preserve">截止和会计</t>
  </si>
  <si>
    <t xml:space="preserve">核销清理及红冲</t>
  </si>
  <si>
    <t xml:space="preserve">汇率等</t>
  </si>
  <si>
    <t xml:space="preserve">合计变化</t>
  </si>
  <si>
    <t xml:space="preserve">应等于期末应收减期初应收</t>
  </si>
  <si>
    <t xml:space="preserve">15个补强案例索引</t>
  </si>
  <si>
    <t xml:space="preserve">详细分析见复核与补强报告。</t>
  </si>
  <si>
    <t xml:space="preserve">案例</t>
  </si>
  <si>
    <t xml:space="preserve">主题</t>
  </si>
  <si>
    <t xml:space="preserve">第一步</t>
  </si>
  <si>
    <t xml:space="preserve">SUP-AR-001</t>
  </si>
  <si>
    <t xml:space="preserve">新客户要求90天账期</t>
  </si>
  <si>
    <t xml:space="preserve">信用准入</t>
  </si>
  <si>
    <t xml:space="preserve">先调查与评分</t>
  </si>
  <si>
    <t xml:space="preserve">预付/现款或小额试单</t>
  </si>
  <si>
    <t xml:space="preserve">调查+审批</t>
  </si>
  <si>
    <t xml:space="preserve">SUP-AR-002</t>
  </si>
  <si>
    <t xml:space="preserve">逾期仍要求发货</t>
  </si>
  <si>
    <t xml:space="preserve">信用例外</t>
  </si>
  <si>
    <t xml:space="preserve">查全敞口和原因</t>
  </si>
  <si>
    <t xml:space="preserve">冻结/回款/预付/担保</t>
  </si>
  <si>
    <t xml:space="preserve">逾期+例外审批</t>
  </si>
  <si>
    <t xml:space="preserve">SUP-AR-003</t>
  </si>
  <si>
    <t xml:space="preserve">账龄60天未逾期</t>
  </si>
  <si>
    <t xml:space="preserve">双账龄</t>
  </si>
  <si>
    <t xml:space="preserve">分开计算</t>
  </si>
  <si>
    <t xml:space="preserve">到期前提醒</t>
  </si>
  <si>
    <t xml:space="preserve">合同+日期</t>
  </si>
  <si>
    <t xml:space="preserve">SUP-AR-004</t>
  </si>
  <si>
    <t xml:space="preserve">客户120万公司100万</t>
  </si>
  <si>
    <t xml:space="preserve">对账</t>
  </si>
  <si>
    <t xml:space="preserve">锁定截止逐笔桥接</t>
  </si>
  <si>
    <t xml:space="preserve">纠错或Issue</t>
  </si>
  <si>
    <t xml:space="preserve">双方明细+单据</t>
  </si>
  <si>
    <t xml:space="preserve">SUP-AR-005</t>
  </si>
  <si>
    <t xml:space="preserve">一款多票</t>
  </si>
  <si>
    <t xml:space="preserve">核销</t>
  </si>
  <si>
    <t xml:space="preserve">客户指定/政策</t>
  </si>
  <si>
    <t xml:space="preserve">保留未清</t>
  </si>
  <si>
    <t xml:space="preserve">水单+确认</t>
  </si>
  <si>
    <t xml:space="preserve">SUP-AR-006</t>
  </si>
  <si>
    <t xml:space="preserve">多款一票</t>
  </si>
  <si>
    <t xml:space="preserve">逐笔到账</t>
  </si>
  <si>
    <t xml:space="preserve">最后关闭</t>
  </si>
  <si>
    <t xml:space="preserve">流水</t>
  </si>
  <si>
    <t xml:space="preserve">SUP-AR-007</t>
  </si>
  <si>
    <t xml:space="preserve">第三方代付</t>
  </si>
  <si>
    <t xml:space="preserve">主体异常</t>
  </si>
  <si>
    <t xml:space="preserve">核实代付</t>
  </si>
  <si>
    <t xml:space="preserve">资料不足先未认领</t>
  </si>
  <si>
    <t xml:space="preserve">代付说明</t>
  </si>
  <si>
    <t xml:space="preserve">SUP-AR-008</t>
  </si>
  <si>
    <t xml:space="preserve">短款索赔</t>
  </si>
  <si>
    <t xml:space="preserve">核实质量和合同</t>
  </si>
  <si>
    <t xml:space="preserve">有效折让/继续催收</t>
  </si>
  <si>
    <t xml:space="preserve">索赔+审批</t>
  </si>
  <si>
    <t xml:space="preserve">SUP-AR-009</t>
  </si>
  <si>
    <t xml:space="preserve">客户破产</t>
  </si>
  <si>
    <t xml:space="preserve">坏账/ECL</t>
  </si>
  <si>
    <t xml:space="preserve">转个别评估</t>
  </si>
  <si>
    <t xml:space="preserve">法务+税务证据</t>
  </si>
  <si>
    <t xml:space="preserve">法院文件</t>
  </si>
  <si>
    <t xml:space="preserve">SUP-AR-010</t>
  </si>
  <si>
    <t xml:space="preserve">长期逾期口头承诺</t>
  </si>
  <si>
    <t xml:space="preserve">看客观证据</t>
  </si>
  <si>
    <t xml:space="preserve">法务+ECL</t>
  </si>
  <si>
    <t xml:space="preserve">失约记录</t>
  </si>
  <si>
    <t xml:space="preserve">SUP-AR-011</t>
  </si>
  <si>
    <t xml:space="preserve">销售隐藏争议</t>
  </si>
  <si>
    <t xml:space="preserve">治理</t>
  </si>
  <si>
    <t xml:space="preserve">独立判断</t>
  </si>
  <si>
    <t xml:space="preserve">记录分歧升级</t>
  </si>
  <si>
    <t xml:space="preserve">客户异议</t>
  </si>
  <si>
    <t xml:space="preserve">SUP-AR-012</t>
  </si>
  <si>
    <t xml:space="preserve">反复例外放货</t>
  </si>
  <si>
    <t xml:space="preserve">信用治理</t>
  </si>
  <si>
    <t xml:space="preserve">统计例外和兑现</t>
  </si>
  <si>
    <t xml:space="preserve">停止滚动例外</t>
  </si>
  <si>
    <t xml:space="preserve">例外台账</t>
  </si>
  <si>
    <t xml:space="preserve">SUP-AR-013</t>
  </si>
  <si>
    <t xml:space="preserve">Top1占35%</t>
  </si>
  <si>
    <t xml:space="preserve">压力测试</t>
  </si>
  <si>
    <t xml:space="preserve">增信/分散/上限</t>
  </si>
  <si>
    <t xml:space="preserve">集中度报告</t>
  </si>
  <si>
    <t xml:space="preserve">SUP-AR-014</t>
  </si>
  <si>
    <t xml:space="preserve">收入未增应收增30%</t>
  </si>
  <si>
    <t xml:space="preserve">经营分析</t>
  </si>
  <si>
    <t xml:space="preserve">量化桥接</t>
  </si>
  <si>
    <t xml:space="preserve">定位DSO/结构/截止</t>
  </si>
  <si>
    <t xml:space="preserve">数据桥</t>
  </si>
  <si>
    <t xml:space="preserve">SUP-AR-015</t>
  </si>
  <si>
    <t xml:space="preserve">读合同风险报酬</t>
  </si>
  <si>
    <t xml:space="preserve">逐合同会计判断</t>
  </si>
  <si>
    <t xml:space="preserve">会计备忘录</t>
  </si>
  <si>
    <t xml:space="preserve">主要依据</t>
  </si>
  <si>
    <t xml:space="preserve">使用时核对现行有效状态和企业适用制度。</t>
  </si>
  <si>
    <t xml:space="preserve">文件</t>
  </si>
  <si>
    <t xml:space="preserve">用途</t>
  </si>
  <si>
    <t xml:space="preserve">官方链接</t>
  </si>
  <si>
    <t xml:space="preserve">企业内部控制应用指引第9号——销售业务</t>
  </si>
  <si>
    <t xml:space="preserve">信用、职责、对账、催收、坏账审批和账销案存</t>
  </si>
  <si>
    <t xml:space="preserve">https://kjs.mof.gov.cn/zhengcefabu/201005/P020230421440664863663.pdf</t>
  </si>
  <si>
    <t xml:space="preserve">企业会计准则第22号——金融工具确认和计量</t>
  </si>
  <si>
    <t xml:space="preserve">https://www.mof.gov.cn/zcsjtsgb/gfxwj/201703/t20170331_3583504.htm</t>
  </si>
  <si>
    <t xml:space="preserve">财政部2025年会计信息质量检查提示</t>
  </si>
  <si>
    <t xml:space="preserve">ECL组合、参数和前瞻信息问题</t>
  </si>
  <si>
    <t xml:space="preserve">https://kjs.mof.gov.cn/gongzuotongzhi/202507/P020250723604047077755.pdf</t>
  </si>
  <si>
    <t xml:space="preserve">企业会计准则第23号——金融资产转移</t>
  </si>
  <si>
    <t xml:space="preserve">保理/应收转移</t>
  </si>
  <si>
    <t xml:space="preserve">https://www.mof.gov.cn/zcsjtsgb/gfxwj/201703/t20170331_3583505.htm</t>
  </si>
  <si>
    <t xml:space="preserve">税总公告2011年第25号（已修改）</t>
  </si>
  <si>
    <t xml:space="preserve">资产损失税前扣除</t>
  </si>
  <si>
    <t xml:space="preserve">https://fgk.chinatax.gov.cn/zcfgk/c100012/c5194226/content.html</t>
  </si>
  <si>
    <t xml:space="preserve">民法典</t>
  </si>
  <si>
    <t xml:space="preserve">合同、证据和诉讼时效</t>
  </si>
  <si>
    <t xml:space="preserve">https://www.cac.gov.cn/2020-06/01/c_1592561777268319.htm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</si>
</sst>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\¥#,##0"/>
    <numFmt numFmtId="167" formatCode="0.0%"/>
  </numFmts>
  <fonts count="9">
    <font>
      <sz val="10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name val="Calibri"/>
      <family val="0"/>
      <charset val="1"/>
    </font>
    <font>
      <b val="true"/>
      <sz val="16"/>
      <name val="Microsoft YaHei"/>
      <family val="0"/>
      <charset val="1"/>
    </font>
    <font>
      <i val="true"/>
      <sz val="9"/>
      <color rgb="FF666666"/>
      <name val="Microsoft YaHei"/>
      <family val="0"/>
      <charset val="1"/>
    </font>
    <font>
      <b val="true"/>
      <sz val="8"/>
      <color rgb="FFFFFFFF"/>
      <name val="Microsoft YaHei"/>
      <family val="0"/>
      <charset val="1"/>
    </font>
    <font>
      <sz val="8"/>
      <name val="Microsoft YaHe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3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3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1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ont>
        <b val="1"/>
        <color rgb="FFC00000"/>
      </font>
      <fill>
        <patternFill>
          <bgColor rgb="FFFCE4D6"/>
        </patternFill>
      </fill>
    </dxf>
    <dxf>
      <fill>
        <patternFill patternType="solid">
          <fgColor rgb="FFFFF2CC"/>
          <bgColor rgb="FF000000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llocationExceptions" displayName="AllocationExceptions" ref="A5:K45" headerRowCount="1" totalsRowCount="0" totalsRowShown="0">
  <tableColumns count="11">
    <tableColumn id="1" name="编号"/>
    <tableColumn id="2" name="到账日"/>
    <tableColumn id="3" name="付款主体"/>
    <tableColumn id="4" name="金额"/>
    <tableColumn id="5" name="合同客户"/>
    <tableColumn id="6" name="拟核销应收"/>
    <tableColumn id="7" name="异常类型"/>
    <tableColumn id="8" name="客户指定/证据"/>
    <tableColumn id="9" name="处理方案"/>
    <tableColumn id="10" name="复核人"/>
    <tableColumn id="11" name="状态"/>
  </tableColumns>
</table>
</file>

<file path=xl/tables/table2.xml><?xml version="1.0" encoding="utf-8"?>
<table xmlns="http://schemas.openxmlformats.org/spreadsheetml/2006/main" id="2" name="ARFinance" displayName="ARFinance" ref="A5:E10" headerRowCount="1" totalsRowCount="0" totalsRowShown="0">
  <tableColumns count="5">
    <tableColumn id="1" name="方式"/>
    <tableColumn id="2" name="目的"/>
    <tableColumn id="3" name="主要风险"/>
    <tableColumn id="4" name="会计/管理判断"/>
    <tableColumn id="5" name="结论"/>
  </tableColumns>
</table>
</file>

<file path=xl/tables/table3.xml><?xml version="1.0" encoding="utf-8"?>
<table xmlns="http://schemas.openxmlformats.org/spreadsheetml/2006/main" id="3" name="ARGrowth" displayName="ARGrowth" ref="A5:C12" headerRowCount="1" totalsRowCount="0" totalsRowShown="0">
  <tableColumns count="3">
    <tableColumn id="1" name="桥接项"/>
    <tableColumn id="2" name="金额"/>
    <tableColumn id="3" name="解释"/>
  </tableColumns>
</table>
</file>

<file path=xl/tables/table4.xml><?xml version="1.0" encoding="utf-8"?>
<table xmlns="http://schemas.openxmlformats.org/spreadsheetml/2006/main" id="4" name="ARMeeting" displayName="ARMeeting" ref="A5:E13" headerRowCount="1" totalsRowCount="0" totalsRowShown="0">
  <tableColumns count="5">
    <tableColumn id="1" name="议程"/>
    <tableColumn id="2" name="要求"/>
    <tableColumn id="3" name="Owner"/>
    <tableColumn id="4" name="输出"/>
    <tableColumn id="5" name="本周结论"/>
  </tableColumns>
</table>
</file>

<file path=xl/tables/table5.xml><?xml version="1.0" encoding="utf-8"?>
<table xmlns="http://schemas.openxmlformats.org/spreadsheetml/2006/main" id="5" name="ARMonthly" displayName="ARMonthly" ref="A5:H11" headerRowCount="1" totalsRowCount="0" totalsRowShown="0">
  <tableColumns count="8">
    <tableColumn id="1" name="项目1"/>
    <tableColumn id="2" name="结果1"/>
    <tableColumn id="3" name="项目2"/>
    <tableColumn id="4" name="结果2"/>
    <tableColumn id="5" name="项目3"/>
    <tableColumn id="6" name="结果3"/>
    <tableColumn id="7" name="项目4"/>
    <tableColumn id="8" name="结果4"/>
  </tableColumns>
</table>
</file>

<file path=xl/tables/table6.xml><?xml version="1.0" encoding="utf-8"?>
<table xmlns="http://schemas.openxmlformats.org/spreadsheetml/2006/main" id="6" name="BadDebtTax" displayName="BadDebtTax" ref="A5:E8" headerRowCount="1" totalsRowCount="0" totalsRowShown="0">
  <tableColumns count="5">
    <tableColumn id="1" name="层面"/>
    <tableColumn id="2" name="核心问题"/>
    <tableColumn id="3" name="处理"/>
    <tableColumn id="4" name="不能混淆"/>
    <tableColumn id="5" name="本公司证据路径"/>
  </tableColumns>
</table>
</file>

<file path=xl/tables/table7.xml><?xml version="1.0" encoding="utf-8"?>
<table xmlns="http://schemas.openxmlformats.org/spreadsheetml/2006/main" id="7" name="CollectionLog" displayName="CollectionLog" ref="A5:L50" headerRowCount="1" totalsRowCount="0" totalsRowShown="0">
  <tableColumns count="12">
    <tableColumn id="1" name="记录ID"/>
    <tableColumn id="2" name="客户"/>
    <tableColumn id="3" name="应收ID"/>
    <tableColumn id="4" name="联系日期"/>
    <tableColumn id="5" name="联系人"/>
    <tableColumn id="6" name="方式"/>
    <tableColumn id="7" name="客户当前节点"/>
    <tableColumn id="8" name="承诺金额"/>
    <tableColumn id="9" name="承诺日期"/>
    <tableColumn id="10" name="下次行动"/>
    <tableColumn id="11" name="Owner"/>
    <tableColumn id="12" name="状态"/>
  </tableColumns>
</table>
</file>

<file path=xl/tables/table8.xml><?xml version="1.0" encoding="utf-8"?>
<table xmlns="http://schemas.openxmlformats.org/spreadsheetml/2006/main" id="8" name="CollectionSLA" displayName="CollectionSLA" ref="A5:E12" headerRowCount="1" totalsRowCount="0" totalsRowShown="0">
  <tableColumns count="5">
    <tableColumn id="1" name="时点"/>
    <tableColumn id="2" name="标准动作"/>
    <tableColumn id="3" name="Owner"/>
    <tableColumn id="4" name="证据"/>
    <tableColumn id="5" name="升级/控制"/>
  </tableColumns>
</table>
</file>

<file path=xl/tables/table9.xml><?xml version="1.0" encoding="utf-8"?>
<table xmlns="http://schemas.openxmlformats.org/spreadsheetml/2006/main" id="9" name="Concentration" displayName="Concentration" ref="A5:E11" headerRowCount="1" totalsRowCount="0" totalsRowShown="0">
  <tableColumns count="5">
    <tableColumn id="1" name="客户"/>
    <tableColumn id="2" name="应收余额"/>
    <tableColumn id="3" name="占比"/>
    <tableColumn id="4" name="累计占比"/>
    <tableColumn id="5" name="风险意见"/>
  </tableColumns>
</table>
</file>

<file path=xl/tables/table10.xml><?xml version="1.0" encoding="utf-8"?>
<table xmlns="http://schemas.openxmlformats.org/spreadsheetml/2006/main" id="10" name="CreditScore" displayName="CreditScore" ref="A5:F11" headerRowCount="1" totalsRowCount="0" totalsRowShown="0">
  <tableColumns count="6">
    <tableColumn id="1" name="维度"/>
    <tableColumn id="2" name="权重"/>
    <tableColumn id="3" name="得分"/>
    <tableColumn id="4" name="判断依据"/>
    <tableColumn id="5" name="证据来源"/>
    <tableColumn id="6" name="复核意见"/>
  </tableColumns>
</table>
</file>

<file path=xl/tables/table11.xml><?xml version="1.0" encoding="utf-8"?>
<table xmlns="http://schemas.openxmlformats.org/spreadsheetml/2006/main" id="11" name="DemandLetter" displayName="DemandLetter" ref="A5:D10" headerRowCount="1" totalsRowCount="0" totalsRowShown="0">
  <tableColumns count="4">
    <tableColumn id="1" name="级次"/>
    <tableColumn id="2" name="适用"/>
    <tableColumn id="3" name="正文要素"/>
    <tableColumn id="4" name="控制"/>
  </tableColumns>
</table>
</file>

<file path=xl/tables/table12.xml><?xml version="1.0" encoding="utf-8"?>
<table xmlns="http://schemas.openxmlformats.org/spreadsheetml/2006/main" id="12" name="DualAging" displayName="DualAging" ref="A5:I8" headerRowCount="1" totalsRowCount="0" totalsRowShown="0">
  <tableColumns count="9">
    <tableColumn id="1" name="应收ID"/>
    <tableColumn id="2" name="客户"/>
    <tableColumn id="3" name="确认/开票日"/>
    <tableColumn id="4" name="合同到期日"/>
    <tableColumn id="5" name="余额"/>
    <tableColumn id="6" name="会计账龄天数"/>
    <tableColumn id="7" name="逾期天数"/>
    <tableColumn id="8" name="逾期段"/>
    <tableColumn id="9" name="说明"/>
  </tableColumns>
</table>
</file>

<file path=xl/tables/table13.xml><?xml version="1.0" encoding="utf-8"?>
<table xmlns="http://schemas.openxmlformats.org/spreadsheetml/2006/main" id="13" name="ECLParams" displayName="ECLParams" ref="A5:F10" headerRowCount="1" totalsRowCount="0" totalsRowShown="0">
  <tableColumns count="6">
    <tableColumn id="1" name="账龄段"/>
    <tableColumn id="2" name="余额"/>
    <tableColumn id="3" name="历史最终损失率"/>
    <tableColumn id="4" name="前瞻系数"/>
    <tableColumn id="5" name="调整后ECL"/>
    <tableColumn id="6" name="依据"/>
  </tableColumns>
</table>
</file>

<file path=xl/tables/table14.xml><?xml version="1.0" encoding="utf-8"?>
<table xmlns="http://schemas.openxmlformats.org/spreadsheetml/2006/main" id="14" name="GapList" displayName="GapList" ref="A5:F30" headerRowCount="1" totalsRowCount="0" totalsRowShown="0">
  <tableColumns count="6">
    <tableColumn id="1" name="编号"/>
    <tableColumn id="2" name="领域"/>
    <tableColumn id="3" name="状态"/>
    <tableColumn id="4" name="优先级"/>
    <tableColumn id="5" name="补强动作"/>
    <tableColumn id="6" name="结论"/>
  </tableColumns>
</table>
</file>

<file path=xl/tables/table15.xml><?xml version="1.0" encoding="utf-8"?>
<table xmlns="http://schemas.openxmlformats.org/spreadsheetml/2006/main" id="15" name="ReviewOverview" displayName="ReviewOverview" ref="A5:D9" headerRowCount="1" totalsRowCount="0" totalsRowShown="0">
  <tableColumns count="4">
    <tableColumn id="1" name="项目"/>
    <tableColumn id="2" name="结论/数量"/>
    <tableColumn id="3" name="依据"/>
    <tableColumn id="4" name="行动"/>
  </tableColumns>
</table>
</file>

<file path=xl/tables/table16.xml><?xml version="1.0" encoding="utf-8"?>
<table xmlns="http://schemas.openxmlformats.org/spreadsheetml/2006/main" id="16" name="RiskWarning" displayName="RiskWarning" ref="A5:F13" headerRowCount="1" totalsRowCount="0" totalsRowShown="0">
  <tableColumns count="6">
    <tableColumn id="1" name="指标"/>
    <tableColumn id="2" name="单位"/>
    <tableColumn id="3" name="本期值"/>
    <tableColumn id="4" name="示例阈值"/>
    <tableColumn id="5" name="预警等级"/>
    <tableColumn id="6" name="动作"/>
  </tableColumns>
</table>
</file>

<file path=xl/tables/table17.xml><?xml version="1.0" encoding="utf-8"?>
<table xmlns="http://schemas.openxmlformats.org/spreadsheetml/2006/main" id="17" name="SalesIncentive" displayName="SalesIncentive" ref="A5:E8" headerRowCount="1" totalsRowCount="0" totalsRowShown="0">
  <tableColumns count="5">
    <tableColumn id="1" name="方案"/>
    <tableColumn id="2" name="做法"/>
    <tableColumn id="3" name="适用"/>
    <tableColumn id="4" name="风险控制"/>
    <tableColumn id="5" name="本公司选择"/>
  </tableColumns>
</table>
</file>

<file path=xl/tables/table18.xml><?xml version="1.0" encoding="utf-8"?>
<table xmlns="http://schemas.openxmlformats.org/spreadsheetml/2006/main" id="18" name="Sources" displayName="Sources" ref="A5:C11" headerRowCount="1" totalsRowCount="0" totalsRowShown="0">
  <tableColumns count="3">
    <tableColumn id="1" name="文件"/>
    <tableColumn id="2" name="用途"/>
    <tableColumn id="3" name="官方链接"/>
  </tableColumns>
</table>
</file>

<file path=xl/tables/table19.xml><?xml version="1.0" encoding="utf-8"?>
<table xmlns="http://schemas.openxmlformats.org/spreadsheetml/2006/main" id="19" name="StatementLetter" displayName="StatementLetter" ref="A5:D13" headerRowCount="1" totalsRowCount="0" totalsRowShown="0">
  <tableColumns count="4">
    <tableColumn id="1" name="字段1"/>
    <tableColumn id="2" name="内容1"/>
    <tableColumn id="3" name="字段2"/>
    <tableColumn id="4" name="内容2"/>
  </tableColumns>
</table>
</file>

<file path=xl/tables/table20.xml><?xml version="1.0" encoding="utf-8"?>
<table xmlns="http://schemas.openxmlformats.org/spreadsheetml/2006/main" id="20" name="SupplementCases" displayName="SupplementCases" ref="A5:F20" headerRowCount="1" totalsRowCount="0" totalsRowShown="0">
  <tableColumns count="6">
    <tableColumn id="1" name="编号"/>
    <tableColumn id="2" name="案例"/>
    <tableColumn id="3" name="主题"/>
    <tableColumn id="4" name="第一步"/>
    <tableColumn id="5" name="处理"/>
    <tableColumn id="6" name="证据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5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13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19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table" Target="../tables/table17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table" Target="../tables/table20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table" Target="../tables/table1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60"/>
    <col collapsed="false" customWidth="true" hidden="false" outlineLevel="0" max="4" min="4" style="0" width="45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30" hidden="false" customHeight="true" outlineLevel="0" collapsed="false">
      <c r="A2" s="2" t="s">
        <v>1</v>
      </c>
      <c r="B2" s="2"/>
      <c r="C2" s="2"/>
      <c r="D2" s="2"/>
    </row>
    <row r="5" customFormat="false" ht="34" hidden="false" customHeight="true" outlineLevel="0" collapsed="false">
      <c r="A5" s="3" t="s">
        <v>2</v>
      </c>
      <c r="B5" s="3" t="s">
        <v>3</v>
      </c>
      <c r="C5" s="3" t="s">
        <v>4</v>
      </c>
      <c r="D5" s="3" t="s">
        <v>5</v>
      </c>
    </row>
    <row r="6" customFormat="false" ht="15" hidden="false" customHeight="false" outlineLevel="0" collapsed="false">
      <c r="A6" s="4" t="s">
        <v>6</v>
      </c>
      <c r="B6" s="4" t="s">
        <v>7</v>
      </c>
      <c r="C6" s="4" t="s">
        <v>8</v>
      </c>
      <c r="D6" s="4" t="s">
        <v>9</v>
      </c>
    </row>
    <row r="7" customFormat="false" ht="15" hidden="false" customHeight="false" outlineLevel="0" collapsed="false">
      <c r="A7" s="4" t="s">
        <v>10</v>
      </c>
      <c r="B7" s="4" t="n">
        <v>12</v>
      </c>
      <c r="C7" s="4" t="s">
        <v>11</v>
      </c>
      <c r="D7" s="4" t="s">
        <v>12</v>
      </c>
    </row>
    <row r="8" customFormat="false" ht="15" hidden="false" customHeight="false" outlineLevel="0" collapsed="false">
      <c r="A8" s="4" t="s">
        <v>13</v>
      </c>
      <c r="B8" s="4" t="n">
        <v>8</v>
      </c>
      <c r="C8" s="4" t="s">
        <v>14</v>
      </c>
      <c r="D8" s="4" t="s">
        <v>15</v>
      </c>
    </row>
    <row r="9" customFormat="false" ht="15" hidden="false" customHeight="false" outlineLevel="0" collapsed="false">
      <c r="A9" s="4" t="s">
        <v>16</v>
      </c>
      <c r="B9" s="4" t="s">
        <v>17</v>
      </c>
      <c r="C9" s="4" t="s">
        <v>18</v>
      </c>
      <c r="D9" s="4" t="s">
        <v>19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5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55"/>
    <col collapsed="false" customWidth="true" hidden="false" outlineLevel="0" max="6" min="6" style="0" width="16"/>
  </cols>
  <sheetData>
    <row r="1" customFormat="false" ht="30" hidden="false" customHeight="true" outlineLevel="0" collapsed="false">
      <c r="A1" s="1" t="s">
        <v>20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21</v>
      </c>
      <c r="B2" s="2"/>
      <c r="C2" s="2"/>
      <c r="D2" s="2"/>
      <c r="E2" s="2"/>
      <c r="F2" s="2"/>
    </row>
    <row r="5" customFormat="false" ht="34" hidden="false" customHeight="true" outlineLevel="0" collapsed="false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</row>
    <row r="6" customFormat="false" ht="15" hidden="false" customHeight="false" outlineLevel="0" collapsed="false">
      <c r="A6" s="4" t="s">
        <v>28</v>
      </c>
      <c r="B6" s="4" t="s">
        <v>29</v>
      </c>
      <c r="C6" s="4" t="s">
        <v>30</v>
      </c>
      <c r="D6" s="4" t="s">
        <v>31</v>
      </c>
      <c r="E6" s="4" t="s">
        <v>32</v>
      </c>
      <c r="F6" s="4" t="s">
        <v>33</v>
      </c>
    </row>
    <row r="7" customFormat="false" ht="15" hidden="false" customHeight="false" outlineLevel="0" collapsed="false">
      <c r="A7" s="4" t="s">
        <v>34</v>
      </c>
      <c r="B7" s="4" t="s">
        <v>35</v>
      </c>
      <c r="C7" s="4" t="s">
        <v>36</v>
      </c>
      <c r="D7" s="4" t="s">
        <v>31</v>
      </c>
      <c r="E7" s="4" t="s">
        <v>37</v>
      </c>
      <c r="F7" s="4" t="s">
        <v>33</v>
      </c>
    </row>
    <row r="8" customFormat="false" ht="15" hidden="false" customHeight="false" outlineLevel="0" collapsed="false">
      <c r="A8" s="4" t="s">
        <v>38</v>
      </c>
      <c r="B8" s="4" t="s">
        <v>39</v>
      </c>
      <c r="C8" s="4" t="s">
        <v>36</v>
      </c>
      <c r="D8" s="4" t="s">
        <v>31</v>
      </c>
      <c r="E8" s="4" t="s">
        <v>40</v>
      </c>
      <c r="F8" s="4" t="s">
        <v>33</v>
      </c>
    </row>
    <row r="9" customFormat="false" ht="15" hidden="false" customHeight="false" outlineLevel="0" collapsed="false">
      <c r="A9" s="4" t="s">
        <v>41</v>
      </c>
      <c r="B9" s="4" t="s">
        <v>42</v>
      </c>
      <c r="C9" s="4" t="s">
        <v>30</v>
      </c>
      <c r="D9" s="4" t="s">
        <v>31</v>
      </c>
      <c r="E9" s="4" t="s">
        <v>43</v>
      </c>
      <c r="F9" s="4" t="s">
        <v>33</v>
      </c>
    </row>
    <row r="10" customFormat="false" ht="15" hidden="false" customHeight="false" outlineLevel="0" collapsed="false">
      <c r="A10" s="4" t="s">
        <v>44</v>
      </c>
      <c r="B10" s="4" t="s">
        <v>45</v>
      </c>
      <c r="C10" s="4" t="s">
        <v>30</v>
      </c>
      <c r="D10" s="4" t="s">
        <v>31</v>
      </c>
      <c r="E10" s="4" t="s">
        <v>46</v>
      </c>
      <c r="F10" s="4" t="s">
        <v>33</v>
      </c>
    </row>
    <row r="11" customFormat="false" ht="15" hidden="false" customHeight="false" outlineLevel="0" collapsed="false">
      <c r="A11" s="4" t="s">
        <v>47</v>
      </c>
      <c r="B11" s="4" t="s">
        <v>48</v>
      </c>
      <c r="C11" s="4" t="s">
        <v>49</v>
      </c>
      <c r="D11" s="4" t="s">
        <v>31</v>
      </c>
      <c r="E11" s="4" t="s">
        <v>50</v>
      </c>
      <c r="F11" s="4" t="s">
        <v>33</v>
      </c>
    </row>
    <row r="12" customFormat="false" ht="15" hidden="false" customHeight="false" outlineLevel="0" collapsed="false">
      <c r="A12" s="4" t="s">
        <v>51</v>
      </c>
      <c r="B12" s="4" t="s">
        <v>52</v>
      </c>
      <c r="C12" s="4" t="s">
        <v>36</v>
      </c>
      <c r="D12" s="4" t="s">
        <v>53</v>
      </c>
      <c r="E12" s="4" t="s">
        <v>54</v>
      </c>
      <c r="F12" s="4" t="s">
        <v>33</v>
      </c>
    </row>
    <row r="13" customFormat="false" ht="15" hidden="false" customHeight="false" outlineLevel="0" collapsed="false">
      <c r="A13" s="4" t="s">
        <v>55</v>
      </c>
      <c r="B13" s="4" t="s">
        <v>56</v>
      </c>
      <c r="C13" s="4" t="s">
        <v>30</v>
      </c>
      <c r="D13" s="4" t="s">
        <v>31</v>
      </c>
      <c r="E13" s="4" t="s">
        <v>57</v>
      </c>
      <c r="F13" s="4" t="s">
        <v>33</v>
      </c>
    </row>
    <row r="14" customFormat="false" ht="15" hidden="false" customHeight="false" outlineLevel="0" collapsed="false">
      <c r="A14" s="4" t="s">
        <v>58</v>
      </c>
      <c r="B14" s="4" t="s">
        <v>59</v>
      </c>
      <c r="C14" s="4" t="s">
        <v>30</v>
      </c>
      <c r="D14" s="4" t="s">
        <v>31</v>
      </c>
      <c r="E14" s="4" t="s">
        <v>60</v>
      </c>
      <c r="F14" s="4" t="s">
        <v>33</v>
      </c>
    </row>
    <row r="15" customFormat="false" ht="15" hidden="false" customHeight="false" outlineLevel="0" collapsed="false">
      <c r="A15" s="4" t="s">
        <v>61</v>
      </c>
      <c r="B15" s="4" t="s">
        <v>62</v>
      </c>
      <c r="C15" s="4" t="s">
        <v>30</v>
      </c>
      <c r="D15" s="4" t="s">
        <v>31</v>
      </c>
      <c r="E15" s="4" t="s">
        <v>63</v>
      </c>
      <c r="F15" s="4" t="s">
        <v>33</v>
      </c>
    </row>
    <row r="16" customFormat="false" ht="15" hidden="false" customHeight="false" outlineLevel="0" collapsed="false">
      <c r="A16" s="4" t="s">
        <v>64</v>
      </c>
      <c r="B16" s="4" t="s">
        <v>65</v>
      </c>
      <c r="C16" s="4" t="s">
        <v>30</v>
      </c>
      <c r="D16" s="4" t="s">
        <v>31</v>
      </c>
      <c r="E16" s="4" t="s">
        <v>66</v>
      </c>
      <c r="F16" s="4" t="s">
        <v>33</v>
      </c>
    </row>
    <row r="17" customFormat="false" ht="15" hidden="false" customHeight="false" outlineLevel="0" collapsed="false">
      <c r="A17" s="4" t="s">
        <v>67</v>
      </c>
      <c r="B17" s="4" t="s">
        <v>68</v>
      </c>
      <c r="C17" s="4" t="s">
        <v>30</v>
      </c>
      <c r="D17" s="4" t="s">
        <v>31</v>
      </c>
      <c r="E17" s="4" t="s">
        <v>69</v>
      </c>
      <c r="F17" s="4" t="s">
        <v>33</v>
      </c>
    </row>
    <row r="18" customFormat="false" ht="15" hidden="false" customHeight="false" outlineLevel="0" collapsed="false">
      <c r="A18" s="4" t="s">
        <v>70</v>
      </c>
      <c r="B18" s="4" t="s">
        <v>71</v>
      </c>
      <c r="C18" s="4" t="s">
        <v>30</v>
      </c>
      <c r="D18" s="4" t="s">
        <v>31</v>
      </c>
      <c r="E18" s="4" t="s">
        <v>72</v>
      </c>
      <c r="F18" s="4" t="s">
        <v>33</v>
      </c>
    </row>
    <row r="19" customFormat="false" ht="15" hidden="false" customHeight="false" outlineLevel="0" collapsed="false">
      <c r="A19" s="4" t="s">
        <v>73</v>
      </c>
      <c r="B19" s="4" t="s">
        <v>74</v>
      </c>
      <c r="C19" s="4" t="s">
        <v>30</v>
      </c>
      <c r="D19" s="4" t="s">
        <v>53</v>
      </c>
      <c r="E19" s="4" t="s">
        <v>75</v>
      </c>
      <c r="F19" s="4" t="s">
        <v>33</v>
      </c>
    </row>
    <row r="20" customFormat="false" ht="15" hidden="false" customHeight="false" outlineLevel="0" collapsed="false">
      <c r="A20" s="4" t="s">
        <v>76</v>
      </c>
      <c r="B20" s="4" t="s">
        <v>77</v>
      </c>
      <c r="C20" s="4" t="s">
        <v>49</v>
      </c>
      <c r="D20" s="4" t="s">
        <v>53</v>
      </c>
      <c r="E20" s="4" t="s">
        <v>78</v>
      </c>
      <c r="F20" s="4" t="s">
        <v>33</v>
      </c>
    </row>
    <row r="21" customFormat="false" ht="15" hidden="false" customHeight="false" outlineLevel="0" collapsed="false">
      <c r="A21" s="4" t="s">
        <v>79</v>
      </c>
      <c r="B21" s="4" t="s">
        <v>80</v>
      </c>
      <c r="C21" s="4" t="s">
        <v>30</v>
      </c>
      <c r="D21" s="4" t="s">
        <v>53</v>
      </c>
      <c r="E21" s="4" t="s">
        <v>81</v>
      </c>
      <c r="F21" s="4" t="s">
        <v>33</v>
      </c>
    </row>
    <row r="22" customFormat="false" ht="15" hidden="false" customHeight="false" outlineLevel="0" collapsed="false">
      <c r="A22" s="4" t="s">
        <v>82</v>
      </c>
      <c r="B22" s="4" t="s">
        <v>83</v>
      </c>
      <c r="C22" s="4" t="s">
        <v>36</v>
      </c>
      <c r="D22" s="4" t="s">
        <v>53</v>
      </c>
      <c r="E22" s="4" t="s">
        <v>84</v>
      </c>
      <c r="F22" s="4" t="s">
        <v>33</v>
      </c>
    </row>
    <row r="23" customFormat="false" ht="15" hidden="false" customHeight="false" outlineLevel="0" collapsed="false">
      <c r="A23" s="4" t="s">
        <v>85</v>
      </c>
      <c r="B23" s="4" t="s">
        <v>86</v>
      </c>
      <c r="C23" s="4" t="s">
        <v>30</v>
      </c>
      <c r="D23" s="4" t="s">
        <v>53</v>
      </c>
      <c r="E23" s="4" t="s">
        <v>87</v>
      </c>
      <c r="F23" s="4" t="s">
        <v>33</v>
      </c>
    </row>
    <row r="24" customFormat="false" ht="15" hidden="false" customHeight="false" outlineLevel="0" collapsed="false">
      <c r="A24" s="4" t="s">
        <v>88</v>
      </c>
      <c r="B24" s="4" t="s">
        <v>89</v>
      </c>
      <c r="C24" s="4" t="s">
        <v>49</v>
      </c>
      <c r="D24" s="4" t="s">
        <v>53</v>
      </c>
      <c r="E24" s="4" t="s">
        <v>90</v>
      </c>
      <c r="F24" s="4" t="s">
        <v>33</v>
      </c>
    </row>
    <row r="25" customFormat="false" ht="15" hidden="false" customHeight="false" outlineLevel="0" collapsed="false">
      <c r="A25" s="4" t="s">
        <v>91</v>
      </c>
      <c r="B25" s="4" t="s">
        <v>92</v>
      </c>
      <c r="C25" s="4" t="s">
        <v>36</v>
      </c>
      <c r="D25" s="4" t="s">
        <v>31</v>
      </c>
      <c r="E25" s="4" t="s">
        <v>93</v>
      </c>
      <c r="F25" s="4" t="s">
        <v>33</v>
      </c>
    </row>
    <row r="26" customFormat="false" ht="15" hidden="false" customHeight="false" outlineLevel="0" collapsed="false">
      <c r="A26" s="4" t="s">
        <v>94</v>
      </c>
      <c r="B26" s="4" t="s">
        <v>95</v>
      </c>
      <c r="C26" s="4" t="s">
        <v>30</v>
      </c>
      <c r="D26" s="4" t="s">
        <v>31</v>
      </c>
      <c r="E26" s="4" t="s">
        <v>96</v>
      </c>
      <c r="F26" s="4" t="s">
        <v>33</v>
      </c>
    </row>
    <row r="27" customFormat="false" ht="15" hidden="false" customHeight="false" outlineLevel="0" collapsed="false">
      <c r="A27" s="4" t="s">
        <v>97</v>
      </c>
      <c r="B27" s="4" t="s">
        <v>98</v>
      </c>
      <c r="C27" s="4" t="s">
        <v>36</v>
      </c>
      <c r="D27" s="4" t="s">
        <v>31</v>
      </c>
      <c r="E27" s="4" t="s">
        <v>99</v>
      </c>
      <c r="F27" s="4" t="s">
        <v>33</v>
      </c>
    </row>
    <row r="28" customFormat="false" ht="15" hidden="false" customHeight="false" outlineLevel="0" collapsed="false">
      <c r="A28" s="4" t="s">
        <v>100</v>
      </c>
      <c r="B28" s="4" t="s">
        <v>101</v>
      </c>
      <c r="C28" s="4" t="s">
        <v>30</v>
      </c>
      <c r="D28" s="4" t="s">
        <v>53</v>
      </c>
      <c r="E28" s="4" t="s">
        <v>102</v>
      </c>
      <c r="F28" s="4" t="s">
        <v>33</v>
      </c>
    </row>
    <row r="29" customFormat="false" ht="15" hidden="false" customHeight="false" outlineLevel="0" collapsed="false">
      <c r="A29" s="4" t="s">
        <v>103</v>
      </c>
      <c r="B29" s="4" t="s">
        <v>104</v>
      </c>
      <c r="C29" s="4" t="s">
        <v>105</v>
      </c>
      <c r="D29" s="4" t="s">
        <v>106</v>
      </c>
      <c r="E29" s="4" t="s">
        <v>107</v>
      </c>
      <c r="F29" s="4" t="s">
        <v>108</v>
      </c>
    </row>
    <row r="30" customFormat="false" ht="15" hidden="false" customHeight="false" outlineLevel="0" collapsed="false">
      <c r="A30" s="4" t="s">
        <v>109</v>
      </c>
      <c r="B30" s="4" t="s">
        <v>110</v>
      </c>
      <c r="C30" s="4" t="s">
        <v>49</v>
      </c>
      <c r="D30" s="4" t="s">
        <v>106</v>
      </c>
      <c r="E30" s="4" t="s">
        <v>111</v>
      </c>
      <c r="F30" s="4" t="s">
        <v>108</v>
      </c>
    </row>
  </sheetData>
  <mergeCells count="2">
    <mergeCell ref="A1:F1"/>
    <mergeCell ref="A2:F2"/>
  </mergeCells>
  <conditionalFormatting sqref="D6:D30">
    <cfRule type="containsText" priority="2" operator="containsText" aboveAverage="0" equalAverage="0" bottom="0" percent="0" rank="0" text="高" dxfId="5">
      <formula>NOT(ISERROR(SEARCH("高",D6)))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4" min="4" style="0" width="40"/>
    <col collapsed="false" customWidth="true" hidden="false" outlineLevel="0" max="5" min="5" style="0" width="35"/>
    <col collapsed="false" customWidth="true" hidden="false" outlineLevel="0" max="6" min="6" style="0" width="40"/>
  </cols>
  <sheetData>
    <row r="1" customFormat="false" ht="30" hidden="false" customHeight="true" outlineLevel="0" collapsed="false">
      <c r="A1" s="1" t="s">
        <v>112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113</v>
      </c>
      <c r="B2" s="2"/>
      <c r="C2" s="2"/>
      <c r="D2" s="2"/>
      <c r="E2" s="2"/>
      <c r="F2" s="2"/>
    </row>
    <row r="5" customFormat="false" ht="34" hidden="false" customHeight="true" outlineLevel="0" collapsed="false">
      <c r="A5" s="3" t="s">
        <v>114</v>
      </c>
      <c r="B5" s="3" t="s">
        <v>115</v>
      </c>
      <c r="C5" s="3" t="s">
        <v>116</v>
      </c>
      <c r="D5" s="3" t="s">
        <v>117</v>
      </c>
      <c r="E5" s="3" t="s">
        <v>118</v>
      </c>
      <c r="F5" s="3" t="s">
        <v>119</v>
      </c>
    </row>
    <row r="6" customFormat="false" ht="15" hidden="false" customHeight="false" outlineLevel="0" collapsed="false">
      <c r="A6" s="4" t="s">
        <v>120</v>
      </c>
      <c r="B6" s="5" t="n">
        <v>25</v>
      </c>
      <c r="C6" s="5" t="n">
        <v>18</v>
      </c>
      <c r="D6" s="4" t="s">
        <v>121</v>
      </c>
      <c r="E6" s="4" t="s">
        <v>122</v>
      </c>
      <c r="F6" s="4"/>
    </row>
    <row r="7" customFormat="false" ht="15" hidden="false" customHeight="false" outlineLevel="0" collapsed="false">
      <c r="A7" s="4" t="s">
        <v>123</v>
      </c>
      <c r="B7" s="5" t="n">
        <v>25</v>
      </c>
      <c r="C7" s="5" t="n">
        <v>20</v>
      </c>
      <c r="D7" s="4" t="s">
        <v>124</v>
      </c>
      <c r="E7" s="4" t="s">
        <v>125</v>
      </c>
      <c r="F7" s="4"/>
    </row>
    <row r="8" customFormat="false" ht="15" hidden="false" customHeight="false" outlineLevel="0" collapsed="false">
      <c r="A8" s="4" t="s">
        <v>126</v>
      </c>
      <c r="B8" s="5" t="n">
        <v>15</v>
      </c>
      <c r="C8" s="5" t="n">
        <v>12</v>
      </c>
      <c r="D8" s="4" t="s">
        <v>127</v>
      </c>
      <c r="E8" s="4" t="s">
        <v>128</v>
      </c>
      <c r="F8" s="4"/>
    </row>
    <row r="9" customFormat="false" ht="15" hidden="false" customHeight="false" outlineLevel="0" collapsed="false">
      <c r="A9" s="4" t="s">
        <v>129</v>
      </c>
      <c r="B9" s="5" t="n">
        <v>15</v>
      </c>
      <c r="C9" s="5" t="n">
        <v>13</v>
      </c>
      <c r="D9" s="4" t="s">
        <v>130</v>
      </c>
      <c r="E9" s="4" t="s">
        <v>131</v>
      </c>
      <c r="F9" s="4"/>
    </row>
    <row r="10" customFormat="false" ht="15" hidden="false" customHeight="false" outlineLevel="0" collapsed="false">
      <c r="A10" s="4" t="s">
        <v>71</v>
      </c>
      <c r="B10" s="5" t="n">
        <v>10</v>
      </c>
      <c r="C10" s="5" t="n">
        <v>6</v>
      </c>
      <c r="D10" s="4" t="s">
        <v>132</v>
      </c>
      <c r="E10" s="4" t="s">
        <v>133</v>
      </c>
      <c r="F10" s="4"/>
    </row>
    <row r="11" customFormat="false" ht="15" hidden="false" customHeight="false" outlineLevel="0" collapsed="false">
      <c r="A11" s="4" t="s">
        <v>134</v>
      </c>
      <c r="B11" s="5" t="n">
        <v>10</v>
      </c>
      <c r="C11" s="5" t="n">
        <v>5</v>
      </c>
      <c r="D11" s="4" t="s">
        <v>135</v>
      </c>
      <c r="E11" s="4" t="s">
        <v>136</v>
      </c>
      <c r="F11" s="4"/>
    </row>
    <row r="13" customFormat="false" ht="15" hidden="false" customHeight="false" outlineLevel="0" collapsed="false">
      <c r="A13" s="4" t="s">
        <v>137</v>
      </c>
      <c r="B13" s="4" t="n">
        <f aca="false">SUM(C6:C11)</f>
        <v>74</v>
      </c>
    </row>
    <row r="14" customFormat="false" ht="15" hidden="false" customHeight="false" outlineLevel="0" collapsed="false">
      <c r="A14" s="4" t="s">
        <v>138</v>
      </c>
      <c r="B14" s="4" t="str">
        <f aca="false">IF(B13&gt;=85,"A",IF(B13&gt;=70,"B",IF(B13&gt;=55,"C","D")))</f>
        <v>B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5" min="3" style="0" width="15"/>
    <col collapsed="false" customWidth="true" hidden="false" outlineLevel="0" max="6" min="6" style="0" width="16"/>
    <col collapsed="false" customWidth="true" hidden="false" outlineLevel="0" max="8" min="7" style="0" width="14"/>
    <col collapsed="false" customWidth="true" hidden="false" outlineLevel="0" max="9" min="9" style="0" width="35"/>
  </cols>
  <sheetData>
    <row r="1" customFormat="false" ht="30" hidden="false" customHeight="true" outlineLevel="0" collapsed="false">
      <c r="A1" s="1" t="s">
        <v>45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139</v>
      </c>
      <c r="B2" s="2"/>
      <c r="C2" s="2"/>
      <c r="D2" s="2"/>
      <c r="E2" s="2"/>
      <c r="F2" s="2"/>
      <c r="G2" s="2"/>
      <c r="H2" s="2"/>
      <c r="I2" s="2"/>
    </row>
    <row r="5" customFormat="false" ht="34" hidden="false" customHeight="true" outlineLevel="0" collapsed="false">
      <c r="A5" s="3" t="s">
        <v>140</v>
      </c>
      <c r="B5" s="3" t="s">
        <v>141</v>
      </c>
      <c r="C5" s="3" t="s">
        <v>142</v>
      </c>
      <c r="D5" s="3" t="s">
        <v>143</v>
      </c>
      <c r="E5" s="3" t="s">
        <v>144</v>
      </c>
      <c r="F5" s="3" t="s">
        <v>145</v>
      </c>
      <c r="G5" s="3" t="s">
        <v>146</v>
      </c>
      <c r="H5" s="3" t="s">
        <v>147</v>
      </c>
      <c r="I5" s="3" t="s">
        <v>148</v>
      </c>
    </row>
    <row r="6" customFormat="false" ht="15" hidden="false" customHeight="false" outlineLevel="0" collapsed="false">
      <c r="A6" s="4" t="s">
        <v>149</v>
      </c>
      <c r="B6" s="4" t="s">
        <v>150</v>
      </c>
      <c r="C6" s="6" t="n">
        <v>46023</v>
      </c>
      <c r="D6" s="6" t="n">
        <v>46112</v>
      </c>
      <c r="E6" s="7" t="n">
        <v>1000000</v>
      </c>
      <c r="F6" s="4" t="n">
        <f aca="false">MAX(0,DATE(2026,3,1)-C6)</f>
        <v>59</v>
      </c>
      <c r="G6" s="4" t="n">
        <f aca="false">MAX(0,DATE(2026,3,1)-D6)</f>
        <v>0</v>
      </c>
      <c r="H6" s="4" t="str">
        <f aca="false">IF(G6=0,"未逾期",IF(G6&lt;=30,"1-30",IF(G6&lt;=90,"31-90","&gt;90")))</f>
        <v>未逾期</v>
      </c>
      <c r="I6" s="4" t="s">
        <v>151</v>
      </c>
    </row>
    <row r="7" customFormat="false" ht="15" hidden="false" customHeight="false" outlineLevel="0" collapsed="false">
      <c r="A7" s="4" t="s">
        <v>152</v>
      </c>
      <c r="B7" s="4" t="s">
        <v>153</v>
      </c>
      <c r="C7" s="6" t="n">
        <v>45962</v>
      </c>
      <c r="D7" s="6" t="n">
        <v>46022</v>
      </c>
      <c r="E7" s="7" t="n">
        <v>600000</v>
      </c>
      <c r="F7" s="4" t="n">
        <f aca="false">MAX(0,DATE(2026,3,1)-C7)</f>
        <v>120</v>
      </c>
      <c r="G7" s="4" t="n">
        <f aca="false">MAX(0,DATE(2026,3,1)-D7)</f>
        <v>60</v>
      </c>
      <c r="H7" s="4" t="str">
        <f aca="false">IF(G7=0,"未逾期",IF(G7&lt;=30,"1-30",IF(G7&lt;=90,"31-90","&gt;90")))</f>
        <v>31-90</v>
      </c>
      <c r="I7" s="4" t="s">
        <v>154</v>
      </c>
    </row>
    <row r="8" customFormat="false" ht="15" hidden="false" customHeight="false" outlineLevel="0" collapsed="false">
      <c r="A8" s="4" t="s">
        <v>155</v>
      </c>
      <c r="B8" s="4" t="s">
        <v>156</v>
      </c>
      <c r="C8" s="6" t="n">
        <v>45809</v>
      </c>
      <c r="D8" s="6" t="n">
        <v>45869</v>
      </c>
      <c r="E8" s="7" t="n">
        <v>300000</v>
      </c>
      <c r="F8" s="4" t="n">
        <f aca="false">MAX(0,DATE(2026,3,1)-C8)</f>
        <v>273</v>
      </c>
      <c r="G8" s="4" t="n">
        <f aca="false">MAX(0,DATE(2026,3,1)-D8)</f>
        <v>213</v>
      </c>
      <c r="H8" s="4" t="str">
        <f aca="false">IF(G8=0,"未逾期",IF(G8&lt;=30,"1-30",IF(G8&lt;=90,"31-90","&gt;90")))</f>
        <v>&gt;90</v>
      </c>
      <c r="I8" s="4" t="s">
        <v>157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0"/>
    <col collapsed="false" customWidth="true" hidden="false" outlineLevel="0" max="3" min="3" style="0" width="28"/>
    <col collapsed="false" customWidth="true" hidden="false" outlineLevel="0" max="4" min="4" style="0" width="35"/>
    <col collapsed="false" customWidth="true" hidden="false" outlineLevel="0" max="5" min="5" style="0" width="45"/>
  </cols>
  <sheetData>
    <row r="1" customFormat="false" ht="30" hidden="false" customHeight="true" outlineLevel="0" collapsed="false">
      <c r="A1" s="1" t="s">
        <v>48</v>
      </c>
      <c r="B1" s="1"/>
      <c r="C1" s="1"/>
      <c r="D1" s="1"/>
      <c r="E1" s="1"/>
    </row>
    <row r="2" customFormat="false" ht="30" hidden="false" customHeight="true" outlineLevel="0" collapsed="false">
      <c r="A2" s="2" t="s">
        <v>158</v>
      </c>
      <c r="B2" s="2"/>
      <c r="C2" s="2"/>
      <c r="D2" s="2"/>
      <c r="E2" s="2"/>
    </row>
    <row r="5" customFormat="false" ht="34" hidden="false" customHeight="true" outlineLevel="0" collapsed="false">
      <c r="A5" s="3" t="s">
        <v>159</v>
      </c>
      <c r="B5" s="3" t="s">
        <v>160</v>
      </c>
      <c r="C5" s="3" t="s">
        <v>161</v>
      </c>
      <c r="D5" s="3" t="s">
        <v>162</v>
      </c>
      <c r="E5" s="3" t="s">
        <v>163</v>
      </c>
    </row>
    <row r="6" customFormat="false" ht="15" hidden="false" customHeight="false" outlineLevel="0" collapsed="false">
      <c r="A6" s="4" t="s">
        <v>164</v>
      </c>
      <c r="B6" s="4" t="s">
        <v>165</v>
      </c>
      <c r="C6" s="4" t="s">
        <v>166</v>
      </c>
      <c r="D6" s="4" t="s">
        <v>167</v>
      </c>
      <c r="E6" s="4" t="s">
        <v>168</v>
      </c>
    </row>
    <row r="7" customFormat="false" ht="15" hidden="false" customHeight="false" outlineLevel="0" collapsed="false">
      <c r="A7" s="4" t="s">
        <v>169</v>
      </c>
      <c r="B7" s="4" t="s">
        <v>170</v>
      </c>
      <c r="C7" s="4" t="s">
        <v>171</v>
      </c>
      <c r="D7" s="4" t="s">
        <v>172</v>
      </c>
      <c r="E7" s="4" t="s">
        <v>173</v>
      </c>
    </row>
    <row r="8" customFormat="false" ht="15" hidden="false" customHeight="false" outlineLevel="0" collapsed="false">
      <c r="A8" s="4" t="s">
        <v>174</v>
      </c>
      <c r="B8" s="4" t="s">
        <v>175</v>
      </c>
      <c r="C8" s="4" t="s">
        <v>171</v>
      </c>
      <c r="D8" s="4" t="s">
        <v>95</v>
      </c>
      <c r="E8" s="4" t="s">
        <v>176</v>
      </c>
    </row>
    <row r="9" customFormat="false" ht="15" hidden="false" customHeight="false" outlineLevel="0" collapsed="false">
      <c r="A9" s="4" t="s">
        <v>177</v>
      </c>
      <c r="B9" s="4" t="s">
        <v>178</v>
      </c>
      <c r="C9" s="4" t="s">
        <v>179</v>
      </c>
      <c r="D9" s="4" t="s">
        <v>180</v>
      </c>
      <c r="E9" s="4" t="s">
        <v>181</v>
      </c>
    </row>
    <row r="10" customFormat="false" ht="15" hidden="false" customHeight="false" outlineLevel="0" collapsed="false">
      <c r="A10" s="4" t="s">
        <v>182</v>
      </c>
      <c r="B10" s="4" t="s">
        <v>183</v>
      </c>
      <c r="C10" s="4" t="s">
        <v>184</v>
      </c>
      <c r="D10" s="4" t="s">
        <v>185</v>
      </c>
      <c r="E10" s="4" t="s">
        <v>186</v>
      </c>
    </row>
    <row r="11" customFormat="false" ht="15" hidden="false" customHeight="false" outlineLevel="0" collapsed="false">
      <c r="A11" s="4" t="s">
        <v>187</v>
      </c>
      <c r="B11" s="4" t="s">
        <v>188</v>
      </c>
      <c r="C11" s="4" t="s">
        <v>189</v>
      </c>
      <c r="D11" s="4" t="s">
        <v>190</v>
      </c>
      <c r="E11" s="4" t="s">
        <v>191</v>
      </c>
    </row>
    <row r="12" customFormat="false" ht="15" hidden="false" customHeight="false" outlineLevel="0" collapsed="false">
      <c r="A12" s="4" t="s">
        <v>192</v>
      </c>
      <c r="B12" s="4" t="s">
        <v>193</v>
      </c>
      <c r="C12" s="4" t="s">
        <v>194</v>
      </c>
      <c r="D12" s="4" t="s">
        <v>195</v>
      </c>
      <c r="E12" s="4" t="s">
        <v>196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40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42"/>
    <col collapsed="false" customWidth="true" hidden="false" outlineLevel="0" max="11" min="11" style="0" width="16"/>
    <col collapsed="false" customWidth="true" hidden="false" outlineLevel="0" max="12" min="12" style="0" width="13"/>
  </cols>
  <sheetData>
    <row r="1" customFormat="false" ht="30" hidden="false" customHeight="true" outlineLevel="0" collapsed="false">
      <c r="A1" s="1" t="s">
        <v>197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A2" s="2" t="s">
        <v>198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5" customFormat="false" ht="34" hidden="false" customHeight="true" outlineLevel="0" collapsed="false">
      <c r="A5" s="3" t="s">
        <v>199</v>
      </c>
      <c r="B5" s="3" t="s">
        <v>141</v>
      </c>
      <c r="C5" s="3" t="s">
        <v>140</v>
      </c>
      <c r="D5" s="3" t="s">
        <v>200</v>
      </c>
      <c r="E5" s="3" t="s">
        <v>201</v>
      </c>
      <c r="F5" s="3" t="s">
        <v>202</v>
      </c>
      <c r="G5" s="3" t="s">
        <v>203</v>
      </c>
      <c r="H5" s="3" t="s">
        <v>204</v>
      </c>
      <c r="I5" s="3" t="s">
        <v>205</v>
      </c>
      <c r="J5" s="3" t="s">
        <v>206</v>
      </c>
      <c r="K5" s="3" t="s">
        <v>161</v>
      </c>
      <c r="L5" s="3" t="s">
        <v>24</v>
      </c>
    </row>
    <row r="6" customFormat="false" ht="15" hidden="false" customHeight="false" outlineLevel="0" collapsed="false">
      <c r="A6" s="4" t="s">
        <v>207</v>
      </c>
      <c r="B6" s="5"/>
      <c r="C6" s="5"/>
      <c r="D6" s="8"/>
      <c r="E6" s="5"/>
      <c r="F6" s="5"/>
      <c r="G6" s="5"/>
      <c r="H6" s="9"/>
      <c r="I6" s="8"/>
      <c r="J6" s="5"/>
      <c r="K6" s="5"/>
      <c r="L6" s="5" t="s">
        <v>208</v>
      </c>
    </row>
    <row r="7" customFormat="false" ht="15" hidden="false" customHeight="false" outlineLevel="0" collapsed="false">
      <c r="A7" s="4" t="s">
        <v>209</v>
      </c>
      <c r="B7" s="5"/>
      <c r="C7" s="5"/>
      <c r="D7" s="8"/>
      <c r="E7" s="5"/>
      <c r="F7" s="5"/>
      <c r="G7" s="5"/>
      <c r="H7" s="9"/>
      <c r="I7" s="8"/>
      <c r="J7" s="5"/>
      <c r="K7" s="5"/>
      <c r="L7" s="5" t="s">
        <v>208</v>
      </c>
    </row>
    <row r="8" customFormat="false" ht="15" hidden="false" customHeight="false" outlineLevel="0" collapsed="false">
      <c r="A8" s="4" t="s">
        <v>210</v>
      </c>
      <c r="B8" s="5"/>
      <c r="C8" s="5"/>
      <c r="D8" s="8"/>
      <c r="E8" s="5"/>
      <c r="F8" s="5"/>
      <c r="G8" s="5"/>
      <c r="H8" s="9"/>
      <c r="I8" s="8"/>
      <c r="J8" s="5"/>
      <c r="K8" s="5"/>
      <c r="L8" s="5" t="s">
        <v>208</v>
      </c>
    </row>
    <row r="9" customFormat="false" ht="15" hidden="false" customHeight="false" outlineLevel="0" collapsed="false">
      <c r="A9" s="4" t="s">
        <v>211</v>
      </c>
      <c r="B9" s="5"/>
      <c r="C9" s="5"/>
      <c r="D9" s="8"/>
      <c r="E9" s="5"/>
      <c r="F9" s="5"/>
      <c r="G9" s="5"/>
      <c r="H9" s="9"/>
      <c r="I9" s="8"/>
      <c r="J9" s="5"/>
      <c r="K9" s="5"/>
      <c r="L9" s="5" t="s">
        <v>208</v>
      </c>
    </row>
    <row r="10" customFormat="false" ht="15" hidden="false" customHeight="false" outlineLevel="0" collapsed="false">
      <c r="A10" s="4" t="s">
        <v>212</v>
      </c>
      <c r="B10" s="5"/>
      <c r="C10" s="5"/>
      <c r="D10" s="8"/>
      <c r="E10" s="5"/>
      <c r="F10" s="5"/>
      <c r="G10" s="5"/>
      <c r="H10" s="9"/>
      <c r="I10" s="8"/>
      <c r="J10" s="5"/>
      <c r="K10" s="5"/>
      <c r="L10" s="5" t="s">
        <v>208</v>
      </c>
    </row>
    <row r="11" customFormat="false" ht="15" hidden="false" customHeight="false" outlineLevel="0" collapsed="false">
      <c r="A11" s="4" t="s">
        <v>213</v>
      </c>
      <c r="B11" s="5"/>
      <c r="C11" s="5"/>
      <c r="D11" s="8"/>
      <c r="E11" s="5"/>
      <c r="F11" s="5"/>
      <c r="G11" s="5"/>
      <c r="H11" s="9"/>
      <c r="I11" s="8"/>
      <c r="J11" s="5"/>
      <c r="K11" s="5"/>
      <c r="L11" s="5" t="s">
        <v>208</v>
      </c>
    </row>
    <row r="12" customFormat="false" ht="15" hidden="false" customHeight="false" outlineLevel="0" collapsed="false">
      <c r="A12" s="4" t="s">
        <v>214</v>
      </c>
      <c r="B12" s="5"/>
      <c r="C12" s="5"/>
      <c r="D12" s="8"/>
      <c r="E12" s="5"/>
      <c r="F12" s="5"/>
      <c r="G12" s="5"/>
      <c r="H12" s="9"/>
      <c r="I12" s="8"/>
      <c r="J12" s="5"/>
      <c r="K12" s="5"/>
      <c r="L12" s="5" t="s">
        <v>208</v>
      </c>
    </row>
    <row r="13" customFormat="false" ht="15" hidden="false" customHeight="false" outlineLevel="0" collapsed="false">
      <c r="A13" s="4" t="s">
        <v>215</v>
      </c>
      <c r="B13" s="5"/>
      <c r="C13" s="5"/>
      <c r="D13" s="8"/>
      <c r="E13" s="5"/>
      <c r="F13" s="5"/>
      <c r="G13" s="5"/>
      <c r="H13" s="9"/>
      <c r="I13" s="8"/>
      <c r="J13" s="5"/>
      <c r="K13" s="5"/>
      <c r="L13" s="5" t="s">
        <v>208</v>
      </c>
    </row>
    <row r="14" customFormat="false" ht="15" hidden="false" customHeight="false" outlineLevel="0" collapsed="false">
      <c r="A14" s="4" t="s">
        <v>216</v>
      </c>
      <c r="B14" s="5"/>
      <c r="C14" s="5"/>
      <c r="D14" s="8"/>
      <c r="E14" s="5"/>
      <c r="F14" s="5"/>
      <c r="G14" s="5"/>
      <c r="H14" s="9"/>
      <c r="I14" s="8"/>
      <c r="J14" s="5"/>
      <c r="K14" s="5"/>
      <c r="L14" s="5" t="s">
        <v>208</v>
      </c>
    </row>
    <row r="15" customFormat="false" ht="15" hidden="false" customHeight="false" outlineLevel="0" collapsed="false">
      <c r="A15" s="4" t="s">
        <v>217</v>
      </c>
      <c r="B15" s="5"/>
      <c r="C15" s="5"/>
      <c r="D15" s="8"/>
      <c r="E15" s="5"/>
      <c r="F15" s="5"/>
      <c r="G15" s="5"/>
      <c r="H15" s="9"/>
      <c r="I15" s="8"/>
      <c r="J15" s="5"/>
      <c r="K15" s="5"/>
      <c r="L15" s="5" t="s">
        <v>208</v>
      </c>
    </row>
    <row r="16" customFormat="false" ht="15" hidden="false" customHeight="false" outlineLevel="0" collapsed="false">
      <c r="A16" s="4" t="s">
        <v>218</v>
      </c>
      <c r="B16" s="5"/>
      <c r="C16" s="5"/>
      <c r="D16" s="8"/>
      <c r="E16" s="5"/>
      <c r="F16" s="5"/>
      <c r="G16" s="5"/>
      <c r="H16" s="9"/>
      <c r="I16" s="8"/>
      <c r="J16" s="5"/>
      <c r="K16" s="5"/>
      <c r="L16" s="5" t="s">
        <v>208</v>
      </c>
    </row>
    <row r="17" customFormat="false" ht="15" hidden="false" customHeight="false" outlineLevel="0" collapsed="false">
      <c r="A17" s="4" t="s">
        <v>219</v>
      </c>
      <c r="B17" s="5"/>
      <c r="C17" s="5"/>
      <c r="D17" s="8"/>
      <c r="E17" s="5"/>
      <c r="F17" s="5"/>
      <c r="G17" s="5"/>
      <c r="H17" s="9"/>
      <c r="I17" s="8"/>
      <c r="J17" s="5"/>
      <c r="K17" s="5"/>
      <c r="L17" s="5" t="s">
        <v>208</v>
      </c>
    </row>
    <row r="18" customFormat="false" ht="15" hidden="false" customHeight="false" outlineLevel="0" collapsed="false">
      <c r="A18" s="4" t="s">
        <v>220</v>
      </c>
      <c r="B18" s="5"/>
      <c r="C18" s="5"/>
      <c r="D18" s="8"/>
      <c r="E18" s="5"/>
      <c r="F18" s="5"/>
      <c r="G18" s="5"/>
      <c r="H18" s="9"/>
      <c r="I18" s="8"/>
      <c r="J18" s="5"/>
      <c r="K18" s="5"/>
      <c r="L18" s="5" t="s">
        <v>208</v>
      </c>
    </row>
    <row r="19" customFormat="false" ht="15" hidden="false" customHeight="false" outlineLevel="0" collapsed="false">
      <c r="A19" s="4" t="s">
        <v>221</v>
      </c>
      <c r="B19" s="5"/>
      <c r="C19" s="5"/>
      <c r="D19" s="8"/>
      <c r="E19" s="5"/>
      <c r="F19" s="5"/>
      <c r="G19" s="5"/>
      <c r="H19" s="9"/>
      <c r="I19" s="8"/>
      <c r="J19" s="5"/>
      <c r="K19" s="5"/>
      <c r="L19" s="5" t="s">
        <v>208</v>
      </c>
    </row>
    <row r="20" customFormat="false" ht="15" hidden="false" customHeight="false" outlineLevel="0" collapsed="false">
      <c r="A20" s="4" t="s">
        <v>222</v>
      </c>
      <c r="B20" s="5"/>
      <c r="C20" s="5"/>
      <c r="D20" s="8"/>
      <c r="E20" s="5"/>
      <c r="F20" s="5"/>
      <c r="G20" s="5"/>
      <c r="H20" s="9"/>
      <c r="I20" s="8"/>
      <c r="J20" s="5"/>
      <c r="K20" s="5"/>
      <c r="L20" s="5" t="s">
        <v>208</v>
      </c>
    </row>
    <row r="21" customFormat="false" ht="15" hidden="false" customHeight="false" outlineLevel="0" collapsed="false">
      <c r="A21" s="4" t="s">
        <v>223</v>
      </c>
      <c r="B21" s="5"/>
      <c r="C21" s="5"/>
      <c r="D21" s="8"/>
      <c r="E21" s="5"/>
      <c r="F21" s="5"/>
      <c r="G21" s="5"/>
      <c r="H21" s="9"/>
      <c r="I21" s="8"/>
      <c r="J21" s="5"/>
      <c r="K21" s="5"/>
      <c r="L21" s="5" t="s">
        <v>208</v>
      </c>
    </row>
    <row r="22" customFormat="false" ht="15" hidden="false" customHeight="false" outlineLevel="0" collapsed="false">
      <c r="A22" s="4" t="s">
        <v>224</v>
      </c>
      <c r="B22" s="5"/>
      <c r="C22" s="5"/>
      <c r="D22" s="8"/>
      <c r="E22" s="5"/>
      <c r="F22" s="5"/>
      <c r="G22" s="5"/>
      <c r="H22" s="9"/>
      <c r="I22" s="8"/>
      <c r="J22" s="5"/>
      <c r="K22" s="5"/>
      <c r="L22" s="5" t="s">
        <v>208</v>
      </c>
    </row>
    <row r="23" customFormat="false" ht="15" hidden="false" customHeight="false" outlineLevel="0" collapsed="false">
      <c r="A23" s="4" t="s">
        <v>225</v>
      </c>
      <c r="B23" s="5"/>
      <c r="C23" s="5"/>
      <c r="D23" s="8"/>
      <c r="E23" s="5"/>
      <c r="F23" s="5"/>
      <c r="G23" s="5"/>
      <c r="H23" s="9"/>
      <c r="I23" s="8"/>
      <c r="J23" s="5"/>
      <c r="K23" s="5"/>
      <c r="L23" s="5" t="s">
        <v>208</v>
      </c>
    </row>
    <row r="24" customFormat="false" ht="15" hidden="false" customHeight="false" outlineLevel="0" collapsed="false">
      <c r="A24" s="4" t="s">
        <v>226</v>
      </c>
      <c r="B24" s="5"/>
      <c r="C24" s="5"/>
      <c r="D24" s="8"/>
      <c r="E24" s="5"/>
      <c r="F24" s="5"/>
      <c r="G24" s="5"/>
      <c r="H24" s="9"/>
      <c r="I24" s="8"/>
      <c r="J24" s="5"/>
      <c r="K24" s="5"/>
      <c r="L24" s="5" t="s">
        <v>208</v>
      </c>
    </row>
    <row r="25" customFormat="false" ht="15" hidden="false" customHeight="false" outlineLevel="0" collapsed="false">
      <c r="A25" s="4" t="s">
        <v>227</v>
      </c>
      <c r="B25" s="5"/>
      <c r="C25" s="5"/>
      <c r="D25" s="8"/>
      <c r="E25" s="5"/>
      <c r="F25" s="5"/>
      <c r="G25" s="5"/>
      <c r="H25" s="9"/>
      <c r="I25" s="8"/>
      <c r="J25" s="5"/>
      <c r="K25" s="5"/>
      <c r="L25" s="5" t="s">
        <v>208</v>
      </c>
    </row>
    <row r="26" customFormat="false" ht="15" hidden="false" customHeight="false" outlineLevel="0" collapsed="false">
      <c r="A26" s="4" t="s">
        <v>228</v>
      </c>
      <c r="B26" s="5"/>
      <c r="C26" s="5"/>
      <c r="D26" s="8"/>
      <c r="E26" s="5"/>
      <c r="F26" s="5"/>
      <c r="G26" s="5"/>
      <c r="H26" s="9"/>
      <c r="I26" s="8"/>
      <c r="J26" s="5"/>
      <c r="K26" s="5"/>
      <c r="L26" s="5" t="s">
        <v>208</v>
      </c>
    </row>
    <row r="27" customFormat="false" ht="15" hidden="false" customHeight="false" outlineLevel="0" collapsed="false">
      <c r="A27" s="4" t="s">
        <v>229</v>
      </c>
      <c r="B27" s="5"/>
      <c r="C27" s="5"/>
      <c r="D27" s="8"/>
      <c r="E27" s="5"/>
      <c r="F27" s="5"/>
      <c r="G27" s="5"/>
      <c r="H27" s="9"/>
      <c r="I27" s="8"/>
      <c r="J27" s="5"/>
      <c r="K27" s="5"/>
      <c r="L27" s="5" t="s">
        <v>208</v>
      </c>
    </row>
    <row r="28" customFormat="false" ht="15" hidden="false" customHeight="false" outlineLevel="0" collapsed="false">
      <c r="A28" s="4" t="s">
        <v>230</v>
      </c>
      <c r="B28" s="5"/>
      <c r="C28" s="5"/>
      <c r="D28" s="8"/>
      <c r="E28" s="5"/>
      <c r="F28" s="5"/>
      <c r="G28" s="5"/>
      <c r="H28" s="9"/>
      <c r="I28" s="8"/>
      <c r="J28" s="5"/>
      <c r="K28" s="5"/>
      <c r="L28" s="5" t="s">
        <v>208</v>
      </c>
    </row>
    <row r="29" customFormat="false" ht="15" hidden="false" customHeight="false" outlineLevel="0" collapsed="false">
      <c r="A29" s="4" t="s">
        <v>231</v>
      </c>
      <c r="B29" s="5"/>
      <c r="C29" s="5"/>
      <c r="D29" s="8"/>
      <c r="E29" s="5"/>
      <c r="F29" s="5"/>
      <c r="G29" s="5"/>
      <c r="H29" s="9"/>
      <c r="I29" s="8"/>
      <c r="J29" s="5"/>
      <c r="K29" s="5"/>
      <c r="L29" s="5" t="s">
        <v>208</v>
      </c>
    </row>
    <row r="30" customFormat="false" ht="15" hidden="false" customHeight="false" outlineLevel="0" collapsed="false">
      <c r="A30" s="4" t="s">
        <v>232</v>
      </c>
      <c r="B30" s="5"/>
      <c r="C30" s="5"/>
      <c r="D30" s="8"/>
      <c r="E30" s="5"/>
      <c r="F30" s="5"/>
      <c r="G30" s="5"/>
      <c r="H30" s="9"/>
      <c r="I30" s="8"/>
      <c r="J30" s="5"/>
      <c r="K30" s="5"/>
      <c r="L30" s="5" t="s">
        <v>208</v>
      </c>
    </row>
    <row r="31" customFormat="false" ht="15" hidden="false" customHeight="false" outlineLevel="0" collapsed="false">
      <c r="A31" s="4" t="s">
        <v>233</v>
      </c>
      <c r="B31" s="5"/>
      <c r="C31" s="5"/>
      <c r="D31" s="8"/>
      <c r="E31" s="5"/>
      <c r="F31" s="5"/>
      <c r="G31" s="5"/>
      <c r="H31" s="9"/>
      <c r="I31" s="8"/>
      <c r="J31" s="5"/>
      <c r="K31" s="5"/>
      <c r="L31" s="5" t="s">
        <v>208</v>
      </c>
    </row>
    <row r="32" customFormat="false" ht="15" hidden="false" customHeight="false" outlineLevel="0" collapsed="false">
      <c r="A32" s="4" t="s">
        <v>234</v>
      </c>
      <c r="B32" s="5"/>
      <c r="C32" s="5"/>
      <c r="D32" s="8"/>
      <c r="E32" s="5"/>
      <c r="F32" s="5"/>
      <c r="G32" s="5"/>
      <c r="H32" s="9"/>
      <c r="I32" s="8"/>
      <c r="J32" s="5"/>
      <c r="K32" s="5"/>
      <c r="L32" s="5" t="s">
        <v>208</v>
      </c>
    </row>
    <row r="33" customFormat="false" ht="15" hidden="false" customHeight="false" outlineLevel="0" collapsed="false">
      <c r="A33" s="4" t="s">
        <v>235</v>
      </c>
      <c r="B33" s="5"/>
      <c r="C33" s="5"/>
      <c r="D33" s="8"/>
      <c r="E33" s="5"/>
      <c r="F33" s="5"/>
      <c r="G33" s="5"/>
      <c r="H33" s="9"/>
      <c r="I33" s="8"/>
      <c r="J33" s="5"/>
      <c r="K33" s="5"/>
      <c r="L33" s="5" t="s">
        <v>208</v>
      </c>
    </row>
    <row r="34" customFormat="false" ht="15" hidden="false" customHeight="false" outlineLevel="0" collapsed="false">
      <c r="A34" s="4" t="s">
        <v>236</v>
      </c>
      <c r="B34" s="5"/>
      <c r="C34" s="5"/>
      <c r="D34" s="8"/>
      <c r="E34" s="5"/>
      <c r="F34" s="5"/>
      <c r="G34" s="5"/>
      <c r="H34" s="9"/>
      <c r="I34" s="8"/>
      <c r="J34" s="5"/>
      <c r="K34" s="5"/>
      <c r="L34" s="5" t="s">
        <v>208</v>
      </c>
    </row>
    <row r="35" customFormat="false" ht="15" hidden="false" customHeight="false" outlineLevel="0" collapsed="false">
      <c r="A35" s="4" t="s">
        <v>237</v>
      </c>
      <c r="B35" s="5"/>
      <c r="C35" s="5"/>
      <c r="D35" s="8"/>
      <c r="E35" s="5"/>
      <c r="F35" s="5"/>
      <c r="G35" s="5"/>
      <c r="H35" s="9"/>
      <c r="I35" s="8"/>
      <c r="J35" s="5"/>
      <c r="K35" s="5"/>
      <c r="L35" s="5" t="s">
        <v>208</v>
      </c>
    </row>
    <row r="36" customFormat="false" ht="15" hidden="false" customHeight="false" outlineLevel="0" collapsed="false">
      <c r="A36" s="4" t="s">
        <v>238</v>
      </c>
      <c r="B36" s="5"/>
      <c r="C36" s="5"/>
      <c r="D36" s="8"/>
      <c r="E36" s="5"/>
      <c r="F36" s="5"/>
      <c r="G36" s="5"/>
      <c r="H36" s="9"/>
      <c r="I36" s="8"/>
      <c r="J36" s="5"/>
      <c r="K36" s="5"/>
      <c r="L36" s="5" t="s">
        <v>208</v>
      </c>
    </row>
    <row r="37" customFormat="false" ht="15" hidden="false" customHeight="false" outlineLevel="0" collapsed="false">
      <c r="A37" s="4" t="s">
        <v>239</v>
      </c>
      <c r="B37" s="5"/>
      <c r="C37" s="5"/>
      <c r="D37" s="8"/>
      <c r="E37" s="5"/>
      <c r="F37" s="5"/>
      <c r="G37" s="5"/>
      <c r="H37" s="9"/>
      <c r="I37" s="8"/>
      <c r="J37" s="5"/>
      <c r="K37" s="5"/>
      <c r="L37" s="5" t="s">
        <v>208</v>
      </c>
    </row>
    <row r="38" customFormat="false" ht="15" hidden="false" customHeight="false" outlineLevel="0" collapsed="false">
      <c r="A38" s="4" t="s">
        <v>240</v>
      </c>
      <c r="B38" s="5"/>
      <c r="C38" s="5"/>
      <c r="D38" s="8"/>
      <c r="E38" s="5"/>
      <c r="F38" s="5"/>
      <c r="G38" s="5"/>
      <c r="H38" s="9"/>
      <c r="I38" s="8"/>
      <c r="J38" s="5"/>
      <c r="K38" s="5"/>
      <c r="L38" s="5" t="s">
        <v>208</v>
      </c>
    </row>
    <row r="39" customFormat="false" ht="15" hidden="false" customHeight="false" outlineLevel="0" collapsed="false">
      <c r="A39" s="4" t="s">
        <v>241</v>
      </c>
      <c r="B39" s="5"/>
      <c r="C39" s="5"/>
      <c r="D39" s="8"/>
      <c r="E39" s="5"/>
      <c r="F39" s="5"/>
      <c r="G39" s="5"/>
      <c r="H39" s="9"/>
      <c r="I39" s="8"/>
      <c r="J39" s="5"/>
      <c r="K39" s="5"/>
      <c r="L39" s="5" t="s">
        <v>208</v>
      </c>
    </row>
    <row r="40" customFormat="false" ht="15" hidden="false" customHeight="false" outlineLevel="0" collapsed="false">
      <c r="A40" s="4" t="s">
        <v>242</v>
      </c>
      <c r="B40" s="5"/>
      <c r="C40" s="5"/>
      <c r="D40" s="8"/>
      <c r="E40" s="5"/>
      <c r="F40" s="5"/>
      <c r="G40" s="5"/>
      <c r="H40" s="9"/>
      <c r="I40" s="8"/>
      <c r="J40" s="5"/>
      <c r="K40" s="5"/>
      <c r="L40" s="5" t="s">
        <v>208</v>
      </c>
    </row>
    <row r="41" customFormat="false" ht="15" hidden="false" customHeight="false" outlineLevel="0" collapsed="false">
      <c r="A41" s="4" t="s">
        <v>243</v>
      </c>
      <c r="B41" s="5"/>
      <c r="C41" s="5"/>
      <c r="D41" s="8"/>
      <c r="E41" s="5"/>
      <c r="F41" s="5"/>
      <c r="G41" s="5"/>
      <c r="H41" s="9"/>
      <c r="I41" s="8"/>
      <c r="J41" s="5"/>
      <c r="K41" s="5"/>
      <c r="L41" s="5" t="s">
        <v>208</v>
      </c>
    </row>
    <row r="42" customFormat="false" ht="15" hidden="false" customHeight="false" outlineLevel="0" collapsed="false">
      <c r="A42" s="4" t="s">
        <v>244</v>
      </c>
      <c r="B42" s="5"/>
      <c r="C42" s="5"/>
      <c r="D42" s="8"/>
      <c r="E42" s="5"/>
      <c r="F42" s="5"/>
      <c r="G42" s="5"/>
      <c r="H42" s="9"/>
      <c r="I42" s="8"/>
      <c r="J42" s="5"/>
      <c r="K42" s="5"/>
      <c r="L42" s="5" t="s">
        <v>208</v>
      </c>
    </row>
    <row r="43" customFormat="false" ht="15" hidden="false" customHeight="false" outlineLevel="0" collapsed="false">
      <c r="A43" s="4" t="s">
        <v>245</v>
      </c>
      <c r="B43" s="5"/>
      <c r="C43" s="5"/>
      <c r="D43" s="8"/>
      <c r="E43" s="5"/>
      <c r="F43" s="5"/>
      <c r="G43" s="5"/>
      <c r="H43" s="9"/>
      <c r="I43" s="8"/>
      <c r="J43" s="5"/>
      <c r="K43" s="5"/>
      <c r="L43" s="5" t="s">
        <v>208</v>
      </c>
    </row>
    <row r="44" customFormat="false" ht="15" hidden="false" customHeight="false" outlineLevel="0" collapsed="false">
      <c r="A44" s="4" t="s">
        <v>246</v>
      </c>
      <c r="B44" s="5"/>
      <c r="C44" s="5"/>
      <c r="D44" s="8"/>
      <c r="E44" s="5"/>
      <c r="F44" s="5"/>
      <c r="G44" s="5"/>
      <c r="H44" s="9"/>
      <c r="I44" s="8"/>
      <c r="J44" s="5"/>
      <c r="K44" s="5"/>
      <c r="L44" s="5" t="s">
        <v>208</v>
      </c>
    </row>
    <row r="45" customFormat="false" ht="15" hidden="false" customHeight="false" outlineLevel="0" collapsed="false">
      <c r="A45" s="4" t="s">
        <v>247</v>
      </c>
      <c r="B45" s="5"/>
      <c r="C45" s="5"/>
      <c r="D45" s="8"/>
      <c r="E45" s="5"/>
      <c r="F45" s="5"/>
      <c r="G45" s="5"/>
      <c r="H45" s="9"/>
      <c r="I45" s="8"/>
      <c r="J45" s="5"/>
      <c r="K45" s="5"/>
      <c r="L45" s="5" t="s">
        <v>208</v>
      </c>
    </row>
    <row r="46" customFormat="false" ht="15" hidden="false" customHeight="false" outlineLevel="0" collapsed="false">
      <c r="A46" s="4" t="s">
        <v>248</v>
      </c>
      <c r="B46" s="5"/>
      <c r="C46" s="5"/>
      <c r="D46" s="8"/>
      <c r="E46" s="5"/>
      <c r="F46" s="5"/>
      <c r="G46" s="5"/>
      <c r="H46" s="9"/>
      <c r="I46" s="8"/>
      <c r="J46" s="5"/>
      <c r="K46" s="5"/>
      <c r="L46" s="5" t="s">
        <v>208</v>
      </c>
    </row>
    <row r="47" customFormat="false" ht="15" hidden="false" customHeight="false" outlineLevel="0" collapsed="false">
      <c r="A47" s="4" t="s">
        <v>249</v>
      </c>
      <c r="B47" s="5"/>
      <c r="C47" s="5"/>
      <c r="D47" s="8"/>
      <c r="E47" s="5"/>
      <c r="F47" s="5"/>
      <c r="G47" s="5"/>
      <c r="H47" s="9"/>
      <c r="I47" s="8"/>
      <c r="J47" s="5"/>
      <c r="K47" s="5"/>
      <c r="L47" s="5" t="s">
        <v>208</v>
      </c>
    </row>
    <row r="48" customFormat="false" ht="15" hidden="false" customHeight="false" outlineLevel="0" collapsed="false">
      <c r="A48" s="4" t="s">
        <v>250</v>
      </c>
      <c r="B48" s="5"/>
      <c r="C48" s="5"/>
      <c r="D48" s="8"/>
      <c r="E48" s="5"/>
      <c r="F48" s="5"/>
      <c r="G48" s="5"/>
      <c r="H48" s="9"/>
      <c r="I48" s="8"/>
      <c r="J48" s="5"/>
      <c r="K48" s="5"/>
      <c r="L48" s="5" t="s">
        <v>208</v>
      </c>
    </row>
    <row r="49" customFormat="false" ht="15" hidden="false" customHeight="false" outlineLevel="0" collapsed="false">
      <c r="A49" s="4" t="s">
        <v>251</v>
      </c>
      <c r="B49" s="5"/>
      <c r="C49" s="5"/>
      <c r="D49" s="8"/>
      <c r="E49" s="5"/>
      <c r="F49" s="5"/>
      <c r="G49" s="5"/>
      <c r="H49" s="9"/>
      <c r="I49" s="8"/>
      <c r="J49" s="5"/>
      <c r="K49" s="5"/>
      <c r="L49" s="5" t="s">
        <v>208</v>
      </c>
    </row>
    <row r="50" customFormat="false" ht="15" hidden="false" customHeight="false" outlineLevel="0" collapsed="false">
      <c r="A50" s="4" t="s">
        <v>252</v>
      </c>
      <c r="B50" s="5"/>
      <c r="C50" s="5"/>
      <c r="D50" s="8"/>
      <c r="E50" s="5"/>
      <c r="F50" s="5"/>
      <c r="G50" s="5"/>
      <c r="H50" s="9"/>
      <c r="I50" s="8"/>
      <c r="J50" s="5"/>
      <c r="K50" s="5"/>
      <c r="L50" s="5" t="s">
        <v>208</v>
      </c>
    </row>
  </sheetData>
  <mergeCells count="2">
    <mergeCell ref="A1:L1"/>
    <mergeCell ref="A2:L2"/>
  </mergeCells>
  <conditionalFormatting sqref="L6:L50">
    <cfRule type="containsText" priority="2" operator="containsText" aboveAverage="0" equalAverage="0" bottom="0" percent="0" rank="0" text="已完成" dxfId="7">
      <formula>NOT(ISERROR(SEARCH("已完成",L6)))</formula>
    </cfRule>
    <cfRule type="containsText" priority="3" operator="containsText" aboveAverage="0" equalAverage="0" bottom="0" percent="0" rank="0" text="高" dxfId="8">
      <formula>NOT(ISERROR(SEARCH("高",L6)))</formula>
    </cfRule>
  </conditionalFormatting>
  <dataValidations count="1">
    <dataValidation allowBlank="false" errorStyle="stop" operator="between" showDropDown="false" showErrorMessage="false" showInputMessage="false" sqref="L6:L50" type="list">
      <formula1>"未开始,进行中,待复核,已完成"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55"/>
  </cols>
  <sheetData>
    <row r="1" customFormat="false" ht="30" hidden="false" customHeight="true" outlineLevel="0" collapsed="false">
      <c r="A1" s="1" t="s">
        <v>253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254</v>
      </c>
      <c r="B2" s="2"/>
      <c r="C2" s="2"/>
      <c r="D2" s="2"/>
      <c r="E2" s="2"/>
      <c r="F2" s="2"/>
    </row>
    <row r="5" customFormat="false" ht="34" hidden="false" customHeight="true" outlineLevel="0" collapsed="false">
      <c r="A5" s="3" t="s">
        <v>74</v>
      </c>
      <c r="B5" s="3" t="s">
        <v>255</v>
      </c>
      <c r="C5" s="3" t="s">
        <v>256</v>
      </c>
      <c r="D5" s="3" t="s">
        <v>257</v>
      </c>
      <c r="E5" s="3" t="s">
        <v>258</v>
      </c>
      <c r="F5" s="3" t="s">
        <v>259</v>
      </c>
    </row>
    <row r="6" customFormat="false" ht="15" hidden="false" customHeight="false" outlineLevel="0" collapsed="false">
      <c r="A6" s="4" t="s">
        <v>260</v>
      </c>
      <c r="B6" s="4" t="s">
        <v>261</v>
      </c>
      <c r="C6" s="5" t="n">
        <v>0</v>
      </c>
      <c r="D6" s="4" t="s">
        <v>262</v>
      </c>
      <c r="E6" s="4" t="s">
        <v>263</v>
      </c>
      <c r="F6" s="4" t="s">
        <v>264</v>
      </c>
    </row>
    <row r="7" customFormat="false" ht="15" hidden="false" customHeight="false" outlineLevel="0" collapsed="false">
      <c r="A7" s="4" t="s">
        <v>146</v>
      </c>
      <c r="B7" s="4" t="s">
        <v>265</v>
      </c>
      <c r="C7" s="5" t="n">
        <v>0</v>
      </c>
      <c r="D7" s="4" t="s">
        <v>266</v>
      </c>
      <c r="E7" s="4" t="s">
        <v>267</v>
      </c>
      <c r="F7" s="4" t="s">
        <v>268</v>
      </c>
    </row>
    <row r="8" customFormat="false" ht="15" hidden="false" customHeight="false" outlineLevel="0" collapsed="false">
      <c r="A8" s="4" t="s">
        <v>269</v>
      </c>
      <c r="B8" s="4" t="s">
        <v>270</v>
      </c>
      <c r="C8" s="5" t="n">
        <v>0</v>
      </c>
      <c r="D8" s="4" t="s">
        <v>271</v>
      </c>
      <c r="E8" s="4" t="s">
        <v>272</v>
      </c>
      <c r="F8" s="4" t="s">
        <v>273</v>
      </c>
    </row>
    <row r="9" customFormat="false" ht="15" hidden="false" customHeight="false" outlineLevel="0" collapsed="false">
      <c r="A9" s="4" t="s">
        <v>274</v>
      </c>
      <c r="B9" s="4" t="s">
        <v>270</v>
      </c>
      <c r="C9" s="5" t="n">
        <v>0</v>
      </c>
      <c r="D9" s="4" t="s">
        <v>275</v>
      </c>
      <c r="E9" s="4" t="s">
        <v>276</v>
      </c>
      <c r="F9" s="4" t="s">
        <v>277</v>
      </c>
    </row>
    <row r="10" customFormat="false" ht="15" hidden="false" customHeight="false" outlineLevel="0" collapsed="false">
      <c r="A10" s="4" t="s">
        <v>278</v>
      </c>
      <c r="B10" s="4" t="s">
        <v>279</v>
      </c>
      <c r="C10" s="5" t="s">
        <v>280</v>
      </c>
      <c r="D10" s="4" t="s">
        <v>281</v>
      </c>
      <c r="E10" s="4" t="s">
        <v>282</v>
      </c>
      <c r="F10" s="4" t="s">
        <v>283</v>
      </c>
    </row>
    <row r="11" customFormat="false" ht="15" hidden="false" customHeight="false" outlineLevel="0" collapsed="false">
      <c r="A11" s="4" t="s">
        <v>284</v>
      </c>
      <c r="B11" s="4" t="s">
        <v>270</v>
      </c>
      <c r="C11" s="5" t="n">
        <v>0</v>
      </c>
      <c r="D11" s="4" t="s">
        <v>285</v>
      </c>
      <c r="E11" s="4" t="s">
        <v>272</v>
      </c>
      <c r="F11" s="4" t="s">
        <v>286</v>
      </c>
    </row>
    <row r="12" customFormat="false" ht="15" hidden="false" customHeight="false" outlineLevel="0" collapsed="false">
      <c r="A12" s="4" t="s">
        <v>287</v>
      </c>
      <c r="B12" s="4" t="s">
        <v>270</v>
      </c>
      <c r="C12" s="5" t="n">
        <v>1</v>
      </c>
      <c r="D12" s="4" t="s">
        <v>288</v>
      </c>
      <c r="E12" s="4" t="s">
        <v>272</v>
      </c>
      <c r="F12" s="4" t="s">
        <v>289</v>
      </c>
    </row>
    <row r="13" customFormat="false" ht="15" hidden="false" customHeight="false" outlineLevel="0" collapsed="false">
      <c r="A13" s="4" t="s">
        <v>290</v>
      </c>
      <c r="B13" s="4" t="s">
        <v>265</v>
      </c>
      <c r="C13" s="5" t="n">
        <v>0</v>
      </c>
      <c r="D13" s="4" t="s">
        <v>291</v>
      </c>
      <c r="E13" s="4" t="s">
        <v>276</v>
      </c>
      <c r="F13" s="4" t="s">
        <v>292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45"/>
  </cols>
  <sheetData>
    <row r="1" customFormat="false" ht="30" hidden="false" customHeight="true" outlineLevel="0" collapsed="false">
      <c r="A1" s="1" t="s">
        <v>293</v>
      </c>
      <c r="B1" s="1"/>
      <c r="C1" s="1"/>
      <c r="D1" s="1"/>
      <c r="E1" s="1"/>
    </row>
    <row r="2" customFormat="false" ht="30" hidden="false" customHeight="true" outlineLevel="0" collapsed="false">
      <c r="A2" s="2" t="s">
        <v>294</v>
      </c>
      <c r="B2" s="2"/>
      <c r="C2" s="2"/>
      <c r="D2" s="2"/>
      <c r="E2" s="2"/>
    </row>
    <row r="5" customFormat="false" ht="34" hidden="false" customHeight="true" outlineLevel="0" collapsed="false">
      <c r="A5" s="3" t="s">
        <v>141</v>
      </c>
      <c r="B5" s="3" t="s">
        <v>295</v>
      </c>
      <c r="C5" s="3" t="s">
        <v>296</v>
      </c>
      <c r="D5" s="3" t="s">
        <v>297</v>
      </c>
      <c r="E5" s="3" t="s">
        <v>298</v>
      </c>
    </row>
    <row r="6" customFormat="false" ht="15" hidden="false" customHeight="false" outlineLevel="0" collapsed="false">
      <c r="A6" s="4" t="s">
        <v>150</v>
      </c>
      <c r="B6" s="7" t="n">
        <v>8260000</v>
      </c>
      <c r="C6" s="10" t="n">
        <f aca="false">B6/SUM($B$6:$B$11)</f>
        <v>0.35</v>
      </c>
      <c r="D6" s="10" t="n">
        <f aca="false">SUM($C$6:C6)</f>
        <v>0.35</v>
      </c>
      <c r="E6" s="5"/>
    </row>
    <row r="7" customFormat="false" ht="15" hidden="false" customHeight="false" outlineLevel="0" collapsed="false">
      <c r="A7" s="4" t="s">
        <v>153</v>
      </c>
      <c r="B7" s="7" t="n">
        <v>3540000</v>
      </c>
      <c r="C7" s="10" t="n">
        <f aca="false">B7/SUM($B$6:$B$11)</f>
        <v>0.15</v>
      </c>
      <c r="D7" s="10" t="n">
        <f aca="false">SUM($C$6:C7)</f>
        <v>0.5</v>
      </c>
      <c r="E7" s="5"/>
    </row>
    <row r="8" customFormat="false" ht="15" hidden="false" customHeight="false" outlineLevel="0" collapsed="false">
      <c r="A8" s="4" t="s">
        <v>156</v>
      </c>
      <c r="B8" s="7" t="n">
        <v>2950000</v>
      </c>
      <c r="C8" s="10" t="n">
        <f aca="false">B8/SUM($B$6:$B$11)</f>
        <v>0.125</v>
      </c>
      <c r="D8" s="10" t="n">
        <f aca="false">SUM($C$6:C8)</f>
        <v>0.625</v>
      </c>
      <c r="E8" s="5"/>
    </row>
    <row r="9" customFormat="false" ht="15" hidden="false" customHeight="false" outlineLevel="0" collapsed="false">
      <c r="A9" s="4" t="s">
        <v>299</v>
      </c>
      <c r="B9" s="7" t="n">
        <v>2360000</v>
      </c>
      <c r="C9" s="10" t="n">
        <f aca="false">B9/SUM($B$6:$B$11)</f>
        <v>0.1</v>
      </c>
      <c r="D9" s="10" t="n">
        <f aca="false">SUM($C$6:C9)</f>
        <v>0.725</v>
      </c>
      <c r="E9" s="5"/>
    </row>
    <row r="10" customFormat="false" ht="15" hidden="false" customHeight="false" outlineLevel="0" collapsed="false">
      <c r="A10" s="4" t="s">
        <v>300</v>
      </c>
      <c r="B10" s="7" t="n">
        <v>1770000</v>
      </c>
      <c r="C10" s="10" t="n">
        <f aca="false">B10/SUM($B$6:$B$11)</f>
        <v>0.075</v>
      </c>
      <c r="D10" s="10" t="n">
        <f aca="false">SUM($C$6:C10)</f>
        <v>0.8</v>
      </c>
      <c r="E10" s="5"/>
    </row>
    <row r="11" customFormat="false" ht="15" hidden="false" customHeight="false" outlineLevel="0" collapsed="false">
      <c r="A11" s="4" t="s">
        <v>301</v>
      </c>
      <c r="B11" s="7" t="n">
        <v>4720000</v>
      </c>
      <c r="C11" s="10" t="n">
        <f aca="false">B11/SUM($B$6:$B$11)</f>
        <v>0.2</v>
      </c>
      <c r="D11" s="10" t="n">
        <f aca="false">SUM($C$6:C11)</f>
        <v>1</v>
      </c>
      <c r="E11" s="5"/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5"/>
    <col collapsed="false" customWidth="true" hidden="false" outlineLevel="0" max="3" min="3" style="0" width="60"/>
    <col collapsed="false" customWidth="true" hidden="false" outlineLevel="0" max="4" min="4" style="0" width="50"/>
    <col collapsed="false" customWidth="true" hidden="false" outlineLevel="0" max="5" min="5" style="0" width="45"/>
  </cols>
  <sheetData>
    <row r="1" customFormat="false" ht="30" hidden="false" customHeight="true" outlineLevel="0" collapsed="false">
      <c r="A1" s="1" t="s">
        <v>302</v>
      </c>
      <c r="B1" s="1"/>
      <c r="C1" s="1"/>
      <c r="D1" s="1"/>
      <c r="E1" s="1"/>
    </row>
    <row r="2" customFormat="false" ht="30" hidden="false" customHeight="true" outlineLevel="0" collapsed="false">
      <c r="A2" s="2" t="s">
        <v>303</v>
      </c>
      <c r="B2" s="2"/>
      <c r="C2" s="2"/>
      <c r="D2" s="2"/>
      <c r="E2" s="2"/>
    </row>
    <row r="5" customFormat="false" ht="34" hidden="false" customHeight="true" outlineLevel="0" collapsed="false">
      <c r="A5" s="3" t="s">
        <v>304</v>
      </c>
      <c r="B5" s="3" t="s">
        <v>305</v>
      </c>
      <c r="C5" s="3" t="s">
        <v>306</v>
      </c>
      <c r="D5" s="3" t="s">
        <v>307</v>
      </c>
      <c r="E5" s="3" t="s">
        <v>308</v>
      </c>
    </row>
    <row r="6" customFormat="false" ht="15" hidden="false" customHeight="false" outlineLevel="0" collapsed="false">
      <c r="A6" s="4" t="s">
        <v>309</v>
      </c>
      <c r="B6" s="4" t="s">
        <v>310</v>
      </c>
      <c r="C6" s="4" t="s">
        <v>311</v>
      </c>
      <c r="D6" s="4" t="s">
        <v>312</v>
      </c>
      <c r="E6" s="5"/>
    </row>
    <row r="7" customFormat="false" ht="15" hidden="false" customHeight="false" outlineLevel="0" collapsed="false">
      <c r="A7" s="4" t="s">
        <v>313</v>
      </c>
      <c r="B7" s="4" t="s">
        <v>314</v>
      </c>
      <c r="C7" s="4" t="s">
        <v>315</v>
      </c>
      <c r="D7" s="4" t="s">
        <v>316</v>
      </c>
      <c r="E7" s="5"/>
    </row>
    <row r="8" customFormat="false" ht="15" hidden="false" customHeight="false" outlineLevel="0" collapsed="false">
      <c r="A8" s="4" t="s">
        <v>317</v>
      </c>
      <c r="B8" s="4" t="s">
        <v>318</v>
      </c>
      <c r="C8" s="4" t="s">
        <v>319</v>
      </c>
      <c r="D8" s="4" t="s">
        <v>320</v>
      </c>
      <c r="E8" s="5"/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45"/>
  </cols>
  <sheetData>
    <row r="1" customFormat="false" ht="30" hidden="false" customHeight="true" outlineLevel="0" collapsed="false">
      <c r="A1" s="1" t="s">
        <v>321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322</v>
      </c>
      <c r="B2" s="2"/>
      <c r="C2" s="2"/>
      <c r="D2" s="2"/>
      <c r="E2" s="2"/>
      <c r="F2" s="2"/>
    </row>
    <row r="5" customFormat="false" ht="34" hidden="false" customHeight="true" outlineLevel="0" collapsed="false">
      <c r="A5" s="3" t="s">
        <v>323</v>
      </c>
      <c r="B5" s="3" t="s">
        <v>144</v>
      </c>
      <c r="C5" s="3" t="s">
        <v>324</v>
      </c>
      <c r="D5" s="3" t="s">
        <v>325</v>
      </c>
      <c r="E5" s="3" t="s">
        <v>326</v>
      </c>
      <c r="F5" s="3" t="s">
        <v>4</v>
      </c>
    </row>
    <row r="6" customFormat="false" ht="15" hidden="false" customHeight="false" outlineLevel="0" collapsed="false">
      <c r="A6" s="4" t="s">
        <v>327</v>
      </c>
      <c r="B6" s="9" t="n">
        <v>15000000</v>
      </c>
      <c r="C6" s="11" t="n">
        <v>0.003</v>
      </c>
      <c r="D6" s="11" t="n">
        <v>1</v>
      </c>
      <c r="E6" s="7" t="n">
        <f aca="false">B6*C6*D6</f>
        <v>45000</v>
      </c>
      <c r="F6" s="4" t="s">
        <v>328</v>
      </c>
    </row>
    <row r="7" customFormat="false" ht="15" hidden="false" customHeight="false" outlineLevel="0" collapsed="false">
      <c r="A7" s="4" t="s">
        <v>329</v>
      </c>
      <c r="B7" s="9" t="n">
        <v>3000000</v>
      </c>
      <c r="C7" s="11" t="n">
        <v>0.01</v>
      </c>
      <c r="D7" s="11" t="n">
        <v>1.05</v>
      </c>
      <c r="E7" s="7" t="n">
        <f aca="false">B7*C7*D7</f>
        <v>31500</v>
      </c>
      <c r="F7" s="4" t="s">
        <v>330</v>
      </c>
    </row>
    <row r="8" customFormat="false" ht="15" hidden="false" customHeight="false" outlineLevel="0" collapsed="false">
      <c r="A8" s="4" t="s">
        <v>331</v>
      </c>
      <c r="B8" s="9" t="n">
        <v>2000000</v>
      </c>
      <c r="C8" s="11" t="n">
        <v>0.05</v>
      </c>
      <c r="D8" s="11" t="n">
        <v>1.1</v>
      </c>
      <c r="E8" s="7" t="n">
        <f aca="false">B8*C8*D8</f>
        <v>110000</v>
      </c>
      <c r="F8" s="4" t="s">
        <v>332</v>
      </c>
    </row>
    <row r="9" customFormat="false" ht="15" hidden="false" customHeight="false" outlineLevel="0" collapsed="false">
      <c r="A9" s="4" t="s">
        <v>333</v>
      </c>
      <c r="B9" s="9" t="n">
        <v>1000000</v>
      </c>
      <c r="C9" s="11" t="n">
        <v>0.2</v>
      </c>
      <c r="D9" s="11" t="n">
        <v>1.15</v>
      </c>
      <c r="E9" s="7" t="n">
        <f aca="false">B9*C9*D9</f>
        <v>230000</v>
      </c>
      <c r="F9" s="4" t="s">
        <v>334</v>
      </c>
    </row>
    <row r="10" customFormat="false" ht="15" hidden="false" customHeight="false" outlineLevel="0" collapsed="false">
      <c r="A10" s="4" t="s">
        <v>335</v>
      </c>
      <c r="B10" s="9" t="n">
        <v>600000</v>
      </c>
      <c r="C10" s="11" t="n">
        <v>0.5</v>
      </c>
      <c r="D10" s="11" t="n">
        <v>1.2</v>
      </c>
      <c r="E10" s="7" t="n">
        <f aca="false">B10*C10*D10</f>
        <v>360000</v>
      </c>
      <c r="F10" s="4" t="s">
        <v>336</v>
      </c>
    </row>
    <row r="12" customFormat="false" ht="15" hidden="false" customHeight="false" outlineLevel="0" collapsed="false">
      <c r="A12" s="4" t="s">
        <v>337</v>
      </c>
      <c r="B12" s="7" t="n">
        <f aca="false">SUM(E6:E10)</f>
        <v>776500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8" min="8" style="0" width="28"/>
  </cols>
  <sheetData>
    <row r="1" customFormat="false" ht="30" hidden="false" customHeight="true" outlineLevel="0" collapsed="false">
      <c r="A1" s="1" t="s">
        <v>338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339</v>
      </c>
      <c r="B2" s="2"/>
      <c r="C2" s="2"/>
      <c r="D2" s="2"/>
      <c r="E2" s="2"/>
      <c r="F2" s="2"/>
      <c r="G2" s="2"/>
      <c r="H2" s="2"/>
    </row>
    <row r="5" customFormat="false" ht="34" hidden="false" customHeight="true" outlineLevel="0" collapsed="false">
      <c r="A5" s="3" t="s">
        <v>340</v>
      </c>
      <c r="B5" s="3" t="s">
        <v>341</v>
      </c>
      <c r="C5" s="3" t="s">
        <v>342</v>
      </c>
      <c r="D5" s="3" t="s">
        <v>343</v>
      </c>
      <c r="E5" s="3" t="s">
        <v>344</v>
      </c>
      <c r="F5" s="3" t="s">
        <v>345</v>
      </c>
      <c r="G5" s="3" t="s">
        <v>346</v>
      </c>
      <c r="H5" s="3" t="s">
        <v>347</v>
      </c>
    </row>
    <row r="6" customFormat="false" ht="15" hidden="false" customHeight="false" outlineLevel="0" collapsed="false">
      <c r="A6" s="4" t="s">
        <v>295</v>
      </c>
      <c r="B6" s="9" t="n">
        <f aca="false">SUM('07-集中度分析'!B6:B11)</f>
        <v>23600000</v>
      </c>
      <c r="C6" s="5" t="s">
        <v>348</v>
      </c>
      <c r="D6" s="5"/>
      <c r="E6" s="5" t="s">
        <v>349</v>
      </c>
      <c r="F6" s="5"/>
      <c r="G6" s="5" t="s">
        <v>350</v>
      </c>
      <c r="H6" s="5"/>
    </row>
    <row r="7" customFormat="false" ht="15" hidden="false" customHeight="false" outlineLevel="0" collapsed="false">
      <c r="A7" s="4" t="s">
        <v>351</v>
      </c>
      <c r="B7" s="5"/>
      <c r="C7" s="5" t="s">
        <v>352</v>
      </c>
      <c r="D7" s="11" t="n">
        <f aca="false">'07-集中度分析'!C6</f>
        <v>0.35</v>
      </c>
      <c r="E7" s="11" t="s">
        <v>353</v>
      </c>
      <c r="F7" s="11" t="n">
        <f aca="false">SUM('07-集中度分析'!C6:C10)</f>
        <v>0.8</v>
      </c>
      <c r="G7" s="5" t="s">
        <v>354</v>
      </c>
      <c r="H7" s="9" t="n">
        <f aca="false">'09-ECL参数与迁徙'!B12</f>
        <v>776500</v>
      </c>
    </row>
    <row r="8" customFormat="false" ht="15" hidden="false" customHeight="false" outlineLevel="0" collapsed="false">
      <c r="A8" s="4" t="s">
        <v>355</v>
      </c>
      <c r="B8" s="5"/>
      <c r="C8" s="5" t="s">
        <v>356</v>
      </c>
      <c r="D8" s="5"/>
      <c r="E8" s="5" t="s">
        <v>287</v>
      </c>
      <c r="F8" s="5"/>
      <c r="G8" s="5" t="s">
        <v>357</v>
      </c>
      <c r="H8" s="5"/>
    </row>
    <row r="9" customFormat="false" ht="15" hidden="false" customHeight="false" outlineLevel="0" collapsed="false">
      <c r="A9" s="4" t="s">
        <v>358</v>
      </c>
      <c r="B9" s="5"/>
      <c r="C9" s="5"/>
      <c r="D9" s="5"/>
      <c r="E9" s="5"/>
      <c r="F9" s="5"/>
      <c r="G9" s="5"/>
      <c r="H9" s="5"/>
    </row>
    <row r="10" customFormat="false" ht="15" hidden="false" customHeight="false" outlineLevel="0" collapsed="false">
      <c r="A10" s="4" t="s">
        <v>359</v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4" t="s">
        <v>360</v>
      </c>
      <c r="B11" s="5"/>
      <c r="C11" s="5"/>
      <c r="D11" s="5"/>
      <c r="E11" s="5"/>
      <c r="F11" s="5"/>
      <c r="G11" s="5"/>
      <c r="H11" s="5"/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2"/>
    <col collapsed="false" customWidth="true" hidden="false" outlineLevel="0" max="3" min="3" style="0" width="24"/>
    <col collapsed="false" customWidth="true" hidden="false" outlineLevel="0" max="4" min="4" style="0" width="62"/>
  </cols>
  <sheetData>
    <row r="1" customFormat="false" ht="30" hidden="false" customHeight="true" outlineLevel="0" collapsed="false">
      <c r="A1" s="1" t="s">
        <v>361</v>
      </c>
      <c r="B1" s="1"/>
      <c r="C1" s="1"/>
      <c r="D1" s="1"/>
    </row>
    <row r="2" customFormat="false" ht="30" hidden="false" customHeight="true" outlineLevel="0" collapsed="false">
      <c r="A2" s="2" t="s">
        <v>362</v>
      </c>
      <c r="B2" s="2"/>
      <c r="C2" s="2"/>
      <c r="D2" s="2"/>
    </row>
    <row r="5" customFormat="false" ht="34" hidden="false" customHeight="true" outlineLevel="0" collapsed="false">
      <c r="A5" s="3" t="s">
        <v>363</v>
      </c>
      <c r="B5" s="3" t="s">
        <v>364</v>
      </c>
      <c r="C5" s="3" t="s">
        <v>365</v>
      </c>
      <c r="D5" s="3" t="s">
        <v>366</v>
      </c>
    </row>
    <row r="6" customFormat="false" ht="15" hidden="false" customHeight="false" outlineLevel="0" collapsed="false">
      <c r="A6" s="4" t="s">
        <v>367</v>
      </c>
      <c r="B6" s="5" t="s">
        <v>368</v>
      </c>
      <c r="C6" s="5"/>
      <c r="D6" s="5"/>
    </row>
    <row r="7" customFormat="false" ht="15" hidden="false" customHeight="false" outlineLevel="0" collapsed="false">
      <c r="A7" s="4" t="s">
        <v>369</v>
      </c>
      <c r="B7" s="5" t="s">
        <v>370</v>
      </c>
      <c r="C7" s="5"/>
      <c r="D7" s="5"/>
    </row>
    <row r="8" customFormat="false" ht="15" hidden="false" customHeight="false" outlineLevel="0" collapsed="false">
      <c r="A8" s="4" t="s">
        <v>371</v>
      </c>
      <c r="B8" s="5"/>
      <c r="C8" s="5" t="s">
        <v>372</v>
      </c>
      <c r="D8" s="5"/>
    </row>
    <row r="9" customFormat="false" ht="15" hidden="false" customHeight="false" outlineLevel="0" collapsed="false">
      <c r="A9" s="4" t="s">
        <v>373</v>
      </c>
      <c r="B9" s="5"/>
      <c r="C9" s="5" t="s">
        <v>374</v>
      </c>
      <c r="D9" s="5"/>
    </row>
    <row r="10" customFormat="false" ht="15" hidden="false" customHeight="false" outlineLevel="0" collapsed="false">
      <c r="A10" s="4" t="s">
        <v>375</v>
      </c>
      <c r="B10" s="5"/>
      <c r="C10" s="5" t="s">
        <v>376</v>
      </c>
      <c r="D10" s="5"/>
    </row>
    <row r="11" customFormat="false" ht="15" hidden="false" customHeight="false" outlineLevel="0" collapsed="false">
      <c r="A11" s="4" t="s">
        <v>377</v>
      </c>
      <c r="B11" s="5"/>
      <c r="C11" s="5" t="s">
        <v>378</v>
      </c>
      <c r="D11" s="5"/>
    </row>
    <row r="12" customFormat="false" ht="15" hidden="false" customHeight="false" outlineLevel="0" collapsed="false">
      <c r="A12" s="4" t="s">
        <v>379</v>
      </c>
      <c r="B12" s="5" t="s">
        <v>380</v>
      </c>
      <c r="C12" s="5"/>
      <c r="D12" s="5"/>
    </row>
    <row r="13" customFormat="false" ht="15" hidden="false" customHeight="false" outlineLevel="0" collapsed="false">
      <c r="A13" s="4" t="s">
        <v>381</v>
      </c>
      <c r="B13" s="5" t="s">
        <v>382</v>
      </c>
      <c r="C13" s="5"/>
      <c r="D13" s="5"/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3" min="3" style="0" width="75"/>
    <col collapsed="false" customWidth="true" hidden="false" outlineLevel="0" max="4" min="4" style="0" width="40"/>
  </cols>
  <sheetData>
    <row r="1" customFormat="false" ht="30" hidden="false" customHeight="true" outlineLevel="0" collapsed="false">
      <c r="A1" s="1" t="s">
        <v>383</v>
      </c>
      <c r="B1" s="1"/>
      <c r="C1" s="1"/>
      <c r="D1" s="1"/>
    </row>
    <row r="2" customFormat="false" ht="30" hidden="false" customHeight="true" outlineLevel="0" collapsed="false">
      <c r="A2" s="2" t="s">
        <v>384</v>
      </c>
      <c r="B2" s="2"/>
      <c r="C2" s="2"/>
      <c r="D2" s="2"/>
    </row>
    <row r="5" customFormat="false" ht="34" hidden="false" customHeight="true" outlineLevel="0" collapsed="false">
      <c r="A5" s="3" t="s">
        <v>385</v>
      </c>
      <c r="B5" s="3" t="s">
        <v>386</v>
      </c>
      <c r="C5" s="3" t="s">
        <v>387</v>
      </c>
      <c r="D5" s="3" t="s">
        <v>388</v>
      </c>
    </row>
    <row r="6" customFormat="false" ht="15" hidden="false" customHeight="false" outlineLevel="0" collapsed="false">
      <c r="A6" s="4" t="s">
        <v>389</v>
      </c>
      <c r="B6" s="4" t="s">
        <v>390</v>
      </c>
      <c r="C6" s="4" t="s">
        <v>391</v>
      </c>
      <c r="D6" s="4" t="s">
        <v>392</v>
      </c>
    </row>
    <row r="7" customFormat="false" ht="15" hidden="false" customHeight="false" outlineLevel="0" collapsed="false">
      <c r="A7" s="4" t="s">
        <v>393</v>
      </c>
      <c r="B7" s="4" t="s">
        <v>394</v>
      </c>
      <c r="C7" s="4" t="s">
        <v>395</v>
      </c>
      <c r="D7" s="4" t="s">
        <v>396</v>
      </c>
    </row>
    <row r="8" customFormat="false" ht="15" hidden="false" customHeight="false" outlineLevel="0" collapsed="false">
      <c r="A8" s="4" t="s">
        <v>397</v>
      </c>
      <c r="B8" s="4" t="s">
        <v>398</v>
      </c>
      <c r="C8" s="4" t="s">
        <v>399</v>
      </c>
      <c r="D8" s="4" t="s">
        <v>400</v>
      </c>
    </row>
    <row r="9" customFormat="false" ht="15" hidden="false" customHeight="false" outlineLevel="0" collapsed="false">
      <c r="A9" s="4" t="s">
        <v>401</v>
      </c>
      <c r="B9" s="4" t="s">
        <v>402</v>
      </c>
      <c r="C9" s="4" t="s">
        <v>403</v>
      </c>
      <c r="D9" s="4" t="s">
        <v>404</v>
      </c>
    </row>
    <row r="10" customFormat="false" ht="15" hidden="false" customHeight="false" outlineLevel="0" collapsed="false">
      <c r="A10" s="4" t="s">
        <v>405</v>
      </c>
      <c r="B10" s="4" t="s">
        <v>402</v>
      </c>
      <c r="C10" s="4" t="s">
        <v>406</v>
      </c>
      <c r="D10" s="4" t="s">
        <v>407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6" min="5" style="0" width="22"/>
    <col collapsed="false" customWidth="true" hidden="false" outlineLevel="0" max="7" min="7" style="0" width="20"/>
    <col collapsed="false" customWidth="true" hidden="false" outlineLevel="0" max="8" min="8" style="0" width="40"/>
    <col collapsed="false" customWidth="true" hidden="false" outlineLevel="0" max="9" min="9" style="0" width="45"/>
    <col collapsed="false" customWidth="true" hidden="false" outlineLevel="0" max="10" min="10" style="0" width="16"/>
    <col collapsed="false" customWidth="true" hidden="false" outlineLevel="0" max="11" min="11" style="0" width="14"/>
  </cols>
  <sheetData>
    <row r="1" customFormat="false" ht="30" hidden="false" customHeight="true" outlineLevel="0" collapsed="false">
      <c r="A1" s="1" t="s">
        <v>408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>
      <c r="A2" s="2" t="s">
        <v>409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5" customFormat="false" ht="34" hidden="false" customHeight="true" outlineLevel="0" collapsed="false">
      <c r="A5" s="3" t="s">
        <v>22</v>
      </c>
      <c r="B5" s="3" t="s">
        <v>410</v>
      </c>
      <c r="C5" s="3" t="s">
        <v>411</v>
      </c>
      <c r="D5" s="3" t="s">
        <v>412</v>
      </c>
      <c r="E5" s="3" t="s">
        <v>413</v>
      </c>
      <c r="F5" s="3" t="s">
        <v>414</v>
      </c>
      <c r="G5" s="3" t="s">
        <v>415</v>
      </c>
      <c r="H5" s="3" t="s">
        <v>416</v>
      </c>
      <c r="I5" s="3" t="s">
        <v>417</v>
      </c>
      <c r="J5" s="3" t="s">
        <v>418</v>
      </c>
      <c r="K5" s="3" t="s">
        <v>24</v>
      </c>
    </row>
    <row r="6" customFormat="false" ht="15" hidden="false" customHeight="false" outlineLevel="0" collapsed="false">
      <c r="A6" s="4" t="s">
        <v>419</v>
      </c>
      <c r="B6" s="8"/>
      <c r="C6" s="5"/>
      <c r="D6" s="9"/>
      <c r="E6" s="5"/>
      <c r="F6" s="5"/>
      <c r="G6" s="5"/>
      <c r="H6" s="5"/>
      <c r="I6" s="5"/>
      <c r="J6" s="5"/>
      <c r="K6" s="5" t="s">
        <v>420</v>
      </c>
    </row>
    <row r="7" customFormat="false" ht="15" hidden="false" customHeight="false" outlineLevel="0" collapsed="false">
      <c r="A7" s="4" t="s">
        <v>421</v>
      </c>
      <c r="B7" s="8"/>
      <c r="C7" s="5"/>
      <c r="D7" s="9"/>
      <c r="E7" s="5"/>
      <c r="F7" s="5"/>
      <c r="G7" s="5"/>
      <c r="H7" s="5"/>
      <c r="I7" s="5"/>
      <c r="J7" s="5"/>
      <c r="K7" s="5" t="s">
        <v>420</v>
      </c>
    </row>
    <row r="8" customFormat="false" ht="15" hidden="false" customHeight="false" outlineLevel="0" collapsed="false">
      <c r="A8" s="4" t="s">
        <v>422</v>
      </c>
      <c r="B8" s="8"/>
      <c r="C8" s="5"/>
      <c r="D8" s="9"/>
      <c r="E8" s="5"/>
      <c r="F8" s="5"/>
      <c r="G8" s="5"/>
      <c r="H8" s="5"/>
      <c r="I8" s="5"/>
      <c r="J8" s="5"/>
      <c r="K8" s="5" t="s">
        <v>420</v>
      </c>
    </row>
    <row r="9" customFormat="false" ht="15" hidden="false" customHeight="false" outlineLevel="0" collapsed="false">
      <c r="A9" s="4" t="s">
        <v>423</v>
      </c>
      <c r="B9" s="8"/>
      <c r="C9" s="5"/>
      <c r="D9" s="9"/>
      <c r="E9" s="5"/>
      <c r="F9" s="5"/>
      <c r="G9" s="5"/>
      <c r="H9" s="5"/>
      <c r="I9" s="5"/>
      <c r="J9" s="5"/>
      <c r="K9" s="5" t="s">
        <v>420</v>
      </c>
    </row>
    <row r="10" customFormat="false" ht="15" hidden="false" customHeight="false" outlineLevel="0" collapsed="false">
      <c r="A10" s="4" t="s">
        <v>424</v>
      </c>
      <c r="B10" s="8"/>
      <c r="C10" s="5"/>
      <c r="D10" s="9"/>
      <c r="E10" s="5"/>
      <c r="F10" s="5"/>
      <c r="G10" s="5"/>
      <c r="H10" s="5"/>
      <c r="I10" s="5"/>
      <c r="J10" s="5"/>
      <c r="K10" s="5" t="s">
        <v>420</v>
      </c>
    </row>
    <row r="11" customFormat="false" ht="15" hidden="false" customHeight="false" outlineLevel="0" collapsed="false">
      <c r="A11" s="4" t="s">
        <v>425</v>
      </c>
      <c r="B11" s="8"/>
      <c r="C11" s="5"/>
      <c r="D11" s="9"/>
      <c r="E11" s="5"/>
      <c r="F11" s="5"/>
      <c r="G11" s="5"/>
      <c r="H11" s="5"/>
      <c r="I11" s="5"/>
      <c r="J11" s="5"/>
      <c r="K11" s="5" t="s">
        <v>420</v>
      </c>
    </row>
    <row r="12" customFormat="false" ht="15" hidden="false" customHeight="false" outlineLevel="0" collapsed="false">
      <c r="A12" s="4" t="s">
        <v>426</v>
      </c>
      <c r="B12" s="8"/>
      <c r="C12" s="5"/>
      <c r="D12" s="9"/>
      <c r="E12" s="5"/>
      <c r="F12" s="5"/>
      <c r="G12" s="5"/>
      <c r="H12" s="5"/>
      <c r="I12" s="5"/>
      <c r="J12" s="5"/>
      <c r="K12" s="5" t="s">
        <v>420</v>
      </c>
    </row>
    <row r="13" customFormat="false" ht="15" hidden="false" customHeight="false" outlineLevel="0" collapsed="false">
      <c r="A13" s="4" t="s">
        <v>427</v>
      </c>
      <c r="B13" s="8"/>
      <c r="C13" s="5"/>
      <c r="D13" s="9"/>
      <c r="E13" s="5"/>
      <c r="F13" s="5"/>
      <c r="G13" s="5"/>
      <c r="H13" s="5"/>
      <c r="I13" s="5"/>
      <c r="J13" s="5"/>
      <c r="K13" s="5" t="s">
        <v>420</v>
      </c>
    </row>
    <row r="14" customFormat="false" ht="15" hidden="false" customHeight="false" outlineLevel="0" collapsed="false">
      <c r="A14" s="4" t="s">
        <v>428</v>
      </c>
      <c r="B14" s="8"/>
      <c r="C14" s="5"/>
      <c r="D14" s="9"/>
      <c r="E14" s="5"/>
      <c r="F14" s="5"/>
      <c r="G14" s="5"/>
      <c r="H14" s="5"/>
      <c r="I14" s="5"/>
      <c r="J14" s="5"/>
      <c r="K14" s="5" t="s">
        <v>420</v>
      </c>
    </row>
    <row r="15" customFormat="false" ht="15" hidden="false" customHeight="false" outlineLevel="0" collapsed="false">
      <c r="A15" s="4" t="s">
        <v>429</v>
      </c>
      <c r="B15" s="8"/>
      <c r="C15" s="5"/>
      <c r="D15" s="9"/>
      <c r="E15" s="5"/>
      <c r="F15" s="5"/>
      <c r="G15" s="5"/>
      <c r="H15" s="5"/>
      <c r="I15" s="5"/>
      <c r="J15" s="5"/>
      <c r="K15" s="5" t="s">
        <v>420</v>
      </c>
    </row>
    <row r="16" customFormat="false" ht="15" hidden="false" customHeight="false" outlineLevel="0" collapsed="false">
      <c r="A16" s="4" t="s">
        <v>430</v>
      </c>
      <c r="B16" s="8"/>
      <c r="C16" s="5"/>
      <c r="D16" s="9"/>
      <c r="E16" s="5"/>
      <c r="F16" s="5"/>
      <c r="G16" s="5"/>
      <c r="H16" s="5"/>
      <c r="I16" s="5"/>
      <c r="J16" s="5"/>
      <c r="K16" s="5" t="s">
        <v>420</v>
      </c>
    </row>
    <row r="17" customFormat="false" ht="15" hidden="false" customHeight="false" outlineLevel="0" collapsed="false">
      <c r="A17" s="4" t="s">
        <v>431</v>
      </c>
      <c r="B17" s="8"/>
      <c r="C17" s="5"/>
      <c r="D17" s="9"/>
      <c r="E17" s="5"/>
      <c r="F17" s="5"/>
      <c r="G17" s="5"/>
      <c r="H17" s="5"/>
      <c r="I17" s="5"/>
      <c r="J17" s="5"/>
      <c r="K17" s="5" t="s">
        <v>420</v>
      </c>
    </row>
    <row r="18" customFormat="false" ht="15" hidden="false" customHeight="false" outlineLevel="0" collapsed="false">
      <c r="A18" s="4" t="s">
        <v>432</v>
      </c>
      <c r="B18" s="8"/>
      <c r="C18" s="5"/>
      <c r="D18" s="9"/>
      <c r="E18" s="5"/>
      <c r="F18" s="5"/>
      <c r="G18" s="5"/>
      <c r="H18" s="5"/>
      <c r="I18" s="5"/>
      <c r="J18" s="5"/>
      <c r="K18" s="5" t="s">
        <v>420</v>
      </c>
    </row>
    <row r="19" customFormat="false" ht="15" hidden="false" customHeight="false" outlineLevel="0" collapsed="false">
      <c r="A19" s="4" t="s">
        <v>433</v>
      </c>
      <c r="B19" s="8"/>
      <c r="C19" s="5"/>
      <c r="D19" s="9"/>
      <c r="E19" s="5"/>
      <c r="F19" s="5"/>
      <c r="G19" s="5"/>
      <c r="H19" s="5"/>
      <c r="I19" s="5"/>
      <c r="J19" s="5"/>
      <c r="K19" s="5" t="s">
        <v>420</v>
      </c>
    </row>
    <row r="20" customFormat="false" ht="15" hidden="false" customHeight="false" outlineLevel="0" collapsed="false">
      <c r="A20" s="4" t="s">
        <v>434</v>
      </c>
      <c r="B20" s="8"/>
      <c r="C20" s="5"/>
      <c r="D20" s="9"/>
      <c r="E20" s="5"/>
      <c r="F20" s="5"/>
      <c r="G20" s="5"/>
      <c r="H20" s="5"/>
      <c r="I20" s="5"/>
      <c r="J20" s="5"/>
      <c r="K20" s="5" t="s">
        <v>420</v>
      </c>
    </row>
    <row r="21" customFormat="false" ht="15" hidden="false" customHeight="false" outlineLevel="0" collapsed="false">
      <c r="A21" s="4" t="s">
        <v>435</v>
      </c>
      <c r="B21" s="8"/>
      <c r="C21" s="5"/>
      <c r="D21" s="9"/>
      <c r="E21" s="5"/>
      <c r="F21" s="5"/>
      <c r="G21" s="5"/>
      <c r="H21" s="5"/>
      <c r="I21" s="5"/>
      <c r="J21" s="5"/>
      <c r="K21" s="5" t="s">
        <v>420</v>
      </c>
    </row>
    <row r="22" customFormat="false" ht="15" hidden="false" customHeight="false" outlineLevel="0" collapsed="false">
      <c r="A22" s="4" t="s">
        <v>436</v>
      </c>
      <c r="B22" s="8"/>
      <c r="C22" s="5"/>
      <c r="D22" s="9"/>
      <c r="E22" s="5"/>
      <c r="F22" s="5"/>
      <c r="G22" s="5"/>
      <c r="H22" s="5"/>
      <c r="I22" s="5"/>
      <c r="J22" s="5"/>
      <c r="K22" s="5" t="s">
        <v>420</v>
      </c>
    </row>
    <row r="23" customFormat="false" ht="15" hidden="false" customHeight="false" outlineLevel="0" collapsed="false">
      <c r="A23" s="4" t="s">
        <v>437</v>
      </c>
      <c r="B23" s="8"/>
      <c r="C23" s="5"/>
      <c r="D23" s="9"/>
      <c r="E23" s="5"/>
      <c r="F23" s="5"/>
      <c r="G23" s="5"/>
      <c r="H23" s="5"/>
      <c r="I23" s="5"/>
      <c r="J23" s="5"/>
      <c r="K23" s="5" t="s">
        <v>420</v>
      </c>
    </row>
    <row r="24" customFormat="false" ht="15" hidden="false" customHeight="false" outlineLevel="0" collapsed="false">
      <c r="A24" s="4" t="s">
        <v>438</v>
      </c>
      <c r="B24" s="8"/>
      <c r="C24" s="5"/>
      <c r="D24" s="9"/>
      <c r="E24" s="5"/>
      <c r="F24" s="5"/>
      <c r="G24" s="5"/>
      <c r="H24" s="5"/>
      <c r="I24" s="5"/>
      <c r="J24" s="5"/>
      <c r="K24" s="5" t="s">
        <v>420</v>
      </c>
    </row>
    <row r="25" customFormat="false" ht="15" hidden="false" customHeight="false" outlineLevel="0" collapsed="false">
      <c r="A25" s="4" t="s">
        <v>439</v>
      </c>
      <c r="B25" s="8"/>
      <c r="C25" s="5"/>
      <c r="D25" s="9"/>
      <c r="E25" s="5"/>
      <c r="F25" s="5"/>
      <c r="G25" s="5"/>
      <c r="H25" s="5"/>
      <c r="I25" s="5"/>
      <c r="J25" s="5"/>
      <c r="K25" s="5" t="s">
        <v>420</v>
      </c>
    </row>
    <row r="26" customFormat="false" ht="15" hidden="false" customHeight="false" outlineLevel="0" collapsed="false">
      <c r="A26" s="4" t="s">
        <v>440</v>
      </c>
      <c r="B26" s="8"/>
      <c r="C26" s="5"/>
      <c r="D26" s="9"/>
      <c r="E26" s="5"/>
      <c r="F26" s="5"/>
      <c r="G26" s="5"/>
      <c r="H26" s="5"/>
      <c r="I26" s="5"/>
      <c r="J26" s="5"/>
      <c r="K26" s="5" t="s">
        <v>420</v>
      </c>
    </row>
    <row r="27" customFormat="false" ht="15" hidden="false" customHeight="false" outlineLevel="0" collapsed="false">
      <c r="A27" s="4" t="s">
        <v>441</v>
      </c>
      <c r="B27" s="8"/>
      <c r="C27" s="5"/>
      <c r="D27" s="9"/>
      <c r="E27" s="5"/>
      <c r="F27" s="5"/>
      <c r="G27" s="5"/>
      <c r="H27" s="5"/>
      <c r="I27" s="5"/>
      <c r="J27" s="5"/>
      <c r="K27" s="5" t="s">
        <v>420</v>
      </c>
    </row>
    <row r="28" customFormat="false" ht="15" hidden="false" customHeight="false" outlineLevel="0" collapsed="false">
      <c r="A28" s="4" t="s">
        <v>442</v>
      </c>
      <c r="B28" s="8"/>
      <c r="C28" s="5"/>
      <c r="D28" s="9"/>
      <c r="E28" s="5"/>
      <c r="F28" s="5"/>
      <c r="G28" s="5"/>
      <c r="H28" s="5"/>
      <c r="I28" s="5"/>
      <c r="J28" s="5"/>
      <c r="K28" s="5" t="s">
        <v>420</v>
      </c>
    </row>
    <row r="29" customFormat="false" ht="15" hidden="false" customHeight="false" outlineLevel="0" collapsed="false">
      <c r="A29" s="4" t="s">
        <v>443</v>
      </c>
      <c r="B29" s="8"/>
      <c r="C29" s="5"/>
      <c r="D29" s="9"/>
      <c r="E29" s="5"/>
      <c r="F29" s="5"/>
      <c r="G29" s="5"/>
      <c r="H29" s="5"/>
      <c r="I29" s="5"/>
      <c r="J29" s="5"/>
      <c r="K29" s="5" t="s">
        <v>420</v>
      </c>
    </row>
    <row r="30" customFormat="false" ht="15" hidden="false" customHeight="false" outlineLevel="0" collapsed="false">
      <c r="A30" s="4" t="s">
        <v>444</v>
      </c>
      <c r="B30" s="8"/>
      <c r="C30" s="5"/>
      <c r="D30" s="9"/>
      <c r="E30" s="5"/>
      <c r="F30" s="5"/>
      <c r="G30" s="5"/>
      <c r="H30" s="5"/>
      <c r="I30" s="5"/>
      <c r="J30" s="5"/>
      <c r="K30" s="5" t="s">
        <v>420</v>
      </c>
    </row>
    <row r="31" customFormat="false" ht="15" hidden="false" customHeight="false" outlineLevel="0" collapsed="false">
      <c r="A31" s="4" t="s">
        <v>445</v>
      </c>
      <c r="B31" s="8"/>
      <c r="C31" s="5"/>
      <c r="D31" s="9"/>
      <c r="E31" s="5"/>
      <c r="F31" s="5"/>
      <c r="G31" s="5"/>
      <c r="H31" s="5"/>
      <c r="I31" s="5"/>
      <c r="J31" s="5"/>
      <c r="K31" s="5" t="s">
        <v>420</v>
      </c>
    </row>
    <row r="32" customFormat="false" ht="15" hidden="false" customHeight="false" outlineLevel="0" collapsed="false">
      <c r="A32" s="4" t="s">
        <v>446</v>
      </c>
      <c r="B32" s="8"/>
      <c r="C32" s="5"/>
      <c r="D32" s="9"/>
      <c r="E32" s="5"/>
      <c r="F32" s="5"/>
      <c r="G32" s="5"/>
      <c r="H32" s="5"/>
      <c r="I32" s="5"/>
      <c r="J32" s="5"/>
      <c r="K32" s="5" t="s">
        <v>420</v>
      </c>
    </row>
    <row r="33" customFormat="false" ht="15" hidden="false" customHeight="false" outlineLevel="0" collapsed="false">
      <c r="A33" s="4" t="s">
        <v>447</v>
      </c>
      <c r="B33" s="8"/>
      <c r="C33" s="5"/>
      <c r="D33" s="9"/>
      <c r="E33" s="5"/>
      <c r="F33" s="5"/>
      <c r="G33" s="5"/>
      <c r="H33" s="5"/>
      <c r="I33" s="5"/>
      <c r="J33" s="5"/>
      <c r="K33" s="5" t="s">
        <v>420</v>
      </c>
    </row>
    <row r="34" customFormat="false" ht="15" hidden="false" customHeight="false" outlineLevel="0" collapsed="false">
      <c r="A34" s="4" t="s">
        <v>448</v>
      </c>
      <c r="B34" s="8"/>
      <c r="C34" s="5"/>
      <c r="D34" s="9"/>
      <c r="E34" s="5"/>
      <c r="F34" s="5"/>
      <c r="G34" s="5"/>
      <c r="H34" s="5"/>
      <c r="I34" s="5"/>
      <c r="J34" s="5"/>
      <c r="K34" s="5" t="s">
        <v>420</v>
      </c>
    </row>
    <row r="35" customFormat="false" ht="15" hidden="false" customHeight="false" outlineLevel="0" collapsed="false">
      <c r="A35" s="4" t="s">
        <v>449</v>
      </c>
      <c r="B35" s="8"/>
      <c r="C35" s="5"/>
      <c r="D35" s="9"/>
      <c r="E35" s="5"/>
      <c r="F35" s="5"/>
      <c r="G35" s="5"/>
      <c r="H35" s="5"/>
      <c r="I35" s="5"/>
      <c r="J35" s="5"/>
      <c r="K35" s="5" t="s">
        <v>420</v>
      </c>
    </row>
    <row r="36" customFormat="false" ht="15" hidden="false" customHeight="false" outlineLevel="0" collapsed="false">
      <c r="A36" s="4" t="s">
        <v>450</v>
      </c>
      <c r="B36" s="8"/>
      <c r="C36" s="5"/>
      <c r="D36" s="9"/>
      <c r="E36" s="5"/>
      <c r="F36" s="5"/>
      <c r="G36" s="5"/>
      <c r="H36" s="5"/>
      <c r="I36" s="5"/>
      <c r="J36" s="5"/>
      <c r="K36" s="5" t="s">
        <v>420</v>
      </c>
    </row>
    <row r="37" customFormat="false" ht="15" hidden="false" customHeight="false" outlineLevel="0" collapsed="false">
      <c r="A37" s="4" t="s">
        <v>451</v>
      </c>
      <c r="B37" s="8"/>
      <c r="C37" s="5"/>
      <c r="D37" s="9"/>
      <c r="E37" s="5"/>
      <c r="F37" s="5"/>
      <c r="G37" s="5"/>
      <c r="H37" s="5"/>
      <c r="I37" s="5"/>
      <c r="J37" s="5"/>
      <c r="K37" s="5" t="s">
        <v>420</v>
      </c>
    </row>
    <row r="38" customFormat="false" ht="15" hidden="false" customHeight="false" outlineLevel="0" collapsed="false">
      <c r="A38" s="4" t="s">
        <v>452</v>
      </c>
      <c r="B38" s="8"/>
      <c r="C38" s="5"/>
      <c r="D38" s="9"/>
      <c r="E38" s="5"/>
      <c r="F38" s="5"/>
      <c r="G38" s="5"/>
      <c r="H38" s="5"/>
      <c r="I38" s="5"/>
      <c r="J38" s="5"/>
      <c r="K38" s="5" t="s">
        <v>420</v>
      </c>
    </row>
    <row r="39" customFormat="false" ht="15" hidden="false" customHeight="false" outlineLevel="0" collapsed="false">
      <c r="A39" s="4" t="s">
        <v>453</v>
      </c>
      <c r="B39" s="8"/>
      <c r="C39" s="5"/>
      <c r="D39" s="9"/>
      <c r="E39" s="5"/>
      <c r="F39" s="5"/>
      <c r="G39" s="5"/>
      <c r="H39" s="5"/>
      <c r="I39" s="5"/>
      <c r="J39" s="5"/>
      <c r="K39" s="5" t="s">
        <v>420</v>
      </c>
    </row>
    <row r="40" customFormat="false" ht="15" hidden="false" customHeight="false" outlineLevel="0" collapsed="false">
      <c r="A40" s="4" t="s">
        <v>454</v>
      </c>
      <c r="B40" s="8"/>
      <c r="C40" s="5"/>
      <c r="D40" s="9"/>
      <c r="E40" s="5"/>
      <c r="F40" s="5"/>
      <c r="G40" s="5"/>
      <c r="H40" s="5"/>
      <c r="I40" s="5"/>
      <c r="J40" s="5"/>
      <c r="K40" s="5" t="s">
        <v>420</v>
      </c>
    </row>
    <row r="41" customFormat="false" ht="15" hidden="false" customHeight="false" outlineLevel="0" collapsed="false">
      <c r="A41" s="4" t="s">
        <v>455</v>
      </c>
      <c r="B41" s="8"/>
      <c r="C41" s="5"/>
      <c r="D41" s="9"/>
      <c r="E41" s="5"/>
      <c r="F41" s="5"/>
      <c r="G41" s="5"/>
      <c r="H41" s="5"/>
      <c r="I41" s="5"/>
      <c r="J41" s="5"/>
      <c r="K41" s="5" t="s">
        <v>420</v>
      </c>
    </row>
    <row r="42" customFormat="false" ht="15" hidden="false" customHeight="false" outlineLevel="0" collapsed="false">
      <c r="A42" s="4" t="s">
        <v>456</v>
      </c>
      <c r="B42" s="8"/>
      <c r="C42" s="5"/>
      <c r="D42" s="9"/>
      <c r="E42" s="5"/>
      <c r="F42" s="5"/>
      <c r="G42" s="5"/>
      <c r="H42" s="5"/>
      <c r="I42" s="5"/>
      <c r="J42" s="5"/>
      <c r="K42" s="5" t="s">
        <v>420</v>
      </c>
    </row>
    <row r="43" customFormat="false" ht="15" hidden="false" customHeight="false" outlineLevel="0" collapsed="false">
      <c r="A43" s="4" t="s">
        <v>457</v>
      </c>
      <c r="B43" s="8"/>
      <c r="C43" s="5"/>
      <c r="D43" s="9"/>
      <c r="E43" s="5"/>
      <c r="F43" s="5"/>
      <c r="G43" s="5"/>
      <c r="H43" s="5"/>
      <c r="I43" s="5"/>
      <c r="J43" s="5"/>
      <c r="K43" s="5" t="s">
        <v>420</v>
      </c>
    </row>
    <row r="44" customFormat="false" ht="15" hidden="false" customHeight="false" outlineLevel="0" collapsed="false">
      <c r="A44" s="4" t="s">
        <v>458</v>
      </c>
      <c r="B44" s="8"/>
      <c r="C44" s="5"/>
      <c r="D44" s="9"/>
      <c r="E44" s="5"/>
      <c r="F44" s="5"/>
      <c r="G44" s="5"/>
      <c r="H44" s="5"/>
      <c r="I44" s="5"/>
      <c r="J44" s="5"/>
      <c r="K44" s="5" t="s">
        <v>420</v>
      </c>
    </row>
    <row r="45" customFormat="false" ht="15" hidden="false" customHeight="false" outlineLevel="0" collapsed="false">
      <c r="A45" s="4" t="s">
        <v>459</v>
      </c>
      <c r="B45" s="8"/>
      <c r="C45" s="5"/>
      <c r="D45" s="9"/>
      <c r="E45" s="5"/>
      <c r="F45" s="5"/>
      <c r="G45" s="5"/>
      <c r="H45" s="5"/>
      <c r="I45" s="5"/>
      <c r="J45" s="5"/>
      <c r="K45" s="5" t="s">
        <v>420</v>
      </c>
    </row>
  </sheetData>
  <mergeCells count="2">
    <mergeCell ref="A1:K1"/>
    <mergeCell ref="A2:K2"/>
  </mergeCells>
  <conditionalFormatting sqref="K6:K45">
    <cfRule type="containsText" priority="2" operator="containsText" aboveAverage="0" equalAverage="0" bottom="0" percent="0" rank="0" text="已完成" dxfId="9">
      <formula>NOT(ISERROR(SEARCH("已完成",K6)))</formula>
    </cfRule>
    <cfRule type="containsText" priority="3" operator="containsText" aboveAverage="0" equalAverage="0" bottom="0" percent="0" rank="0" text="高" dxfId="10">
      <formula>NOT(ISERROR(SEARCH("高",K6)))</formula>
    </cfRule>
  </conditionalFormatting>
  <dataValidations count="1">
    <dataValidation allowBlank="false" errorStyle="stop" operator="between" showDropDown="false" showErrorMessage="false" showInputMessage="false" sqref="K6:K45" type="list">
      <formula1>"待确认,处理中,待复核,已关闭"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5"/>
    <col collapsed="false" customWidth="true" hidden="false" outlineLevel="0" max="3" min="3" style="0" width="30"/>
    <col collapsed="false" customWidth="true" hidden="false" outlineLevel="0" max="4" min="4" style="0" width="55"/>
    <col collapsed="false" customWidth="true" hidden="false" outlineLevel="0" max="5" min="5" style="0" width="30"/>
  </cols>
  <sheetData>
    <row r="1" customFormat="false" ht="30" hidden="false" customHeight="true" outlineLevel="0" collapsed="false">
      <c r="A1" s="1" t="s">
        <v>460</v>
      </c>
      <c r="B1" s="1"/>
      <c r="C1" s="1"/>
      <c r="D1" s="1"/>
      <c r="E1" s="1"/>
    </row>
    <row r="2" customFormat="false" ht="30" hidden="false" customHeight="true" outlineLevel="0" collapsed="false">
      <c r="A2" s="2" t="s">
        <v>461</v>
      </c>
      <c r="B2" s="2"/>
      <c r="C2" s="2"/>
      <c r="D2" s="2"/>
      <c r="E2" s="2"/>
    </row>
    <row r="5" customFormat="false" ht="34" hidden="false" customHeight="true" outlineLevel="0" collapsed="false">
      <c r="A5" s="3" t="s">
        <v>462</v>
      </c>
      <c r="B5" s="3" t="s">
        <v>463</v>
      </c>
      <c r="C5" s="3" t="s">
        <v>386</v>
      </c>
      <c r="D5" s="3" t="s">
        <v>464</v>
      </c>
      <c r="E5" s="3" t="s">
        <v>465</v>
      </c>
    </row>
    <row r="6" customFormat="false" ht="15" hidden="false" customHeight="false" outlineLevel="0" collapsed="false">
      <c r="A6" s="4" t="s">
        <v>466</v>
      </c>
      <c r="B6" s="4" t="s">
        <v>467</v>
      </c>
      <c r="C6" s="4" t="s">
        <v>468</v>
      </c>
      <c r="D6" s="4" t="s">
        <v>469</v>
      </c>
      <c r="E6" s="5"/>
    </row>
    <row r="7" customFormat="false" ht="15" hidden="false" customHeight="false" outlineLevel="0" collapsed="false">
      <c r="A7" s="4" t="s">
        <v>470</v>
      </c>
      <c r="B7" s="4" t="s">
        <v>471</v>
      </c>
      <c r="C7" s="4" t="s">
        <v>472</v>
      </c>
      <c r="D7" s="4" t="s">
        <v>473</v>
      </c>
      <c r="E7" s="5"/>
    </row>
    <row r="8" customFormat="false" ht="15" hidden="false" customHeight="false" outlineLevel="0" collapsed="false">
      <c r="A8" s="4" t="s">
        <v>474</v>
      </c>
      <c r="B8" s="4" t="s">
        <v>475</v>
      </c>
      <c r="C8" s="4" t="s">
        <v>476</v>
      </c>
      <c r="D8" s="4" t="s">
        <v>477</v>
      </c>
      <c r="E8" s="5"/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  <col collapsed="false" customWidth="true" hidden="false" outlineLevel="0" max="3" min="3" style="0" width="25"/>
    <col collapsed="false" customWidth="true" hidden="false" outlineLevel="0" max="4" min="4" style="0" width="32"/>
    <col collapsed="false" customWidth="true" hidden="false" outlineLevel="0" max="5" min="5" style="0" width="50"/>
  </cols>
  <sheetData>
    <row r="1" customFormat="false" ht="30" hidden="false" customHeight="true" outlineLevel="0" collapsed="false">
      <c r="A1" s="1" t="s">
        <v>478</v>
      </c>
      <c r="B1" s="1"/>
      <c r="C1" s="1"/>
      <c r="D1" s="1"/>
      <c r="E1" s="1"/>
    </row>
    <row r="2" customFormat="false" ht="30" hidden="false" customHeight="true" outlineLevel="0" collapsed="false">
      <c r="A2" s="2" t="s">
        <v>479</v>
      </c>
      <c r="B2" s="2"/>
      <c r="C2" s="2"/>
      <c r="D2" s="2"/>
      <c r="E2" s="2"/>
    </row>
    <row r="5" customFormat="false" ht="34" hidden="false" customHeight="true" outlineLevel="0" collapsed="false">
      <c r="A5" s="3" t="s">
        <v>480</v>
      </c>
      <c r="B5" s="3" t="s">
        <v>481</v>
      </c>
      <c r="C5" s="3" t="s">
        <v>161</v>
      </c>
      <c r="D5" s="3" t="s">
        <v>482</v>
      </c>
      <c r="E5" s="3" t="s">
        <v>483</v>
      </c>
    </row>
    <row r="6" customFormat="false" ht="15" hidden="false" customHeight="false" outlineLevel="0" collapsed="false">
      <c r="A6" s="4" t="s">
        <v>484</v>
      </c>
      <c r="B6" s="4" t="s">
        <v>485</v>
      </c>
      <c r="C6" s="4" t="s">
        <v>486</v>
      </c>
      <c r="D6" s="4" t="s">
        <v>487</v>
      </c>
      <c r="E6" s="5"/>
    </row>
    <row r="7" customFormat="false" ht="15" hidden="false" customHeight="false" outlineLevel="0" collapsed="false">
      <c r="A7" s="4" t="s">
        <v>488</v>
      </c>
      <c r="B7" s="4" t="s">
        <v>489</v>
      </c>
      <c r="C7" s="4" t="s">
        <v>171</v>
      </c>
      <c r="D7" s="4" t="s">
        <v>490</v>
      </c>
      <c r="E7" s="5"/>
    </row>
    <row r="8" customFormat="false" ht="15" hidden="false" customHeight="false" outlineLevel="0" collapsed="false">
      <c r="A8" s="4" t="s">
        <v>491</v>
      </c>
      <c r="B8" s="4" t="s">
        <v>492</v>
      </c>
      <c r="C8" s="4" t="s">
        <v>493</v>
      </c>
      <c r="D8" s="4" t="s">
        <v>494</v>
      </c>
      <c r="E8" s="5"/>
    </row>
    <row r="9" customFormat="false" ht="15" hidden="false" customHeight="false" outlineLevel="0" collapsed="false">
      <c r="A9" s="4" t="s">
        <v>495</v>
      </c>
      <c r="B9" s="4" t="s">
        <v>496</v>
      </c>
      <c r="C9" s="4" t="s">
        <v>497</v>
      </c>
      <c r="D9" s="4" t="s">
        <v>498</v>
      </c>
      <c r="E9" s="5"/>
    </row>
    <row r="10" customFormat="false" ht="15" hidden="false" customHeight="false" outlineLevel="0" collapsed="false">
      <c r="A10" s="4" t="s">
        <v>499</v>
      </c>
      <c r="B10" s="4" t="s">
        <v>500</v>
      </c>
      <c r="C10" s="4" t="s">
        <v>501</v>
      </c>
      <c r="D10" s="4" t="s">
        <v>502</v>
      </c>
      <c r="E10" s="5"/>
    </row>
    <row r="11" customFormat="false" ht="15" hidden="false" customHeight="false" outlineLevel="0" collapsed="false">
      <c r="A11" s="4" t="s">
        <v>503</v>
      </c>
      <c r="B11" s="4" t="s">
        <v>504</v>
      </c>
      <c r="C11" s="4" t="s">
        <v>505</v>
      </c>
      <c r="D11" s="4" t="s">
        <v>190</v>
      </c>
      <c r="E11" s="5"/>
    </row>
    <row r="12" customFormat="false" ht="15" hidden="false" customHeight="false" outlineLevel="0" collapsed="false">
      <c r="A12" s="4" t="s">
        <v>506</v>
      </c>
      <c r="B12" s="4" t="s">
        <v>507</v>
      </c>
      <c r="C12" s="4" t="s">
        <v>508</v>
      </c>
      <c r="D12" s="4" t="s">
        <v>509</v>
      </c>
      <c r="E12" s="5"/>
    </row>
    <row r="13" customFormat="false" ht="15" hidden="false" customHeight="false" outlineLevel="0" collapsed="false">
      <c r="A13" s="4" t="s">
        <v>510</v>
      </c>
      <c r="B13" s="4" t="s">
        <v>511</v>
      </c>
      <c r="C13" s="4" t="s">
        <v>512</v>
      </c>
      <c r="D13" s="4" t="s">
        <v>513</v>
      </c>
      <c r="E13" s="5"/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4" min="4" style="0" width="65"/>
    <col collapsed="false" customWidth="true" hidden="false" outlineLevel="0" max="5" min="5" style="0" width="18"/>
  </cols>
  <sheetData>
    <row r="1" customFormat="false" ht="30" hidden="false" customHeight="true" outlineLevel="0" collapsed="false">
      <c r="A1" s="1" t="s">
        <v>514</v>
      </c>
      <c r="B1" s="1"/>
      <c r="C1" s="1"/>
      <c r="D1" s="1"/>
      <c r="E1" s="1"/>
    </row>
    <row r="2" customFormat="false" ht="30" hidden="false" customHeight="true" outlineLevel="0" collapsed="false">
      <c r="A2" s="2" t="s">
        <v>515</v>
      </c>
      <c r="B2" s="2"/>
      <c r="C2" s="2"/>
      <c r="D2" s="2"/>
      <c r="E2" s="2"/>
    </row>
    <row r="5" customFormat="false" ht="34" hidden="false" customHeight="true" outlineLevel="0" collapsed="false">
      <c r="A5" s="3" t="s">
        <v>202</v>
      </c>
      <c r="B5" s="3" t="s">
        <v>516</v>
      </c>
      <c r="C5" s="3" t="s">
        <v>517</v>
      </c>
      <c r="D5" s="3" t="s">
        <v>518</v>
      </c>
      <c r="E5" s="3" t="s">
        <v>27</v>
      </c>
    </row>
    <row r="6" customFormat="false" ht="15" hidden="false" customHeight="false" outlineLevel="0" collapsed="false">
      <c r="A6" s="4" t="s">
        <v>519</v>
      </c>
      <c r="B6" s="4" t="s">
        <v>520</v>
      </c>
      <c r="C6" s="4" t="s">
        <v>521</v>
      </c>
      <c r="D6" s="4" t="s">
        <v>522</v>
      </c>
      <c r="E6" s="5" t="s">
        <v>523</v>
      </c>
    </row>
    <row r="7" customFormat="false" ht="15" hidden="false" customHeight="false" outlineLevel="0" collapsed="false">
      <c r="A7" s="4" t="s">
        <v>524</v>
      </c>
      <c r="B7" s="4" t="s">
        <v>525</v>
      </c>
      <c r="C7" s="4" t="s">
        <v>526</v>
      </c>
      <c r="D7" s="4" t="s">
        <v>527</v>
      </c>
      <c r="E7" s="5" t="s">
        <v>523</v>
      </c>
    </row>
    <row r="8" customFormat="false" ht="15" hidden="false" customHeight="false" outlineLevel="0" collapsed="false">
      <c r="A8" s="4" t="s">
        <v>528</v>
      </c>
      <c r="B8" s="4" t="s">
        <v>529</v>
      </c>
      <c r="C8" s="4" t="s">
        <v>530</v>
      </c>
      <c r="D8" s="4" t="s">
        <v>531</v>
      </c>
      <c r="E8" s="5" t="s">
        <v>523</v>
      </c>
    </row>
    <row r="9" customFormat="false" ht="15" hidden="false" customHeight="false" outlineLevel="0" collapsed="false">
      <c r="A9" s="4" t="s">
        <v>532</v>
      </c>
      <c r="B9" s="4" t="s">
        <v>533</v>
      </c>
      <c r="C9" s="4" t="s">
        <v>534</v>
      </c>
      <c r="D9" s="4" t="s">
        <v>535</v>
      </c>
      <c r="E9" s="5" t="s">
        <v>523</v>
      </c>
    </row>
    <row r="10" customFormat="false" ht="15" hidden="false" customHeight="false" outlineLevel="0" collapsed="false">
      <c r="A10" s="4" t="s">
        <v>536</v>
      </c>
      <c r="B10" s="4" t="s">
        <v>537</v>
      </c>
      <c r="C10" s="4" t="s">
        <v>538</v>
      </c>
      <c r="D10" s="4" t="s">
        <v>539</v>
      </c>
      <c r="E10" s="5" t="s">
        <v>523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75"/>
  </cols>
  <sheetData>
    <row r="1" customFormat="false" ht="30" hidden="false" customHeight="true" outlineLevel="0" collapsed="false">
      <c r="A1" s="1" t="s">
        <v>540</v>
      </c>
      <c r="B1" s="1"/>
      <c r="C1" s="1"/>
    </row>
    <row r="2" customFormat="false" ht="30" hidden="false" customHeight="true" outlineLevel="0" collapsed="false">
      <c r="A2" s="2" t="s">
        <v>541</v>
      </c>
      <c r="B2" s="2"/>
      <c r="C2" s="2"/>
    </row>
    <row r="5" customFormat="false" ht="34" hidden="false" customHeight="true" outlineLevel="0" collapsed="false">
      <c r="A5" s="3" t="s">
        <v>542</v>
      </c>
      <c r="B5" s="3" t="s">
        <v>412</v>
      </c>
      <c r="C5" s="3" t="s">
        <v>543</v>
      </c>
    </row>
    <row r="6" customFormat="false" ht="15" hidden="false" customHeight="false" outlineLevel="0" collapsed="false">
      <c r="A6" s="4" t="s">
        <v>544</v>
      </c>
      <c r="B6" s="9" t="n">
        <v>3600000</v>
      </c>
      <c r="C6" s="4" t="s">
        <v>545</v>
      </c>
    </row>
    <row r="7" customFormat="false" ht="15" hidden="false" customHeight="false" outlineLevel="0" collapsed="false">
      <c r="A7" s="4" t="s">
        <v>546</v>
      </c>
      <c r="B7" s="9" t="n">
        <v>2400000</v>
      </c>
      <c r="C7" s="4" t="s">
        <v>547</v>
      </c>
    </row>
    <row r="8" customFormat="false" ht="15" hidden="false" customHeight="false" outlineLevel="0" collapsed="false">
      <c r="A8" s="4" t="s">
        <v>548</v>
      </c>
      <c r="B8" s="9" t="n">
        <v>900000</v>
      </c>
      <c r="C8" s="4" t="s">
        <v>549</v>
      </c>
    </row>
    <row r="9" customFormat="false" ht="15" hidden="false" customHeight="false" outlineLevel="0" collapsed="false">
      <c r="A9" s="4" t="s">
        <v>550</v>
      </c>
      <c r="B9" s="9" t="n">
        <v>700000</v>
      </c>
      <c r="C9" s="4" t="s">
        <v>551</v>
      </c>
    </row>
    <row r="10" customFormat="false" ht="15" hidden="false" customHeight="false" outlineLevel="0" collapsed="false">
      <c r="A10" s="4" t="s">
        <v>552</v>
      </c>
      <c r="B10" s="9" t="n">
        <v>-300000</v>
      </c>
      <c r="C10" s="4" t="s">
        <v>553</v>
      </c>
    </row>
    <row r="11" customFormat="false" ht="15" hidden="false" customHeight="false" outlineLevel="0" collapsed="false">
      <c r="A11" s="4" t="s">
        <v>301</v>
      </c>
      <c r="B11" s="9" t="n">
        <v>100000</v>
      </c>
      <c r="C11" s="4" t="s">
        <v>554</v>
      </c>
    </row>
    <row r="12" customFormat="false" ht="15" hidden="false" customHeight="false" outlineLevel="0" collapsed="false">
      <c r="A12" s="4" t="s">
        <v>555</v>
      </c>
      <c r="B12" s="7" t="n">
        <f aca="false">SUM(B6:B11)</f>
        <v>7400000</v>
      </c>
      <c r="C12" s="4" t="s">
        <v>556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45"/>
    <col collapsed="false" customWidth="true" hidden="false" outlineLevel="0" max="5" min="5" style="0" width="55"/>
    <col collapsed="false" customWidth="true" hidden="false" outlineLevel="0" max="6" min="6" style="0" width="40"/>
  </cols>
  <sheetData>
    <row r="1" customFormat="false" ht="30" hidden="false" customHeight="true" outlineLevel="0" collapsed="false">
      <c r="A1" s="1" t="s">
        <v>557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558</v>
      </c>
      <c r="B2" s="2"/>
      <c r="C2" s="2"/>
      <c r="D2" s="2"/>
      <c r="E2" s="2"/>
      <c r="F2" s="2"/>
    </row>
    <row r="5" customFormat="false" ht="34" hidden="false" customHeight="true" outlineLevel="0" collapsed="false">
      <c r="A5" s="3" t="s">
        <v>22</v>
      </c>
      <c r="B5" s="3" t="s">
        <v>559</v>
      </c>
      <c r="C5" s="3" t="s">
        <v>560</v>
      </c>
      <c r="D5" s="3" t="s">
        <v>561</v>
      </c>
      <c r="E5" s="3" t="s">
        <v>306</v>
      </c>
      <c r="F5" s="3" t="s">
        <v>162</v>
      </c>
    </row>
    <row r="6" customFormat="false" ht="15" hidden="false" customHeight="false" outlineLevel="0" collapsed="false">
      <c r="A6" s="4" t="s">
        <v>562</v>
      </c>
      <c r="B6" s="4" t="s">
        <v>563</v>
      </c>
      <c r="C6" s="4" t="s">
        <v>564</v>
      </c>
      <c r="D6" s="4" t="s">
        <v>565</v>
      </c>
      <c r="E6" s="4" t="s">
        <v>566</v>
      </c>
      <c r="F6" s="4" t="s">
        <v>567</v>
      </c>
    </row>
    <row r="7" customFormat="false" ht="15" hidden="false" customHeight="false" outlineLevel="0" collapsed="false">
      <c r="A7" s="4" t="s">
        <v>568</v>
      </c>
      <c r="B7" s="4" t="s">
        <v>569</v>
      </c>
      <c r="C7" s="4" t="s">
        <v>570</v>
      </c>
      <c r="D7" s="4" t="s">
        <v>571</v>
      </c>
      <c r="E7" s="4" t="s">
        <v>572</v>
      </c>
      <c r="F7" s="4" t="s">
        <v>573</v>
      </c>
    </row>
    <row r="8" customFormat="false" ht="15" hidden="false" customHeight="false" outlineLevel="0" collapsed="false">
      <c r="A8" s="4" t="s">
        <v>574</v>
      </c>
      <c r="B8" s="4" t="s">
        <v>575</v>
      </c>
      <c r="C8" s="4" t="s">
        <v>576</v>
      </c>
      <c r="D8" s="4" t="s">
        <v>577</v>
      </c>
      <c r="E8" s="4" t="s">
        <v>578</v>
      </c>
      <c r="F8" s="4" t="s">
        <v>579</v>
      </c>
    </row>
    <row r="9" customFormat="false" ht="15" hidden="false" customHeight="false" outlineLevel="0" collapsed="false">
      <c r="A9" s="4" t="s">
        <v>580</v>
      </c>
      <c r="B9" s="4" t="s">
        <v>581</v>
      </c>
      <c r="C9" s="4" t="s">
        <v>582</v>
      </c>
      <c r="D9" s="4" t="s">
        <v>583</v>
      </c>
      <c r="E9" s="4" t="s">
        <v>584</v>
      </c>
      <c r="F9" s="4" t="s">
        <v>585</v>
      </c>
    </row>
    <row r="10" customFormat="false" ht="15" hidden="false" customHeight="false" outlineLevel="0" collapsed="false">
      <c r="A10" s="4" t="s">
        <v>586</v>
      </c>
      <c r="B10" s="4" t="s">
        <v>587</v>
      </c>
      <c r="C10" s="4" t="s">
        <v>588</v>
      </c>
      <c r="D10" s="4" t="s">
        <v>589</v>
      </c>
      <c r="E10" s="4" t="s">
        <v>590</v>
      </c>
      <c r="F10" s="4" t="s">
        <v>591</v>
      </c>
    </row>
    <row r="11" customFormat="false" ht="15" hidden="false" customHeight="false" outlineLevel="0" collapsed="false">
      <c r="A11" s="4" t="s">
        <v>592</v>
      </c>
      <c r="B11" s="4" t="s">
        <v>593</v>
      </c>
      <c r="C11" s="4" t="s">
        <v>588</v>
      </c>
      <c r="D11" s="4" t="s">
        <v>594</v>
      </c>
      <c r="E11" s="4" t="s">
        <v>595</v>
      </c>
      <c r="F11" s="4" t="s">
        <v>596</v>
      </c>
    </row>
    <row r="12" customFormat="false" ht="15" hidden="false" customHeight="false" outlineLevel="0" collapsed="false">
      <c r="A12" s="4" t="s">
        <v>597</v>
      </c>
      <c r="B12" s="4" t="s">
        <v>598</v>
      </c>
      <c r="C12" s="4" t="s">
        <v>599</v>
      </c>
      <c r="D12" s="4" t="s">
        <v>600</v>
      </c>
      <c r="E12" s="4" t="s">
        <v>601</v>
      </c>
      <c r="F12" s="4" t="s">
        <v>602</v>
      </c>
    </row>
    <row r="13" customFormat="false" ht="15" hidden="false" customHeight="false" outlineLevel="0" collapsed="false">
      <c r="A13" s="4" t="s">
        <v>603</v>
      </c>
      <c r="B13" s="4" t="s">
        <v>604</v>
      </c>
      <c r="C13" s="4" t="s">
        <v>495</v>
      </c>
      <c r="D13" s="4" t="s">
        <v>605</v>
      </c>
      <c r="E13" s="4" t="s">
        <v>606</v>
      </c>
      <c r="F13" s="4" t="s">
        <v>607</v>
      </c>
    </row>
    <row r="14" customFormat="false" ht="15" hidden="false" customHeight="false" outlineLevel="0" collapsed="false">
      <c r="A14" s="4" t="s">
        <v>608</v>
      </c>
      <c r="B14" s="4" t="s">
        <v>609</v>
      </c>
      <c r="C14" s="4" t="s">
        <v>610</v>
      </c>
      <c r="D14" s="4" t="s">
        <v>611</v>
      </c>
      <c r="E14" s="4" t="s">
        <v>612</v>
      </c>
      <c r="F14" s="4" t="s">
        <v>613</v>
      </c>
    </row>
    <row r="15" customFormat="false" ht="15" hidden="false" customHeight="false" outlineLevel="0" collapsed="false">
      <c r="A15" s="4" t="s">
        <v>614</v>
      </c>
      <c r="B15" s="4" t="s">
        <v>615</v>
      </c>
      <c r="C15" s="4" t="s">
        <v>68</v>
      </c>
      <c r="D15" s="4" t="s">
        <v>616</v>
      </c>
      <c r="E15" s="4" t="s">
        <v>617</v>
      </c>
      <c r="F15" s="4" t="s">
        <v>618</v>
      </c>
    </row>
    <row r="16" customFormat="false" ht="15" hidden="false" customHeight="false" outlineLevel="0" collapsed="false">
      <c r="A16" s="4" t="s">
        <v>619</v>
      </c>
      <c r="B16" s="4" t="s">
        <v>620</v>
      </c>
      <c r="C16" s="4" t="s">
        <v>621</v>
      </c>
      <c r="D16" s="4" t="s">
        <v>622</v>
      </c>
      <c r="E16" s="4" t="s">
        <v>623</v>
      </c>
      <c r="F16" s="4" t="s">
        <v>624</v>
      </c>
    </row>
    <row r="17" customFormat="false" ht="15" hidden="false" customHeight="false" outlineLevel="0" collapsed="false">
      <c r="A17" s="4" t="s">
        <v>625</v>
      </c>
      <c r="B17" s="4" t="s">
        <v>626</v>
      </c>
      <c r="C17" s="4" t="s">
        <v>627</v>
      </c>
      <c r="D17" s="4" t="s">
        <v>628</v>
      </c>
      <c r="E17" s="4" t="s">
        <v>629</v>
      </c>
      <c r="F17" s="4" t="s">
        <v>630</v>
      </c>
    </row>
    <row r="18" customFormat="false" ht="15" hidden="false" customHeight="false" outlineLevel="0" collapsed="false">
      <c r="A18" s="4" t="s">
        <v>631</v>
      </c>
      <c r="B18" s="4" t="s">
        <v>632</v>
      </c>
      <c r="C18" s="4" t="s">
        <v>71</v>
      </c>
      <c r="D18" s="4" t="s">
        <v>633</v>
      </c>
      <c r="E18" s="4" t="s">
        <v>634</v>
      </c>
      <c r="F18" s="4" t="s">
        <v>635</v>
      </c>
    </row>
    <row r="19" customFormat="false" ht="15" hidden="false" customHeight="false" outlineLevel="0" collapsed="false">
      <c r="A19" s="4" t="s">
        <v>636</v>
      </c>
      <c r="B19" s="4" t="s">
        <v>637</v>
      </c>
      <c r="C19" s="4" t="s">
        <v>638</v>
      </c>
      <c r="D19" s="4" t="s">
        <v>639</v>
      </c>
      <c r="E19" s="4" t="s">
        <v>640</v>
      </c>
      <c r="F19" s="4" t="s">
        <v>641</v>
      </c>
    </row>
    <row r="20" customFormat="false" ht="15" hidden="false" customHeight="false" outlineLevel="0" collapsed="false">
      <c r="A20" s="4" t="s">
        <v>642</v>
      </c>
      <c r="B20" s="4" t="s">
        <v>524</v>
      </c>
      <c r="C20" s="4" t="s">
        <v>525</v>
      </c>
      <c r="D20" s="4" t="s">
        <v>643</v>
      </c>
      <c r="E20" s="4" t="s">
        <v>644</v>
      </c>
      <c r="F20" s="4" t="s">
        <v>645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50"/>
    <col collapsed="false" customWidth="true" hidden="false" outlineLevel="0" max="3" min="3" style="0" width="85"/>
  </cols>
  <sheetData>
    <row r="1" customFormat="false" ht="30" hidden="false" customHeight="true" outlineLevel="0" collapsed="false">
      <c r="A1" s="1" t="s">
        <v>646</v>
      </c>
      <c r="B1" s="1"/>
      <c r="C1" s="1"/>
    </row>
    <row r="2" customFormat="false" ht="30" hidden="false" customHeight="true" outlineLevel="0" collapsed="false">
      <c r="A2" s="2" t="s">
        <v>647</v>
      </c>
      <c r="B2" s="2"/>
      <c r="C2" s="2"/>
    </row>
    <row r="5" customFormat="false" ht="34" hidden="false" customHeight="true" outlineLevel="0" collapsed="false">
      <c r="A5" s="3" t="s">
        <v>648</v>
      </c>
      <c r="B5" s="3" t="s">
        <v>649</v>
      </c>
      <c r="C5" s="3" t="s">
        <v>650</v>
      </c>
    </row>
    <row r="6" customFormat="false" ht="15" hidden="false" customHeight="false" outlineLevel="0" collapsed="false">
      <c r="A6" s="4" t="s">
        <v>651</v>
      </c>
      <c r="B6" s="4" t="s">
        <v>652</v>
      </c>
      <c r="C6" s="4" t="s">
        <v>653</v>
      </c>
    </row>
    <row r="7" customFormat="false" ht="15" hidden="false" customHeight="false" outlineLevel="0" collapsed="false">
      <c r="A7" s="4" t="s">
        <v>654</v>
      </c>
      <c r="B7" s="4" t="s">
        <v>354</v>
      </c>
      <c r="C7" s="4" t="s">
        <v>655</v>
      </c>
    </row>
    <row r="8" customFormat="false" ht="15" hidden="false" customHeight="false" outlineLevel="0" collapsed="false">
      <c r="A8" s="4" t="s">
        <v>656</v>
      </c>
      <c r="B8" s="4" t="s">
        <v>657</v>
      </c>
      <c r="C8" s="4" t="s">
        <v>658</v>
      </c>
    </row>
    <row r="9" customFormat="false" ht="15" hidden="false" customHeight="false" outlineLevel="0" collapsed="false">
      <c r="A9" s="4" t="s">
        <v>659</v>
      </c>
      <c r="B9" s="4" t="s">
        <v>660</v>
      </c>
      <c r="C9" s="4" t="s">
        <v>661</v>
      </c>
    </row>
    <row r="10" customFormat="false" ht="15" hidden="false" customHeight="false" outlineLevel="0" collapsed="false">
      <c r="A10" s="4" t="s">
        <v>662</v>
      </c>
      <c r="B10" s="4" t="s">
        <v>663</v>
      </c>
      <c r="C10" s="4" t="s">
        <v>664</v>
      </c>
    </row>
    <row r="11" customFormat="false" ht="15" hidden="false" customHeight="false" outlineLevel="0" collapsed="false">
      <c r="A11" s="4" t="s">
        <v>665</v>
      </c>
      <c r="B11" s="4" t="s">
        <v>666</v>
      </c>
      <c r="C11" s="4" t="s">
        <v>667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