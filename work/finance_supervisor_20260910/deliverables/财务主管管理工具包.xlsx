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b072b594b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主管管理看板" sheetId="1" r:id="Rbf99b3eb0a014e94"/>
    <x:sheet xmlns:r="http://schemas.openxmlformats.org/officeDocument/2006/relationships" name="01-Close Calendar" sheetId="2" r:id="R95f34eecc7174f88"/>
    <x:sheet xmlns:r="http://schemas.openxmlformats.org/officeDocument/2006/relationships" name="02-RACI责任矩阵" sheetId="3" r:id="Rcd3c103cc9b94497"/>
    <x:sheet xmlns:r="http://schemas.openxmlformats.org/officeDocument/2006/relationships" name="03-月结任务表" sheetId="4" r:id="Rff09cd8869434038"/>
    <x:sheet xmlns:r="http://schemas.openxmlformats.org/officeDocument/2006/relationships" name="04-任务依赖关系" sheetId="5" r:id="Rf623c292719c4cf8"/>
    <x:sheet xmlns:r="http://schemas.openxmlformats.org/officeDocument/2006/relationships" name="05-主管复核Checklist" sheetId="6" r:id="Rbb5426bde6a74f84"/>
    <x:sheet xmlns:r="http://schemas.openxmlformats.org/officeDocument/2006/relationships" name="06-Issue Log" sheetId="7" r:id="R484e3160a12248ae"/>
    <x:sheet xmlns:r="http://schemas.openxmlformats.org/officeDocument/2006/relationships" name="07-Action Plan" sheetId="8" r:id="R0a0ed91784f4445c"/>
    <x:sheet xmlns:r="http://schemas.openxmlformats.org/officeDocument/2006/relationships" name="08-资料催收表" sheetId="9" r:id="Rd264c868a01d44c6"/>
    <x:sheet xmlns:r="http://schemas.openxmlformats.org/officeDocument/2006/relationships" name="09-问题升级矩阵" sheetId="10" r:id="R0200d67fb15e43b8"/>
    <x:sheet xmlns:r="http://schemas.openxmlformats.org/officeDocument/2006/relationships" name="10-审批权限矩阵" sheetId="11" r:id="Ra7e6fc0e6b974dbb"/>
    <x:sheet xmlns:r="http://schemas.openxmlformats.org/officeDocument/2006/relationships" name="11-ERP权限矩阵" sheetId="12" r:id="R8a4200d07edb417a"/>
    <x:sheet xmlns:r="http://schemas.openxmlformats.org/officeDocument/2006/relationships" name="12-重大会计事项跟踪" sheetId="13" r:id="Rf2c31dd429b74bc7"/>
    <x:sheet xmlns:r="http://schemas.openxmlformats.org/officeDocument/2006/relationships" name="13-Accounting Memo清单" sheetId="14" r:id="R04abbe8838924293"/>
    <x:sheet xmlns:r="http://schemas.openxmlformats.org/officeDocument/2006/relationships" name="14-财务团队工作分配" sheetId="15" r:id="R6e2cc021535d4aee"/>
    <x:sheet xmlns:r="http://schemas.openxmlformats.org/officeDocument/2006/relationships" name="15-周会Action List" sheetId="16" r:id="Reb544741ea2c4441"/>
    <x:sheet xmlns:r="http://schemas.openxmlformats.org/officeDocument/2006/relationships" name="16-年度财务日历" sheetId="17" r:id="R7dea51361ce24388"/>
    <x:sheet xmlns:r="http://schemas.openxmlformats.org/officeDocument/2006/relationships" name="17-岗位Definition of Done" sheetId="18" r:id="Rf19231ec6cd8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 hh:mm"/>
    <x:numFmt numFmtId="202" formatCode="yyyy-mm-dd"/>
    <x:numFmt numFmtId="203" formatCode="#,##0.00;[Red](#,##0.00);-"/>
  </x:numFmts>
  <x:fonts count="5">
    <x:font>
      <x:sz val="11"/>
      <x:name val="Carlito"/>
    </x:font>
    <x:font>
      <x:b/>
      <x:sz val="16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2" fontId="4" fillId="3" borderId="2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9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a9d8cfc164ccd" /><Relationship Type="http://schemas.openxmlformats.org/officeDocument/2006/relationships/theme" Target="/xl/theme/theme1.xml" Id="R3df696430a0646eb" /><Relationship Type="http://schemas.openxmlformats.org/officeDocument/2006/relationships/sharedStrings" Target="/xl/sharedStrings.xml" Id="R03033cef32e74a3d" /><Relationship Type="http://schemas.openxmlformats.org/officeDocument/2006/relationships/worksheet" Target="/xl/worksheets/sheet1.xml" Id="Rbf99b3eb0a014e94" /><Relationship Type="http://schemas.openxmlformats.org/officeDocument/2006/relationships/worksheet" Target="/xl/worksheets/sheet2.xml" Id="R95f34eecc7174f88" /><Relationship Type="http://schemas.openxmlformats.org/officeDocument/2006/relationships/worksheet" Target="/xl/worksheets/sheet3.xml" Id="Rcd3c103cc9b94497" /><Relationship Type="http://schemas.openxmlformats.org/officeDocument/2006/relationships/worksheet" Target="/xl/worksheets/sheet4.xml" Id="Rff09cd8869434038" /><Relationship Type="http://schemas.openxmlformats.org/officeDocument/2006/relationships/worksheet" Target="/xl/worksheets/sheet5.xml" Id="Rf623c292719c4cf8" /><Relationship Type="http://schemas.openxmlformats.org/officeDocument/2006/relationships/worksheet" Target="/xl/worksheets/sheet6.xml" Id="Rbb5426bde6a74f84" /><Relationship Type="http://schemas.openxmlformats.org/officeDocument/2006/relationships/worksheet" Target="/xl/worksheets/sheet7.xml" Id="R484e3160a12248ae" /><Relationship Type="http://schemas.openxmlformats.org/officeDocument/2006/relationships/worksheet" Target="/xl/worksheets/sheet8.xml" Id="R0a0ed91784f4445c" /><Relationship Type="http://schemas.openxmlformats.org/officeDocument/2006/relationships/worksheet" Target="/xl/worksheets/sheet9.xml" Id="Rd264c868a01d44c6" /><Relationship Type="http://schemas.openxmlformats.org/officeDocument/2006/relationships/worksheet" Target="/xl/worksheets/sheet10.xml" Id="R0200d67fb15e43b8" /><Relationship Type="http://schemas.openxmlformats.org/officeDocument/2006/relationships/worksheet" Target="/xl/worksheets/sheet11.xml" Id="Ra7e6fc0e6b974dbb" /><Relationship Type="http://schemas.openxmlformats.org/officeDocument/2006/relationships/worksheet" Target="/xl/worksheets/sheet12.xml" Id="R8a4200d07edb417a" /><Relationship Type="http://schemas.openxmlformats.org/officeDocument/2006/relationships/worksheet" Target="/xl/worksheets/sheet13.xml" Id="Rf2c31dd429b74bc7" /><Relationship Type="http://schemas.openxmlformats.org/officeDocument/2006/relationships/worksheet" Target="/xl/worksheets/sheet14.xml" Id="R04abbe8838924293" /><Relationship Type="http://schemas.openxmlformats.org/officeDocument/2006/relationships/worksheet" Target="/xl/worksheets/sheet15.xml" Id="R6e2cc021535d4aee" /><Relationship Type="http://schemas.openxmlformats.org/officeDocument/2006/relationships/worksheet" Target="/xl/worksheets/sheet16.xml" Id="Reb544741ea2c4441" /><Relationship Type="http://schemas.openxmlformats.org/officeDocument/2006/relationships/worksheet" Target="/xl/worksheets/sheet17.xml" Id="R7dea51361ce24388" /><Relationship Type="http://schemas.openxmlformats.org/officeDocument/2006/relationships/worksheet" Target="/xl/worksheets/sheet18.xml" Id="Rf19231ec6cd84aeb" /></Relationships>
</file>

<file path=xl/tables/table1.xml><?xml version="1.0" encoding="utf-8"?>
<x:table xmlns:x="http://schemas.openxmlformats.org/spreadsheetml/2006/main" id="1" name="CloseCalendar" displayName="CloseCalendar" ref="A5:H13" headerRowCount="1" totalsRowCount="0" totalsRowShown="0">
  <x:tableColumns count="8">
    <x:tableColumn id="1" name="时点"/>
    <x:tableColumn id="2" name="主要任务"/>
    <x:tableColumn id="3" name="R执行"/>
    <x:tableColumn id="4" name="A负责"/>
    <x:tableColumn id="5" name="完成证据"/>
    <x:tableColumn id="6" name="异常标准"/>
    <x:tableColumn id="7" name="升级对象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CIMatrix" displayName="RACIMatrix" ref="A5:H19" headerRowCount="1" totalsRowCount="0" totalsRowShown="0">
  <x:tableColumns count="8">
    <x:tableColumn id="1" name="流程"/>
    <x:tableColumn id="2" name="R执行"/>
    <x:tableColumn id="3" name="A最终负责"/>
    <x:tableColumn id="4" name="C协商"/>
    <x:tableColumn id="5" name="I知会"/>
    <x:tableColumn id="6" name="边界说明"/>
    <x:tableColumn id="7" name="复核频率"/>
    <x:tableColumn id="8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oseTasks" displayName="CloseTasks" ref="A5:M45" headerRowCount="1" totalsRowCount="0" totalsRowShown="0">
  <x:tableColumns count="13">
    <x:tableColumn id="1" name="编号"/>
    <x:tableColumn id="2" name="阶段"/>
    <x:tableColumn id="3" name="任务"/>
    <x:tableColumn id="4" name="R"/>
    <x:tableColumn id="5" name="A"/>
    <x:tableColumn id="6" name="截止时间"/>
    <x:tableColumn id="7" name="前置任务"/>
    <x:tableColumn id="8" name="完成证据"/>
    <x:tableColumn id="9" name="是否阻断"/>
    <x:tableColumn id="10" name="异常说明"/>
    <x:tableColumn id="11" name="状态"/>
    <x:tableColumn id="12" name="实际完成日"/>
    <x:tableColumn id="13" name="复核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endencies" displayName="Dependencies" ref="A5:I35" headerRowCount="1" totalsRowCount="0" totalsRowShown="0">
  <x:tableColumns count="9">
    <x:tableColumn id="1" name="依赖编号"/>
    <x:tableColumn id="2" name="前置任务"/>
    <x:tableColumn id="3" name="后续任务"/>
    <x:tableColumn id="4" name="前置Owner"/>
    <x:tableColumn id="5" name="最迟完成"/>
    <x:tableColumn id="6" name="可否暂缓"/>
    <x:tableColumn id="7" name="暂缓条件"/>
    <x:tableColumn id="8" name="阻断处理"/>
    <x:tableColumn id="9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Checklist" displayName="ReviewChecklist" ref="A5:K22" headerRowCount="1" totalsRowCount="0" totalsRowShown="0">
  <x:tableColumns count="11">
    <x:tableColumn id="1" name="编号"/>
    <x:tableColumn id="2" name="复核项目"/>
    <x:tableColumn id="3" name="为什么复核"/>
    <x:tableColumn id="4" name="看什么"/>
    <x:tableColumn id="5" name="异常标准"/>
    <x:tableColumn id="6" name="异常处理"/>
    <x:tableColumn id="7" name="Closure证据"/>
    <x:tableColumn id="8" name="本月结论"/>
    <x:tableColumn id="9" name="状态"/>
    <x:tableColumn id="10" name="复核人"/>
    <x:tableColumn id="11" name="复核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Log" displayName="IssueLog" ref="A5:X85" headerRowCount="1" totalsRowCount="0" totalsRowShown="0">
  <x:tableColumns count="24">
    <x:tableColumn id="1" name="问题编号"/>
    <x:tableColumn id="2" name="发现日期"/>
    <x:tableColumn id="3" name="问题描述"/>
    <x:tableColumn id="4" name="流程"/>
    <x:tableColumn id="5" name="涉及科目"/>
    <x:tableColumn id="6" name="金额"/>
    <x:tableColumn id="7" name="风险等级"/>
    <x:tableColumn id="8" name="责任部门"/>
    <x:tableColumn id="9" name="责任人"/>
    <x:tableColumn id="10" name="财务Owner"/>
    <x:tableColumn id="11" name="根本原因"/>
    <x:tableColumn id="12" name="临时措施"/>
    <x:tableColumn id="13" name="永久措施"/>
    <x:tableColumn id="14" name="下一步"/>
    <x:tableColumn id="15" name="截止时间"/>
    <x:tableColumn id="16" name="升级状态"/>
    <x:tableColumn id="17" name="影响月结"/>
    <x:tableColumn id="18" name="影响税务"/>
    <x:tableColumn id="19" name="影响报表"/>
    <x:tableColumn id="20" name="完成日期"/>
    <x:tableColumn id="21" name="复核人"/>
    <x:tableColumn id="22" name="关闭状态"/>
    <x:tableColumn id="23" name="Closure证据"/>
    <x:tableColumn id="24" name="关闭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tionPlan" displayName="ActionPlan" ref="A5:L65" headerRowCount="1" totalsRowCount="0" totalsRowShown="0">
  <x:tableColumns count="12">
    <x:tableColumn id="1" name="行动编号"/>
    <x:tableColumn id="2" name="关联Issue"/>
    <x:tableColumn id="3" name="行动事项"/>
    <x:tableColumn id="4" name="类型"/>
    <x:tableColumn id="5" name="Owner"/>
    <x:tableColumn id="6" name="开始日"/>
    <x:tableColumn id="7" name="截止日"/>
    <x:tableColumn id="8" name="完成标准"/>
    <x:tableColumn id="9" name="状态"/>
    <x:tableColumn id="10" name="实际完成日"/>
    <x:tableColumn id="11" name="复核人"/>
    <x:tableColumn id="12" name="证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questLog" displayName="RequestLog" ref="A5:M65" headerRowCount="1" totalsRowCount="0" totalsRowShown="0">
  <x:tableColumns count="13">
    <x:tableColumn id="1" name="编号"/>
    <x:tableColumn id="2" name="资料/事项"/>
    <x:tableColumn id="3" name="期间"/>
    <x:tableColumn id="4" name="提供部门"/>
    <x:tableColumn id="5" name="责任人"/>
    <x:tableColumn id="6" name="首次提醒"/>
    <x:tableColumn id="7" name="要求时间"/>
    <x:tableColumn id="8" name="最后催收"/>
    <x:tableColumn id="9" name="影响"/>
    <x:tableColumn id="10" name="升级对象"/>
    <x:tableColumn id="11" name="状态"/>
    <x:tableColumn id="12" name="收到日"/>
    <x:tableColumn id="13" name="证据路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scalationMatrix" displayName="EscalationMatrix" ref="A5:I11" headerRowCount="1" totalsRowCount="0" totalsRowShown="0">
  <x:tableColumns count="9">
    <x:tableColumn id="1" name="维度"/>
    <x:tableColumn id="2" name="一般"/>
    <x:tableColumn id="3" name="重要"/>
    <x:tableColumn id="4" name="重大/紧急"/>
    <x:tableColumn id="5" name="业务负责人"/>
    <x:tableColumn id="6" name="财务主管"/>
    <x:tableColumn id="7" name="财务经理"/>
    <x:tableColumn id="8" name="CFO/总经理"/>
    <x:tableColumn id="9" name="法务/外部专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pprovalMatrix" displayName="ApprovalMatrix" ref="A5:J11" headerRowCount="1" totalsRowCount="0" totalsRowShown="0">
  <x:tableColumns count="10">
    <x:tableColumn id="1" name="业务类型"/>
    <x:tableColumn id="2" name="低金额示例"/>
    <x:tableColumn id="3" name="中金额示例"/>
    <x:tableColumn id="4" name="高金额示例"/>
    <x:tableColumn id="5" name="异常/高风险"/>
    <x:tableColumn id="6" name="申请"/>
    <x:tableColumn id="7" name="部门审批"/>
    <x:tableColumn id="8" name="财务复核"/>
    <x:tableColumn id="9" name="最终批准"/>
    <x:tableColumn id="10" name="系统控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RPAccess" displayName="ERPAccess" ref="A5:L45" headerRowCount="1" totalsRowCount="0" totalsRowShown="0">
  <x:tableColumns count="12">
    <x:tableColumn id="1" name="用户/角色"/>
    <x:tableColumn id="2" name="供应商主数据"/>
    <x:tableColumn id="3" name="凭证录入"/>
    <x:tableColumn id="4" name="凭证审核"/>
    <x:tableColumn id="5" name="付款制单"/>
    <x:tableColumn id="6" name="银行复核"/>
    <x:tableColumn id="7" name="反结账"/>
    <x:tableColumn id="8" name="系统管理"/>
    <x:tableColumn id="9" name="冲突说明"/>
    <x:tableColumn id="10" name="补偿控制"/>
    <x:tableColumn id="11" name="复核人"/>
    <x:tableColumn id="12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ccountingTopics" displayName="AccountingTopics" ref="A5:N45" headerRowCount="1" totalsRowCount="0" totalsRowShown="0">
  <x:tableColumns count="14">
    <x:tableColumn id="1" name="事项编号"/>
    <x:tableColumn id="2" name="事项"/>
    <x:tableColumn id="3" name="Fact状态"/>
    <x:tableColumn id="4" name="合同资料"/>
    <x:tableColumn id="5" name="适用准则"/>
    <x:tableColumn id="6" name="备选方案"/>
    <x:tableColumn id="7" name="建议方案"/>
    <x:tableColumn id="8" name="报表影响"/>
    <x:tableColumn id="9" name="税务影响"/>
    <x:tableColumn id="10" name="Owner"/>
    <x:tableColumn id="11" name="审批人"/>
    <x:tableColumn id="12" name="截止日"/>
    <x:tableColumn id="13" name="Memo编号"/>
    <x:tableColumn id="14" name="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moRegister" displayName="MemoRegister" ref="A5:O35" headerRowCount="1" totalsRowCount="0" totalsRowShown="0">
  <x:tableColumns count="15">
    <x:tableColumn id="1" name="Memo编号"/>
    <x:tableColumn id="2" name="事项背景"/>
    <x:tableColumn id="3" name="关键事实"/>
    <x:tableColumn id="4" name="会计问题"/>
    <x:tableColumn id="5" name="适用准则"/>
    <x:tableColumn id="6" name="分析"/>
    <x:tableColumn id="7" name="备选方案"/>
    <x:tableColumn id="8" name="建议"/>
    <x:tableColumn id="9" name="报表影响"/>
    <x:tableColumn id="10" name="税务影响"/>
    <x:tableColumn id="11" name="编制人"/>
    <x:tableColumn id="12" name="复核人"/>
    <x:tableColumn id="13" name="批准人"/>
    <x:tableColumn id="14" name="状态"/>
    <x:tableColumn id="15" name="文件路径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orkAllocation" displayName="WorkAllocation" ref="A5:K55" headerRowCount="1" totalsRowCount="0" totalsRowShown="0">
  <x:tableColumns count="11">
    <x:tableColumn id="1" name="任务编号"/>
    <x:tableColumn id="2" name="任务"/>
    <x:tableColumn id="3" name="主岗"/>
    <x:tableColumn id="4" name="备岗"/>
    <x:tableColumn id="5" name="频率"/>
    <x:tableColumn id="6" name="计划工时"/>
    <x:tableColumn id="7" name="截止"/>
    <x:tableColumn id="8" name="完成证据"/>
    <x:tableColumn id="9" name="风险"/>
    <x:tableColumn id="10" name="本期状态"/>
    <x:tableColumn id="11" name="备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eeklyActions" displayName="WeeklyActions" ref="A5:J55" headerRowCount="1" totalsRowCount="0" totalsRowShown="0">
  <x:tableColumns count="10">
    <x:tableColumn id="1" name="行动编号"/>
    <x:tableColumn id="2" name="会议日期"/>
    <x:tableColumn id="3" name="事项"/>
    <x:tableColumn id="4" name="决策/下一步"/>
    <x:tableColumn id="5" name="Owner"/>
    <x:tableColumn id="6" name="截止日"/>
    <x:tableColumn id="7" name="风险"/>
    <x:tableColumn id="8" name="是否升级"/>
    <x:tableColumn id="9" name="状态"/>
    <x:tableColumn id="10" name="完成证据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nnualCalendar" displayName="AnnualCalendar" ref="A5:F11" headerRowCount="1" totalsRowCount="0" totalsRowShown="0">
  <x:tableColumns count="6">
    <x:tableColumn id="1" name="周期"/>
    <x:tableColumn id="2" name="重点事项"/>
    <x:tableColumn id="3" name="输出"/>
    <x:tableColumn id="4" name="责任人"/>
    <x:tableColumn id="5" name="计划日期"/>
    <x:tableColumn id="6" name="状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finitionDone" displayName="DefinitionDone" ref="A5:G10" headerRowCount="1" totalsRowCount="0" totalsRowShown="0">
  <x:tableColumns count="7">
    <x:tableColumn id="1" name="岗位"/>
    <x:tableColumn id="2" name="任务"/>
    <x:tableColumn id="3" name="完成标准"/>
    <x:tableColumn id="4" name="必须证据"/>
    <x:tableColumn id="5" name="异常需升级"/>
    <x:tableColumn id="6" name="主管抽查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ff1654c22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99cb6140774e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a4f5e9bba344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2e9783329145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557df12d254c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bf1665bc654d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9d00e9672446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f57d92584e4e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9e2ed41589849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475155202c848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3ac16e98b7644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445d00281ad41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5df16be5acb449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8e3ce9c919847e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f8a00ce842e437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459d166be3746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3d83e92b207448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4" hidden="0" customWidth="1"/>
    <x:col min="4" max="4" width="46" hidden="0" customWidth="1"/>
  </x:cols>
  <x:sheetData>
    <x:row r="1" ht="30" customHeight="1">
      <x:c r="A1" s="1" t="str">
        <x:v>财务主管管理看板</x:v>
      </x:c>
    </x:row>
    <x:row r="2" ht="25" customHeight="1">
      <x:c r="A2" s="3" t="str">
        <x:v>聚焦逾期、阻断、重大风险、待升级和待Closure事项。版本日期：2026-09-10</x:v>
      </x:c>
    </x:row>
    <x:row r="5" ht="36" customHeight="1">
      <x:c r="A5" s="9" t="str">
        <x:v>管理指标</x:v>
      </x:c>
      <x:c r="B5" s="9" t="str">
        <x:v>当前值</x:v>
      </x:c>
      <x:c r="C5" s="9" t="str">
        <x:v>目标</x:v>
      </x:c>
      <x:c r="D5" s="9" t="str">
        <x:v>说明</x:v>
      </x:c>
    </x:row>
    <x:row r="6">
      <x:c r="A6" s="13" t="str">
        <x:v>月结任务数</x:v>
      </x:c>
      <x:c r="B6" s="13" t="n">
        <x:f>COUNTA('03-月结任务表'!A6:A45)</x:f>
        <x:v>40</x:v>
      </x:c>
      <x:c r="C6" s="13" t="n">
        <x:v>40</x:v>
      </x:c>
      <x:c r="D6" s="13" t="str">
        <x:v>月结任务表有效行</x:v>
      </x:c>
    </x:row>
    <x:row r="7">
      <x:c r="A7" s="13" t="str">
        <x:v>月结已完成</x:v>
      </x:c>
      <x:c r="B7" s="13" t="n">
        <x:f>COUNTIF('03-月结任务表'!K6:K45,"已完成")</x:f>
        <x:v>0</x:v>
      </x:c>
      <x:c r="C7" s="13" t="n">
        <x:v>40</x:v>
      </x:c>
      <x:c r="D7" s="13" t="str">
        <x:v>状态已完成</x:v>
      </x:c>
    </x:row>
    <x:row r="8">
      <x:c r="A8" s="13" t="str">
        <x:v>阻断事项</x:v>
      </x:c>
      <x:c r="B8" s="13" t="n">
        <x:f>COUNTIFS('03-月结任务表'!I6:I45,"是",'03-月结任务表'!K6:K45,"&lt;&gt;已完成")</x:f>
        <x:v>30</x:v>
      </x:c>
      <x:c r="C8" s="13" t="n">
        <x:v>0</x:v>
      </x:c>
      <x:c r="D8" s="13" t="str">
        <x:v>会阻断且未完成</x:v>
      </x:c>
    </x:row>
    <x:row r="9">
      <x:c r="A9" s="13" t="str">
        <x:v>逾期任务</x:v>
      </x:c>
      <x:c r="B9" s="13" t="n">
        <x:f>COUNTIFS('03-月结任务表'!F6:F45,"&lt;"&amp;TODAY(),'03-月结任务表'!K6:K45,"&lt;&gt;已完成")</x:f>
        <x:v>40</x:v>
      </x:c>
      <x:c r="C9" s="13" t="n">
        <x:v>0</x:v>
      </x:c>
      <x:c r="D9" s="13" t="str">
        <x:v>截止日前未完成</x:v>
      </x:c>
    </x:row>
    <x:row r="10">
      <x:c r="A10" s="13" t="str">
        <x:v>Open Issue</x:v>
      </x:c>
      <x:c r="B10" s="13" t="n">
        <x:f>COUNTIF('06-Issue Log'!V6:V85,"Open")</x:f>
        <x:v>80</x:v>
      </x:c>
      <x:c r="C10" s="13" t="n">
        <x:v>0</x:v>
      </x:c>
      <x:c r="D10" s="13" t="str">
        <x:v>已确认未开始</x:v>
      </x:c>
    </x:row>
    <x:row r="11">
      <x:c r="A11" s="13" t="str">
        <x:v>Pending Issue</x:v>
      </x:c>
      <x:c r="B11" s="13" t="n">
        <x:f>COUNTIF('06-Issue Log'!V6:V85,"Pending")</x:f>
        <x:v>0</x:v>
      </x:c>
      <x:c r="C11" s="13" t="n">
        <x:v>0</x:v>
      </x:c>
      <x:c r="D11" s="13" t="str">
        <x:v>等待外部条件</x:v>
      </x:c>
    </x:row>
    <x:row r="12">
      <x:c r="A12" s="13" t="str">
        <x:v>Resolved待关闭</x:v>
      </x:c>
      <x:c r="B12" s="13" t="n">
        <x:f>COUNTIF('06-Issue Log'!V6:V85,"Resolved")</x:f>
        <x:v>0</x:v>
      </x:c>
      <x:c r="C12" s="13" t="n">
        <x:v>0</x:v>
      </x:c>
      <x:c r="D12" s="13" t="str">
        <x:v>动作完成但未验证</x:v>
      </x:c>
    </x:row>
    <x:row r="13">
      <x:c r="A13" s="13" t="str">
        <x:v>高风险Issue</x:v>
      </x:c>
      <x:c r="B13" s="13" t="n">
        <x:f>COUNTIF('06-Issue Log'!G6:G85,"红色")</x:f>
        <x:v>0</x:v>
      </x:c>
      <x:c r="C13" s="13" t="n">
        <x:v>0</x:v>
      </x:c>
      <x:c r="D13" s="13" t="str">
        <x:v>需主管立即关注</x:v>
      </x:c>
    </x:row>
    <x:row r="14">
      <x:c r="A14" s="13" t="str">
        <x:v>完成率</x:v>
      </x:c>
      <x:c r="B14" s="14" t="n">
        <x:f>IF(B6=0,0,B7/B6)</x:f>
        <x:v>0</x:v>
      </x:c>
      <x:c r="C14" s="14" t="n">
        <x:v>1</x:v>
      </x:c>
      <x:c r="D14" s="13" t="str">
        <x:v>已完成/任务数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44" hidden="0" customWidth="1"/>
    <x:col min="3" max="3" width="20" hidden="0" customWidth="1"/>
    <x:col min="4" max="4" width="16" hidden="0" customWidth="1"/>
    <x:col min="5" max="5" width="36" hidden="0" customWidth="1"/>
    <x:col min="6" max="6" width="34" hidden="0" customWidth="1"/>
    <x:col min="7" max="7" width="24" hidden="0" customWidth="1"/>
    <x:col min="8" max="8" width="11" hidden="0" customWidth="1"/>
  </x:cols>
  <x:sheetData>
    <x:row r="1" ht="30" customHeight="1">
      <x:c r="A1" s="1" t="str">
        <x:v>Close Calendar</x:v>
      </x:c>
    </x:row>
    <x:row r="2" ht="25" customHeight="1">
      <x:c r="A2" s="3" t="str">
        <x:v>明确时点、R、完成证据、异常标准和升级层级。</x:v>
      </x:c>
    </x:row>
    <x:row r="5" ht="36" customHeight="1">
      <x:c r="A5" s="9" t="str">
        <x:v>时点</x:v>
      </x:c>
      <x:c r="B5" s="9" t="str">
        <x:v>主要任务</x:v>
      </x:c>
      <x:c r="C5" s="9" t="str">
        <x:v>R执行</x:v>
      </x:c>
      <x:c r="D5" s="9" t="str">
        <x:v>A负责</x:v>
      </x:c>
      <x:c r="E5" s="9" t="str">
        <x:v>完成证据</x:v>
      </x:c>
      <x:c r="F5" s="9" t="str">
        <x:v>异常标准</x:v>
      </x:c>
      <x:c r="G5" s="9" t="str">
        <x:v>升级对象</x:v>
      </x:c>
      <x:c r="H5" s="9" t="str">
        <x:v>状态</x:v>
      </x:c>
    </x:row>
    <x:row r="6">
      <x:c r="A6" s="13" t="str">
        <x:v>T-5</x:v>
      </x:c>
      <x:c r="B6" s="13" t="str">
        <x:v>发布业务截止和月结任务；识别重大合同、促销、采购和人员事项</x:v>
      </x:c>
      <x:c r="C6" s="13" t="str">
        <x:v>财务主管</x:v>
      </x:c>
      <x:c r="D6" s="13" t="str">
        <x:v>财务主管</x:v>
      </x:c>
      <x:c r="E6" s="13" t="str">
        <x:v>Close Calendar、风险清单</x:v>
      </x:c>
      <x:c r="F6" s="13" t="str">
        <x:v>任务无Owner或关键人员请假</x:v>
      </x:c>
      <x:c r="G6" s="13" t="str">
        <x:v>当日升级财务经理</x:v>
      </x:c>
      <x:c r="H6" s="13" t="str">
        <x:v>未开始</x:v>
      </x:c>
    </x:row>
    <x:row r="7">
      <x:c r="A7" s="13" t="str">
        <x:v>T-3</x:v>
      </x:c>
      <x:c r="B7" s="13" t="str">
        <x:v>采购暂估、销售验收、仓库负库存首轮检查</x:v>
      </x:c>
      <x:c r="C7" s="13" t="str">
        <x:v>采购/销售/仓库/AP/AR</x:v>
      </x:c>
      <x:c r="D7" s="13" t="str">
        <x:v>财务主管</x:v>
      </x:c>
      <x:c r="E7" s="13" t="str">
        <x:v>缺口明细、第一次书面催收</x:v>
      </x:c>
      <x:c r="F7" s="13" t="str">
        <x:v>预计无法在T前完成</x:v>
      </x:c>
      <x:c r="G7" s="13" t="str">
        <x:v>升级部门负责人</x:v>
      </x:c>
      <x:c r="H7" s="13" t="str">
        <x:v>未开始</x:v>
      </x:c>
    </x:row>
    <x:row r="8">
      <x:c r="A8" s="13" t="str">
        <x:v>T-2</x:v>
      </x:c>
      <x:c r="B8" s="13" t="str">
        <x:v>未开票收入、回款认领、工单和接口预检</x:v>
      </x:c>
      <x:c r="C8" s="13" t="str">
        <x:v>AR/成本/生产/IT</x:v>
      </x:c>
      <x:c r="D8" s="13" t="str">
        <x:v>财务主管</x:v>
      </x:c>
      <x:c r="E8" s="13" t="str">
        <x:v>关键路径状态表</x:v>
      </x:c>
      <x:c r="F8" s="13" t="str">
        <x:v>影响收入、成本或资金</x:v>
      </x:c>
      <x:c r="G8" s="13" t="str">
        <x:v>主管召集15分钟专题会</x:v>
      </x:c>
      <x:c r="H8" s="13" t="str">
        <x:v>未开始</x:v>
      </x:c>
    </x:row>
    <x:row r="9">
      <x:c r="A9" s="13" t="str">
        <x:v>T-1</x:v>
      </x:c>
      <x:c r="B9" s="13" t="str">
        <x:v>工资锁定、盘点、负库存和未关工单</x:v>
      </x:c>
      <x:c r="C9" s="13" t="str">
        <x:v>HR/仓库/生产/成本</x:v>
      </x:c>
      <x:c r="D9" s="13" t="str">
        <x:v>财务主管</x:v>
      </x:c>
      <x:c r="E9" s="13" t="str">
        <x:v>最终业务输入、例外申请</x:v>
      </x:c>
      <x:c r="F9" s="13" t="str">
        <x:v>仍影响子模块结账</x:v>
      </x:c>
      <x:c r="G9" s="13" t="str">
        <x:v>升级财务经理和业务负责人</x:v>
      </x:c>
      <x:c r="H9" s="13" t="str">
        <x:v>未开始</x:v>
      </x:c>
    </x:row>
    <x:row r="10">
      <x:c r="A10" s="13" t="str">
        <x:v>T</x:v>
      </x:c>
      <x:c r="B10" s="13" t="str">
        <x:v>业务截止、库存锁定、例外批准</x:v>
      </x:c>
      <x:c r="C10" s="13" t="str">
        <x:v>业务/仓库/生产</x:v>
      </x:c>
      <x:c r="D10" s="13" t="str">
        <x:v>财务主管</x:v>
      </x:c>
      <x:c r="E10" s="13" t="str">
        <x:v>截止确认、例外清单</x:v>
      </x:c>
      <x:c r="F10" s="13" t="str">
        <x:v>无批准仍要求跨期操作</x:v>
      </x:c>
      <x:c r="G10" s="13" t="str">
        <x:v>拒绝无痕例外并书面留痕</x:v>
      </x:c>
      <x:c r="H10" s="13" t="str">
        <x:v>未开始</x:v>
      </x:c>
    </x:row>
    <x:row r="11">
      <x:c r="A11" s="13" t="str">
        <x:v>T+1</x:v>
      </x:c>
      <x:c r="B11" s="13" t="str">
        <x:v>AP、AR、资金、资产子模块完成</x:v>
      </x:c>
      <x:c r="C11" s="13" t="str">
        <x:v>各模块会计</x:v>
      </x:c>
      <x:c r="D11" s="13" t="str">
        <x:v>财务主管</x:v>
      </x:c>
      <x:c r="E11" s="13" t="str">
        <x:v>模块余额、对账和异常</x:v>
      </x:c>
      <x:c r="F11" s="13" t="str">
        <x:v>差异不明或底稿无证据</x:v>
      </x:c>
      <x:c r="G11" s="13" t="str">
        <x:v>阻断后续并指定修复时点</x:v>
      </x:c>
      <x:c r="H11" s="13" t="str">
        <x:v>未开始</x:v>
      </x:c>
    </x:row>
    <x:row r="12">
      <x:c r="A12" s="13" t="str">
        <x:v>T+2</x:v>
      </x:c>
      <x:c r="B12" s="13" t="str">
        <x:v>成本、税务测算、GL调整</x:v>
      </x:c>
      <x:c r="C12" s="13" t="str">
        <x:v>成本/税务/总账</x:v>
      </x:c>
      <x:c r="D12" s="13" t="str">
        <x:v>财务主管</x:v>
      </x:c>
      <x:c r="E12" s="13" t="str">
        <x:v>成本结果、税务桥、调整清单</x:v>
      </x:c>
      <x:c r="F12" s="13" t="str">
        <x:v>重大毛利、税务或手工凭证异常</x:v>
      </x:c>
      <x:c r="G12" s="13" t="str">
        <x:v>升级财务经理/CFO</x:v>
      </x:c>
      <x:c r="H12" s="13" t="str">
        <x:v>未开始</x:v>
      </x:c>
    </x:row>
    <x:row r="13">
      <x:c r="A13" s="13" t="str">
        <x:v>T+3</x:v>
      </x:c>
      <x:c r="B13" s="13" t="str">
        <x:v>报表勾稽、Issue关闭、锁账</x:v>
      </x:c>
      <x:c r="C13" s="13" t="str">
        <x:v>总账/财务主管</x:v>
      </x:c>
      <x:c r="D13" s="13" t="str">
        <x:v>财务主管</x:v>
      </x:c>
      <x:c r="E13" s="13" t="str">
        <x:v>最终报表、签字清单、未决事项批准</x:v>
      </x:c>
      <x:c r="F13" s="13" t="str">
        <x:v>影响报表真实性或无法量化</x:v>
      </x:c>
      <x:c r="G13" s="13" t="str">
        <x:v>不得带病出表；必要时延后</x:v>
      </x:c>
      <x:c r="H13" s="13" t="str">
        <x:v>未开始</x:v>
      </x:c>
    </x:row>
  </x:sheetData>
  <x:mergeCells>
    <x:mergeCell ref="A1:H1"/>
    <x:mergeCell ref="A2:H2"/>
  </x:mergeCells>
  <x:conditionalFormatting sqref="H6:H13">
    <x:cfRule type="containsText" dxfId="0" priority="1" operator="containsText" text="已完成"/>
    <x:cfRule type="containsText" dxfId="1" priority="2" operator="containsText" text="逾期"/>
    <x:cfRule type="containsText" dxfId="2" priority="3" operator="containsText" text="未开始"/>
  </x:conditionalFormatting>
  <x:dataValidations count="1">
    <x:dataValidation type="list" sqref="H6:H13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ff1654c224f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8" hidden="0" customWidth="1"/>
    <x:col min="4" max="4" width="25" hidden="0" customWidth="1"/>
    <x:col min="5" max="5" width="22" hidden="0" customWidth="1"/>
    <x:col min="6" max="6" width="38" hidden="0" customWidth="1"/>
    <x:col min="7" max="7" width="20" hidden="0" customWidth="1"/>
    <x:col min="8" max="8" width="11" hidden="0" customWidth="1"/>
  </x:cols>
  <x:sheetData>
    <x:row r="1" ht="30" customHeight="1">
      <x:c r="A1" s="1" t="str">
        <x:v>财务流程RACI责任矩阵</x:v>
      </x:c>
    </x:row>
    <x:row r="2" ht="25" customHeight="1">
      <x:c r="A2" s="3" t="str">
        <x:v>R执行、A最终负责、C事前协商、I结果知会；每个任务应有唯一清晰A。</x:v>
      </x:c>
    </x:row>
    <x:row r="5" ht="36" customHeight="1">
      <x:c r="A5" s="9" t="str">
        <x:v>流程</x:v>
      </x:c>
      <x:c r="B5" s="9" t="str">
        <x:v>R执行</x:v>
      </x:c>
      <x:c r="C5" s="9" t="str">
        <x:v>A最终负责</x:v>
      </x:c>
      <x:c r="D5" s="9" t="str">
        <x:v>C协商</x:v>
      </x:c>
      <x:c r="E5" s="9" t="str">
        <x:v>I知会</x:v>
      </x:c>
      <x:c r="F5" s="9" t="str">
        <x:v>边界说明</x:v>
      </x:c>
      <x:c r="G5" s="9" t="str">
        <x:v>复核频率</x:v>
      </x:c>
      <x:c r="H5" s="9" t="str">
        <x:v>状态</x:v>
      </x:c>
    </x:row>
    <x:row r="6">
      <x:c r="A6" s="13" t="str">
        <x:v>采购到付款</x:v>
      </x:c>
      <x:c r="B6" s="13" t="str">
        <x:v>采购/仓库/AP/资金</x:v>
      </x:c>
      <x:c r="C6" s="13" t="str">
        <x:v>采购负责人、财务主管</x:v>
      </x:c>
      <x:c r="D6" s="13" t="str">
        <x:v>法务、税务、业务</x:v>
      </x:c>
      <x:c r="E6" s="13" t="str">
        <x:v>财务经理</x:v>
      </x:c>
      <x:c r="F6" s="13" t="str">
        <x:v>实际任务需再拆到单据和系统动作</x:v>
      </x:c>
      <x:c r="G6" s="13" t="str">
        <x:v>年度及流程变动时</x:v>
      </x:c>
      <x:c r="H6" s="13" t="str">
        <x:v>未开始</x:v>
      </x:c>
    </x:row>
    <x:row r="7">
      <x:c r="A7" s="13" t="str">
        <x:v>销售到收款</x:v>
      </x:c>
      <x:c r="B7" s="13" t="str">
        <x:v>销售/AR/资金</x:v>
      </x:c>
      <x:c r="C7" s="13" t="str">
        <x:v>销售负责人、财务主管</x:v>
      </x:c>
      <x:c r="D7" s="13" t="str">
        <x:v>法务、税务</x:v>
      </x:c>
      <x:c r="E7" s="13" t="str">
        <x:v>财务经理</x:v>
      </x:c>
      <x:c r="F7" s="13" t="str">
        <x:v>实际任务需再拆到单据和系统动作</x:v>
      </x:c>
      <x:c r="G7" s="13" t="str">
        <x:v>年度及流程变动时</x:v>
      </x:c>
      <x:c r="H7" s="13" t="str">
        <x:v>未开始</x:v>
      </x:c>
    </x:row>
    <x:row r="8">
      <x:c r="A8" s="13" t="str">
        <x:v>存货与成本</x:v>
      </x:c>
      <x:c r="B8" s="13" t="str">
        <x:v>仓库/生产/成本</x:v>
      </x:c>
      <x:c r="C8" s="13" t="str">
        <x:v>运营负责人、财务主管</x:v>
      </x:c>
      <x:c r="D8" s="13" t="str">
        <x:v>采购、总账</x:v>
      </x:c>
      <x:c r="E8" s="13" t="str">
        <x:v>财务经理</x:v>
      </x:c>
      <x:c r="F8" s="13" t="str">
        <x:v>实际任务需再拆到单据和系统动作</x:v>
      </x:c>
      <x:c r="G8" s="13" t="str">
        <x:v>年度及流程变动时</x:v>
      </x:c>
      <x:c r="H8" s="13" t="str">
        <x:v>未开始</x:v>
      </x:c>
    </x:row>
    <x:row r="9">
      <x:c r="A9" s="13" t="str">
        <x:v>费用报销</x:v>
      </x:c>
      <x:c r="B9" s="13" t="str">
        <x:v>员工/AP</x:v>
      </x:c>
      <x:c r="C9" s="13" t="str">
        <x:v>费用部门负责人</x:v>
      </x:c>
      <x:c r="D9" s="13" t="str">
        <x:v>税务、财务主管</x:v>
      </x:c>
      <x:c r="E9" s="13" t="str">
        <x:v>申请人</x:v>
      </x:c>
      <x:c r="F9" s="13" t="str">
        <x:v>实际任务需再拆到单据和系统动作</x:v>
      </x:c>
      <x:c r="G9" s="13" t="str">
        <x:v>年度及流程变动时</x:v>
      </x:c>
      <x:c r="H9" s="13" t="str">
        <x:v>未开始</x:v>
      </x:c>
    </x:row>
    <x:row r="10">
      <x:c r="A10" s="13" t="str">
        <x:v>固定资产</x:v>
      </x:c>
      <x:c r="B10" s="13" t="str">
        <x:v>使用部门/资产会计</x:v>
      </x:c>
      <x:c r="C10" s="13" t="str">
        <x:v>资产归口负责人</x:v>
      </x:c>
      <x:c r="D10" s="13" t="str">
        <x:v>采购、IT、总账</x:v>
      </x:c>
      <x:c r="E10" s="13" t="str">
        <x:v>财务主管</x:v>
      </x:c>
      <x:c r="F10" s="13" t="str">
        <x:v>实际任务需再拆到单据和系统动作</x:v>
      </x:c>
      <x:c r="G10" s="13" t="str">
        <x:v>年度及流程变动时</x:v>
      </x:c>
      <x:c r="H10" s="13" t="str">
        <x:v>未开始</x:v>
      </x:c>
    </x:row>
    <x:row r="11">
      <x:c r="A11" s="13" t="str">
        <x:v>工资薪酬</x:v>
      </x:c>
      <x:c r="B11" s="13" t="str">
        <x:v>HR/薪酬接口</x:v>
      </x:c>
      <x:c r="C11" s="13" t="str">
        <x:v>HR负责人、财务主管</x:v>
      </x:c>
      <x:c r="D11" s="13" t="str">
        <x:v>税务、资金</x:v>
      </x:c>
      <x:c r="E11" s="13" t="str">
        <x:v>财务经理</x:v>
      </x:c>
      <x:c r="F11" s="13" t="str">
        <x:v>实际任务需再拆到单据和系统动作</x:v>
      </x:c>
      <x:c r="G11" s="13" t="str">
        <x:v>年度及流程变动时</x:v>
      </x:c>
      <x:c r="H11" s="13" t="str">
        <x:v>未开始</x:v>
      </x:c>
    </x:row>
    <x:row r="12">
      <x:c r="A12" s="13" t="str">
        <x:v>税务申报</x:v>
      </x:c>
      <x:c r="B12" s="13" t="str">
        <x:v>税务会计</x:v>
      </x:c>
      <x:c r="C12" s="13" t="str">
        <x:v>财务主管</x:v>
      </x:c>
      <x:c r="D12" s="13" t="str">
        <x:v>总账、AP、AR</x:v>
      </x:c>
      <x:c r="E12" s="13" t="str">
        <x:v>财务经理</x:v>
      </x:c>
      <x:c r="F12" s="13" t="str">
        <x:v>实际任务需再拆到单据和系统动作</x:v>
      </x:c>
      <x:c r="G12" s="13" t="str">
        <x:v>年度及流程变动时</x:v>
      </x:c>
      <x:c r="H12" s="13" t="str">
        <x:v>未开始</x:v>
      </x:c>
    </x:row>
    <x:row r="13">
      <x:c r="A13" s="13" t="str">
        <x:v>资金支付</x:v>
      </x:c>
      <x:c r="B13" s="13" t="str">
        <x:v>资金专员</x:v>
      </x:c>
      <x:c r="C13" s="13" t="str">
        <x:v>授权审批人</x:v>
      </x:c>
      <x:c r="D13" s="13" t="str">
        <x:v>AP、采购、业务</x:v>
      </x:c>
      <x:c r="E13" s="13" t="str">
        <x:v>财务主管</x:v>
      </x:c>
      <x:c r="F13" s="13" t="str">
        <x:v>实际任务需再拆到单据和系统动作</x:v>
      </x:c>
      <x:c r="G13" s="13" t="str">
        <x:v>年度及流程变动时</x:v>
      </x:c>
      <x:c r="H13" s="13" t="str">
        <x:v>未开始</x:v>
      </x:c>
    </x:row>
    <x:row r="14">
      <x:c r="A14" s="13" t="str">
        <x:v>月末结账</x:v>
      </x:c>
      <x:c r="B14" s="13" t="str">
        <x:v>各模块会计</x:v>
      </x:c>
      <x:c r="C14" s="13" t="str">
        <x:v>财务主管</x:v>
      </x:c>
      <x:c r="D14" s="13" t="str">
        <x:v>业务、IT</x:v>
      </x:c>
      <x:c r="E14" s="13" t="str">
        <x:v>财务经理</x:v>
      </x:c>
      <x:c r="F14" s="13" t="str">
        <x:v>实际任务需再拆到单据和系统动作</x:v>
      </x:c>
      <x:c r="G14" s="13" t="str">
        <x:v>年度及流程变动时</x:v>
      </x:c>
      <x:c r="H14" s="13" t="str">
        <x:v>未开始</x:v>
      </x:c>
    </x:row>
    <x:row r="15">
      <x:c r="A15" s="13" t="str">
        <x:v>财务报表</x:v>
      </x:c>
      <x:c r="B15" s="13" t="str">
        <x:v>总账</x:v>
      </x:c>
      <x:c r="C15" s="13" t="str">
        <x:v>财务主管</x:v>
      </x:c>
      <x:c r="D15" s="13" t="str">
        <x:v>各模块</x:v>
      </x:c>
      <x:c r="E15" s="13" t="str">
        <x:v>财务经理/CFO</x:v>
      </x:c>
      <x:c r="F15" s="13" t="str">
        <x:v>实际任务需再拆到单据和系统动作</x:v>
      </x:c>
      <x:c r="G15" s="13" t="str">
        <x:v>年度及流程变动时</x:v>
      </x:c>
      <x:c r="H15" s="13" t="str">
        <x:v>未开始</x:v>
      </x:c>
    </x:row>
    <x:row r="16">
      <x:c r="A16" s="13" t="str">
        <x:v>年度审计</x:v>
      </x:c>
      <x:c r="B16" s="13" t="str">
        <x:v>总账/资料Owner</x:v>
      </x:c>
      <x:c r="C16" s="13" t="str">
        <x:v>财务主管</x:v>
      </x:c>
      <x:c r="D16" s="13" t="str">
        <x:v>审计、业务</x:v>
      </x:c>
      <x:c r="E16" s="13" t="str">
        <x:v>CFO</x:v>
      </x:c>
      <x:c r="F16" s="13" t="str">
        <x:v>实际任务需再拆到单据和系统动作</x:v>
      </x:c>
      <x:c r="G16" s="13" t="str">
        <x:v>年度及流程变动时</x:v>
      </x:c>
      <x:c r="H16" s="13" t="str">
        <x:v>未开始</x:v>
      </x:c>
    </x:row>
    <x:row r="17">
      <x:c r="A17" s="13" t="str">
        <x:v>预算</x:v>
      </x:c>
      <x:c r="B17" s="13" t="str">
        <x:v>各部门/财务BP</x:v>
      </x:c>
      <x:c r="C17" s="13" t="str">
        <x:v>部门负责人/CFO</x:v>
      </x:c>
      <x:c r="D17" s="13" t="str">
        <x:v>财务主管</x:v>
      </x:c>
      <x:c r="E17" s="13" t="str">
        <x:v>管理层</x:v>
      </x:c>
      <x:c r="F17" s="13" t="str">
        <x:v>实际任务需再拆到单据和系统动作</x:v>
      </x:c>
      <x:c r="G17" s="13" t="str">
        <x:v>年度及流程变动时</x:v>
      </x:c>
      <x:c r="H17" s="13" t="str">
        <x:v>未开始</x:v>
      </x:c>
    </x:row>
    <x:row r="18">
      <x:c r="A18" s="13" t="str">
        <x:v>盘点</x:v>
      </x:c>
      <x:c r="B18" s="13" t="str">
        <x:v>仓库/使用部门</x:v>
      </x:c>
      <x:c r="C18" s="13" t="str">
        <x:v>运营负责人</x:v>
      </x:c>
      <x:c r="D18" s="13" t="str">
        <x:v>财务/内审</x:v>
      </x:c>
      <x:c r="E18" s="13" t="str">
        <x:v>财务经理</x:v>
      </x:c>
      <x:c r="F18" s="13" t="str">
        <x:v>实际任务需再拆到单据和系统动作</x:v>
      </x:c>
      <x:c r="G18" s="13" t="str">
        <x:v>年度及流程变动时</x:v>
      </x:c>
      <x:c r="H18" s="13" t="str">
        <x:v>未开始</x:v>
      </x:c>
    </x:row>
    <x:row r="19">
      <x:c r="A19" s="13" t="str">
        <x:v>往来清理</x:v>
      </x:c>
      <x:c r="B19" s="13" t="str">
        <x:v>AP/AR/业务Owner</x:v>
      </x:c>
      <x:c r="C19" s="13" t="str">
        <x:v>财务主管</x:v>
      </x:c>
      <x:c r="D19" s="13" t="str">
        <x:v>法务、销售、采购</x:v>
      </x:c>
      <x:c r="E19" s="13" t="str">
        <x:v>财务经理</x:v>
      </x:c>
      <x:c r="F19" s="13" t="str">
        <x:v>实际任务需再拆到单据和系统动作</x:v>
      </x:c>
      <x:c r="G19" s="13" t="str">
        <x:v>年度及流程变动时</x:v>
      </x:c>
      <x:c r="H19" s="13" t="str">
        <x:v>未开始</x:v>
      </x:c>
    </x:row>
  </x:sheetData>
  <x:mergeCells>
    <x:mergeCell ref="A1:H1"/>
    <x:mergeCell ref="A2:H2"/>
  </x:mergeCells>
  <x:conditionalFormatting sqref="H6:H19">
    <x:cfRule type="containsText" dxfId="3" priority="1" operator="containsText" text="已完成"/>
    <x:cfRule type="containsText" dxfId="4" priority="2" operator="containsText" text="逾期"/>
    <x:cfRule type="containsText" dxfId="5" priority="3" operator="containsText" text="未开始"/>
  </x:conditionalFormatting>
  <x:dataValidations count="1">
    <x:dataValidation type="list" sqref="H6:H19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99cb6140774e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18" hidden="0" customWidth="1"/>
    <x:col min="5" max="5" width="15" hidden="0" customWidth="1"/>
    <x:col min="6" max="6" width="16" hidden="0" customWidth="1"/>
    <x:col min="7" max="7" width="24" hidden="0" customWidth="1"/>
    <x:col min="8" max="8" width="34" hidden="0" customWidth="1"/>
    <x:col min="9" max="9" width="13" hidden="0" customWidth="1"/>
    <x:col min="10" max="10" width="30" hidden="0" customWidth="1"/>
    <x:col min="11" max="11" width="11" hidden="0" customWidth="1"/>
    <x:col min="12" max="12" width="14" hidden="0" customWidth="1"/>
    <x:col min="13" max="13" width="13" hidden="0" customWidth="1"/>
  </x:cols>
  <x:sheetData>
    <x:row r="1" ht="30" customHeight="1">
      <x:c r="A1" s="1" t="str">
        <x:v>月结任务表</x:v>
      </x:c>
    </x:row>
    <x:row r="2" ht="25" customHeight="1">
      <x:c r="A2" s="3" t="str">
        <x:v>黄色区域由团队更新；主管只看关键路径、逾期和异常。</x:v>
      </x:c>
    </x:row>
    <x:row r="5" ht="36" customHeight="1">
      <x:c r="A5" s="9" t="str">
        <x:v>编号</x:v>
      </x:c>
      <x:c r="B5" s="9" t="str">
        <x:v>阶段</x:v>
      </x:c>
      <x:c r="C5" s="9" t="str">
        <x:v>任务</x:v>
      </x:c>
      <x:c r="D5" s="9" t="str">
        <x:v>R</x:v>
      </x:c>
      <x:c r="E5" s="9" t="str">
        <x:v>A</x:v>
      </x:c>
      <x:c r="F5" s="9" t="str">
        <x:v>截止时间</x:v>
      </x:c>
      <x:c r="G5" s="9" t="str">
        <x:v>前置任务</x:v>
      </x:c>
      <x:c r="H5" s="9" t="str">
        <x:v>完成证据</x:v>
      </x:c>
      <x:c r="I5" s="9" t="str">
        <x:v>是否阻断</x:v>
      </x:c>
      <x:c r="J5" s="9" t="str">
        <x:v>异常说明</x:v>
      </x:c>
      <x:c r="K5" s="9" t="str">
        <x:v>状态</x:v>
      </x:c>
      <x:c r="L5" s="9" t="str">
        <x:v>实际完成日</x:v>
      </x:c>
      <x:c r="M5" s="9" t="str">
        <x:v>复核人</x:v>
      </x:c>
    </x:row>
    <x:row r="6">
      <x:c r="A6" s="13" t="str">
        <x:v>CL-001</x:v>
      </x:c>
      <x:c r="B6" s="13" t="str">
        <x:v>T-5</x:v>
      </x:c>
      <x:c r="C6" s="13" t="str">
        <x:v>发布业务截止和月结任务；识别重大合同、促销、采购和人员事项</x:v>
      </x:c>
      <x:c r="D6" s="13" t="str">
        <x:v>财务主管</x:v>
      </x:c>
      <x:c r="E6" s="13" t="str">
        <x:v>财务主管</x:v>
      </x:c>
      <x:c r="F6" s="17"/>
      <x:c r="G6" s="18" t="str"/>
      <x:c r="H6" s="18" t="str">
        <x:v>Close Calendar、风险清单</x:v>
      </x:c>
      <x:c r="I6" s="18" t="str">
        <x:v>是</x:v>
      </x:c>
      <x:c r="J6" s="18" t="str"/>
      <x:c r="K6" s="18" t="str">
        <x:v>未开始</x:v>
      </x:c>
      <x:c r="L6" s="19"/>
      <x:c r="M6" s="18" t="str"/>
    </x:row>
    <x:row r="7">
      <x:c r="A7" s="13" t="str">
        <x:v>CL-002</x:v>
      </x:c>
      <x:c r="B7" s="13" t="str">
        <x:v>T-3</x:v>
      </x:c>
      <x:c r="C7" s="13" t="str">
        <x:v>采购暂估、销售验收、仓库负库存首轮检查</x:v>
      </x:c>
      <x:c r="D7" s="13" t="str">
        <x:v>采购/销售/仓库/AP/AR</x:v>
      </x:c>
      <x:c r="E7" s="13" t="str">
        <x:v>财务主管</x:v>
      </x:c>
      <x:c r="F7" s="17"/>
      <x:c r="G7" s="18" t="str"/>
      <x:c r="H7" s="18" t="str">
        <x:v>缺口明细、第一次书面催收</x:v>
      </x:c>
      <x:c r="I7" s="18" t="str">
        <x:v>是</x:v>
      </x:c>
      <x:c r="J7" s="18" t="str"/>
      <x:c r="K7" s="18" t="str">
        <x:v>未开始</x:v>
      </x:c>
      <x:c r="L7" s="19"/>
      <x:c r="M7" s="18" t="str"/>
    </x:row>
    <x:row r="8">
      <x:c r="A8" s="13" t="str">
        <x:v>CL-003</x:v>
      </x:c>
      <x:c r="B8" s="13" t="str">
        <x:v>T-2</x:v>
      </x:c>
      <x:c r="C8" s="13" t="str">
        <x:v>未开票收入、回款认领、工单和接口预检</x:v>
      </x:c>
      <x:c r="D8" s="13" t="str">
        <x:v>AR/成本/生产/IT</x:v>
      </x:c>
      <x:c r="E8" s="13" t="str">
        <x:v>财务主管</x:v>
      </x:c>
      <x:c r="F8" s="17"/>
      <x:c r="G8" s="18" t="str"/>
      <x:c r="H8" s="18" t="str">
        <x:v>关键路径状态表</x:v>
      </x:c>
      <x:c r="I8" s="18" t="str">
        <x:v>是</x:v>
      </x:c>
      <x:c r="J8" s="18" t="str"/>
      <x:c r="K8" s="18" t="str">
        <x:v>未开始</x:v>
      </x:c>
      <x:c r="L8" s="19"/>
      <x:c r="M8" s="18" t="str"/>
    </x:row>
    <x:row r="9">
      <x:c r="A9" s="13" t="str">
        <x:v>CL-004</x:v>
      </x:c>
      <x:c r="B9" s="13" t="str">
        <x:v>T-1</x:v>
      </x:c>
      <x:c r="C9" s="13" t="str">
        <x:v>工资锁定、盘点、负库存和未关工单</x:v>
      </x:c>
      <x:c r="D9" s="13" t="str">
        <x:v>HR/仓库/生产/成本</x:v>
      </x:c>
      <x:c r="E9" s="13" t="str">
        <x:v>财务主管</x:v>
      </x:c>
      <x:c r="F9" s="17"/>
      <x:c r="G9" s="18" t="str"/>
      <x:c r="H9" s="18" t="str">
        <x:v>最终业务输入、例外申请</x:v>
      </x:c>
      <x:c r="I9" s="18" t="str">
        <x:v>是</x:v>
      </x:c>
      <x:c r="J9" s="18" t="str"/>
      <x:c r="K9" s="18" t="str">
        <x:v>未开始</x:v>
      </x:c>
      <x:c r="L9" s="19"/>
      <x:c r="M9" s="18" t="str"/>
    </x:row>
    <x:row r="10">
      <x:c r="A10" s="13" t="str">
        <x:v>CL-005</x:v>
      </x:c>
      <x:c r="B10" s="13" t="str">
        <x:v>T</x:v>
      </x:c>
      <x:c r="C10" s="13" t="str">
        <x:v>业务截止、库存锁定、例外批准</x:v>
      </x:c>
      <x:c r="D10" s="13" t="str">
        <x:v>业务/仓库/生产</x:v>
      </x:c>
      <x:c r="E10" s="13" t="str">
        <x:v>财务主管</x:v>
      </x:c>
      <x:c r="F10" s="17"/>
      <x:c r="G10" s="18" t="str"/>
      <x:c r="H10" s="18" t="str">
        <x:v>截止确认、例外清单</x:v>
      </x:c>
      <x:c r="I10" s="18" t="str">
        <x:v>是</x:v>
      </x:c>
      <x:c r="J10" s="18" t="str"/>
      <x:c r="K10" s="18" t="str">
        <x:v>未开始</x:v>
      </x:c>
      <x:c r="L10" s="19"/>
      <x:c r="M10" s="18" t="str"/>
    </x:row>
    <x:row r="11">
      <x:c r="A11" s="13" t="str">
        <x:v>CL-006</x:v>
      </x:c>
      <x:c r="B11" s="13" t="str">
        <x:v>T+1</x:v>
      </x:c>
      <x:c r="C11" s="13" t="str">
        <x:v>AP、AR、资金、资产子模块完成</x:v>
      </x:c>
      <x:c r="D11" s="13" t="str">
        <x:v>各模块会计</x:v>
      </x:c>
      <x:c r="E11" s="13" t="str">
        <x:v>财务主管</x:v>
      </x:c>
      <x:c r="F11" s="17"/>
      <x:c r="G11" s="18" t="str"/>
      <x:c r="H11" s="18" t="str">
        <x:v>模块余额、对账和异常</x:v>
      </x:c>
      <x:c r="I11" s="18" t="str">
        <x:v>是</x:v>
      </x:c>
      <x:c r="J11" s="18" t="str"/>
      <x:c r="K11" s="18" t="str">
        <x:v>未开始</x:v>
      </x:c>
      <x:c r="L11" s="19"/>
      <x:c r="M11" s="18" t="str"/>
    </x:row>
    <x:row r="12">
      <x:c r="A12" s="13" t="str">
        <x:v>CL-007</x:v>
      </x:c>
      <x:c r="B12" s="13" t="str">
        <x:v>T+2</x:v>
      </x:c>
      <x:c r="C12" s="13" t="str">
        <x:v>成本、税务测算、GL调整</x:v>
      </x:c>
      <x:c r="D12" s="13" t="str">
        <x:v>成本/税务/总账</x:v>
      </x:c>
      <x:c r="E12" s="13" t="str">
        <x:v>财务主管</x:v>
      </x:c>
      <x:c r="F12" s="17"/>
      <x:c r="G12" s="18" t="str"/>
      <x:c r="H12" s="18" t="str">
        <x:v>成本结果、税务桥、调整清单</x:v>
      </x:c>
      <x:c r="I12" s="18" t="str">
        <x:v>是</x:v>
      </x:c>
      <x:c r="J12" s="18" t="str"/>
      <x:c r="K12" s="18" t="str">
        <x:v>未开始</x:v>
      </x:c>
      <x:c r="L12" s="19"/>
      <x:c r="M12" s="18" t="str"/>
    </x:row>
    <x:row r="13">
      <x:c r="A13" s="13" t="str">
        <x:v>CL-008</x:v>
      </x:c>
      <x:c r="B13" s="13" t="str">
        <x:v>T+3</x:v>
      </x:c>
      <x:c r="C13" s="13" t="str">
        <x:v>报表勾稽、Issue关闭、锁账</x:v>
      </x:c>
      <x:c r="D13" s="13" t="str">
        <x:v>总账/财务主管</x:v>
      </x:c>
      <x:c r="E13" s="13" t="str">
        <x:v>财务主管</x:v>
      </x:c>
      <x:c r="F13" s="17"/>
      <x:c r="G13" s="18" t="str"/>
      <x:c r="H13" s="18" t="str">
        <x:v>最终报表、签字清单、未决事项批准</x:v>
      </x:c>
      <x:c r="I13" s="18" t="str">
        <x:v>是</x:v>
      </x:c>
      <x:c r="J13" s="18" t="str"/>
      <x:c r="K13" s="18" t="str">
        <x:v>未开始</x:v>
      </x:c>
      <x:c r="L13" s="19"/>
      <x:c r="M13" s="18" t="str"/>
    </x:row>
    <x:row r="14">
      <x:c r="A14" s="13" t="str">
        <x:v>CL-009</x:v>
      </x:c>
      <x:c r="B14" s="13" t="str">
        <x:v>T-5</x:v>
      </x:c>
      <x:c r="C14" s="13" t="str">
        <x:v>发布业务截止和月结任务；识别重大合同、促销、采购和人员事项</x:v>
      </x:c>
      <x:c r="D14" s="13" t="str">
        <x:v>财务主管</x:v>
      </x:c>
      <x:c r="E14" s="13" t="str">
        <x:v>财务主管</x:v>
      </x:c>
      <x:c r="F14" s="17"/>
      <x:c r="G14" s="18" t="str"/>
      <x:c r="H14" s="18" t="str">
        <x:v>Close Calendar、风险清单</x:v>
      </x:c>
      <x:c r="I14" s="18" t="str">
        <x:v>是</x:v>
      </x:c>
      <x:c r="J14" s="18" t="str"/>
      <x:c r="K14" s="18" t="str">
        <x:v>未开始</x:v>
      </x:c>
      <x:c r="L14" s="19"/>
      <x:c r="M14" s="18" t="str"/>
    </x:row>
    <x:row r="15">
      <x:c r="A15" s="13" t="str">
        <x:v>CL-010</x:v>
      </x:c>
      <x:c r="B15" s="13" t="str">
        <x:v>T-3</x:v>
      </x:c>
      <x:c r="C15" s="13" t="str">
        <x:v>采购暂估、销售验收、仓库负库存首轮检查</x:v>
      </x:c>
      <x:c r="D15" s="13" t="str">
        <x:v>采购/销售/仓库/AP/AR</x:v>
      </x:c>
      <x:c r="E15" s="13" t="str">
        <x:v>财务主管</x:v>
      </x:c>
      <x:c r="F15" s="17"/>
      <x:c r="G15" s="18" t="str"/>
      <x:c r="H15" s="18" t="str">
        <x:v>缺口明细、第一次书面催收</x:v>
      </x:c>
      <x:c r="I15" s="18" t="str">
        <x:v>是</x:v>
      </x:c>
      <x:c r="J15" s="18" t="str"/>
      <x:c r="K15" s="18" t="str">
        <x:v>未开始</x:v>
      </x:c>
      <x:c r="L15" s="19"/>
      <x:c r="M15" s="18" t="str"/>
    </x:row>
    <x:row r="16">
      <x:c r="A16" s="13" t="str">
        <x:v>CL-011</x:v>
      </x:c>
      <x:c r="B16" s="13" t="str">
        <x:v>T-2</x:v>
      </x:c>
      <x:c r="C16" s="13" t="str">
        <x:v>未开票收入、回款认领、工单和接口预检</x:v>
      </x:c>
      <x:c r="D16" s="13" t="str">
        <x:v>AR/成本/生产/IT</x:v>
      </x:c>
      <x:c r="E16" s="13" t="str">
        <x:v>财务主管</x:v>
      </x:c>
      <x:c r="F16" s="17"/>
      <x:c r="G16" s="18" t="str"/>
      <x:c r="H16" s="18" t="str">
        <x:v>关键路径状态表</x:v>
      </x:c>
      <x:c r="I16" s="18" t="str">
        <x:v>是</x:v>
      </x:c>
      <x:c r="J16" s="18" t="str"/>
      <x:c r="K16" s="18" t="str">
        <x:v>未开始</x:v>
      </x:c>
      <x:c r="L16" s="19"/>
      <x:c r="M16" s="18" t="str"/>
    </x:row>
    <x:row r="17">
      <x:c r="A17" s="13" t="str">
        <x:v>CL-012</x:v>
      </x:c>
      <x:c r="B17" s="13" t="str">
        <x:v>T-1</x:v>
      </x:c>
      <x:c r="C17" s="13" t="str">
        <x:v>工资锁定、盘点、负库存和未关工单</x:v>
      </x:c>
      <x:c r="D17" s="13" t="str">
        <x:v>HR/仓库/生产/成本</x:v>
      </x:c>
      <x:c r="E17" s="13" t="str">
        <x:v>财务主管</x:v>
      </x:c>
      <x:c r="F17" s="17"/>
      <x:c r="G17" s="18" t="str"/>
      <x:c r="H17" s="18" t="str">
        <x:v>最终业务输入、例外申请</x:v>
      </x:c>
      <x:c r="I17" s="18" t="str">
        <x:v>是</x:v>
      </x:c>
      <x:c r="J17" s="18" t="str"/>
      <x:c r="K17" s="18" t="str">
        <x:v>未开始</x:v>
      </x:c>
      <x:c r="L17" s="19"/>
      <x:c r="M17" s="18" t="str"/>
    </x:row>
    <x:row r="18">
      <x:c r="A18" s="13" t="str">
        <x:v>CL-013</x:v>
      </x:c>
      <x:c r="B18" s="13" t="str">
        <x:v>T</x:v>
      </x:c>
      <x:c r="C18" s="13" t="str">
        <x:v>业务截止、库存锁定、例外批准</x:v>
      </x:c>
      <x:c r="D18" s="13" t="str">
        <x:v>业务/仓库/生产</x:v>
      </x:c>
      <x:c r="E18" s="13" t="str">
        <x:v>财务主管</x:v>
      </x:c>
      <x:c r="F18" s="17"/>
      <x:c r="G18" s="18" t="str"/>
      <x:c r="H18" s="18" t="str">
        <x:v>截止确认、例外清单</x:v>
      </x:c>
      <x:c r="I18" s="18" t="str">
        <x:v>是</x:v>
      </x:c>
      <x:c r="J18" s="18" t="str"/>
      <x:c r="K18" s="18" t="str">
        <x:v>未开始</x:v>
      </x:c>
      <x:c r="L18" s="19"/>
      <x:c r="M18" s="18" t="str"/>
    </x:row>
    <x:row r="19">
      <x:c r="A19" s="13" t="str">
        <x:v>CL-014</x:v>
      </x:c>
      <x:c r="B19" s="13" t="str">
        <x:v>T+1</x:v>
      </x:c>
      <x:c r="C19" s="13" t="str">
        <x:v>AP、AR、资金、资产子模块完成</x:v>
      </x:c>
      <x:c r="D19" s="13" t="str">
        <x:v>各模块会计</x:v>
      </x:c>
      <x:c r="E19" s="13" t="str">
        <x:v>财务主管</x:v>
      </x:c>
      <x:c r="F19" s="17"/>
      <x:c r="G19" s="18" t="str"/>
      <x:c r="H19" s="18" t="str">
        <x:v>模块余额、对账和异常</x:v>
      </x:c>
      <x:c r="I19" s="18" t="str">
        <x:v>是</x:v>
      </x:c>
      <x:c r="J19" s="18" t="str"/>
      <x:c r="K19" s="18" t="str">
        <x:v>未开始</x:v>
      </x:c>
      <x:c r="L19" s="19"/>
      <x:c r="M19" s="18" t="str"/>
    </x:row>
    <x:row r="20">
      <x:c r="A20" s="13" t="str">
        <x:v>CL-015</x:v>
      </x:c>
      <x:c r="B20" s="13" t="str">
        <x:v>T+2</x:v>
      </x:c>
      <x:c r="C20" s="13" t="str">
        <x:v>成本、税务测算、GL调整</x:v>
      </x:c>
      <x:c r="D20" s="13" t="str">
        <x:v>成本/税务/总账</x:v>
      </x:c>
      <x:c r="E20" s="13" t="str">
        <x:v>财务主管</x:v>
      </x:c>
      <x:c r="F20" s="17"/>
      <x:c r="G20" s="18" t="str"/>
      <x:c r="H20" s="18" t="str">
        <x:v>成本结果、税务桥、调整清单</x:v>
      </x:c>
      <x:c r="I20" s="18" t="str">
        <x:v>是</x:v>
      </x:c>
      <x:c r="J20" s="18" t="str"/>
      <x:c r="K20" s="18" t="str">
        <x:v>未开始</x:v>
      </x:c>
      <x:c r="L20" s="19"/>
      <x:c r="M20" s="18" t="str"/>
    </x:row>
    <x:row r="21">
      <x:c r="A21" s="13" t="str">
        <x:v>CL-016</x:v>
      </x:c>
      <x:c r="B21" s="13" t="str">
        <x:v>T+3</x:v>
      </x:c>
      <x:c r="C21" s="13" t="str">
        <x:v>报表勾稽、Issue关闭、锁账</x:v>
      </x:c>
      <x:c r="D21" s="13" t="str">
        <x:v>总账/财务主管</x:v>
      </x:c>
      <x:c r="E21" s="13" t="str">
        <x:v>财务主管</x:v>
      </x:c>
      <x:c r="F21" s="17"/>
      <x:c r="G21" s="18" t="str"/>
      <x:c r="H21" s="18" t="str">
        <x:v>最终报表、签字清单、未决事项批准</x:v>
      </x:c>
      <x:c r="I21" s="18" t="str">
        <x:v>是</x:v>
      </x:c>
      <x:c r="J21" s="18" t="str"/>
      <x:c r="K21" s="18" t="str">
        <x:v>未开始</x:v>
      </x:c>
      <x:c r="L21" s="19"/>
      <x:c r="M21" s="18" t="str"/>
    </x:row>
    <x:row r="22">
      <x:c r="A22" s="13" t="str">
        <x:v>CL-017</x:v>
      </x:c>
      <x:c r="B22" s="13" t="str">
        <x:v>T-5</x:v>
      </x:c>
      <x:c r="C22" s="13" t="str">
        <x:v>发布业务截止和月结任务；识别重大合同、促销、采购和人员事项</x:v>
      </x:c>
      <x:c r="D22" s="13" t="str">
        <x:v>财务主管</x:v>
      </x:c>
      <x:c r="E22" s="13" t="str">
        <x:v>财务主管</x:v>
      </x:c>
      <x:c r="F22" s="17"/>
      <x:c r="G22" s="18" t="str"/>
      <x:c r="H22" s="18" t="str">
        <x:v>Close Calendar、风险清单</x:v>
      </x:c>
      <x:c r="I22" s="18" t="str">
        <x:v>是</x:v>
      </x:c>
      <x:c r="J22" s="18" t="str"/>
      <x:c r="K22" s="18" t="str">
        <x:v>未开始</x:v>
      </x:c>
      <x:c r="L22" s="19"/>
      <x:c r="M22" s="18" t="str"/>
    </x:row>
    <x:row r="23">
      <x:c r="A23" s="13" t="str">
        <x:v>CL-018</x:v>
      </x:c>
      <x:c r="B23" s="13" t="str">
        <x:v>T-3</x:v>
      </x:c>
      <x:c r="C23" s="13" t="str">
        <x:v>采购暂估、销售验收、仓库负库存首轮检查</x:v>
      </x:c>
      <x:c r="D23" s="13" t="str">
        <x:v>采购/销售/仓库/AP/AR</x:v>
      </x:c>
      <x:c r="E23" s="13" t="str">
        <x:v>财务主管</x:v>
      </x:c>
      <x:c r="F23" s="17"/>
      <x:c r="G23" s="18" t="str"/>
      <x:c r="H23" s="18" t="str">
        <x:v>缺口明细、第一次书面催收</x:v>
      </x:c>
      <x:c r="I23" s="18" t="str">
        <x:v>是</x:v>
      </x:c>
      <x:c r="J23" s="18" t="str"/>
      <x:c r="K23" s="18" t="str">
        <x:v>未开始</x:v>
      </x:c>
      <x:c r="L23" s="19"/>
      <x:c r="M23" s="18" t="str"/>
    </x:row>
    <x:row r="24">
      <x:c r="A24" s="13" t="str">
        <x:v>CL-019</x:v>
      </x:c>
      <x:c r="B24" s="13" t="str">
        <x:v>T-2</x:v>
      </x:c>
      <x:c r="C24" s="13" t="str">
        <x:v>未开票收入、回款认领、工单和接口预检</x:v>
      </x:c>
      <x:c r="D24" s="13" t="str">
        <x:v>AR/成本/生产/IT</x:v>
      </x:c>
      <x:c r="E24" s="13" t="str">
        <x:v>财务主管</x:v>
      </x:c>
      <x:c r="F24" s="17"/>
      <x:c r="G24" s="18" t="str"/>
      <x:c r="H24" s="18" t="str">
        <x:v>关键路径状态表</x:v>
      </x:c>
      <x:c r="I24" s="18" t="str">
        <x:v>是</x:v>
      </x:c>
      <x:c r="J24" s="18" t="str"/>
      <x:c r="K24" s="18" t="str">
        <x:v>未开始</x:v>
      </x:c>
      <x:c r="L24" s="19"/>
      <x:c r="M24" s="18" t="str"/>
    </x:row>
    <x:row r="25">
      <x:c r="A25" s="13" t="str">
        <x:v>CL-020</x:v>
      </x:c>
      <x:c r="B25" s="13" t="str">
        <x:v>T-1</x:v>
      </x:c>
      <x:c r="C25" s="13" t="str">
        <x:v>工资锁定、盘点、负库存和未关工单</x:v>
      </x:c>
      <x:c r="D25" s="13" t="str">
        <x:v>HR/仓库/生产/成本</x:v>
      </x:c>
      <x:c r="E25" s="13" t="str">
        <x:v>财务主管</x:v>
      </x:c>
      <x:c r="F25" s="17"/>
      <x:c r="G25" s="18" t="str"/>
      <x:c r="H25" s="18" t="str">
        <x:v>最终业务输入、例外申请</x:v>
      </x:c>
      <x:c r="I25" s="18" t="str">
        <x:v>是</x:v>
      </x:c>
      <x:c r="J25" s="18" t="str"/>
      <x:c r="K25" s="18" t="str">
        <x:v>未开始</x:v>
      </x:c>
      <x:c r="L25" s="19"/>
      <x:c r="M25" s="18" t="str"/>
    </x:row>
    <x:row r="26">
      <x:c r="A26" s="13" t="str">
        <x:v>CL-021</x:v>
      </x:c>
      <x:c r="B26" s="13" t="str">
        <x:v>T</x:v>
      </x:c>
      <x:c r="C26" s="13" t="str">
        <x:v>业务截止、库存锁定、例外批准</x:v>
      </x:c>
      <x:c r="D26" s="13" t="str">
        <x:v>业务/仓库/生产</x:v>
      </x:c>
      <x:c r="E26" s="13" t="str">
        <x:v>财务主管</x:v>
      </x:c>
      <x:c r="F26" s="17"/>
      <x:c r="G26" s="18" t="str"/>
      <x:c r="H26" s="18" t="str">
        <x:v>截止确认、例外清单</x:v>
      </x:c>
      <x:c r="I26" s="18" t="str">
        <x:v>是</x:v>
      </x:c>
      <x:c r="J26" s="18" t="str"/>
      <x:c r="K26" s="18" t="str">
        <x:v>未开始</x:v>
      </x:c>
      <x:c r="L26" s="19"/>
      <x:c r="M26" s="18" t="str"/>
    </x:row>
    <x:row r="27">
      <x:c r="A27" s="13" t="str">
        <x:v>CL-022</x:v>
      </x:c>
      <x:c r="B27" s="13" t="str">
        <x:v>T+1</x:v>
      </x:c>
      <x:c r="C27" s="13" t="str">
        <x:v>AP、AR、资金、资产子模块完成</x:v>
      </x:c>
      <x:c r="D27" s="13" t="str">
        <x:v>各模块会计</x:v>
      </x:c>
      <x:c r="E27" s="13" t="str">
        <x:v>财务主管</x:v>
      </x:c>
      <x:c r="F27" s="17"/>
      <x:c r="G27" s="18" t="str"/>
      <x:c r="H27" s="18" t="str">
        <x:v>模块余额、对账和异常</x:v>
      </x:c>
      <x:c r="I27" s="18" t="str">
        <x:v>是</x:v>
      </x:c>
      <x:c r="J27" s="18" t="str"/>
      <x:c r="K27" s="18" t="str">
        <x:v>未开始</x:v>
      </x:c>
      <x:c r="L27" s="19"/>
      <x:c r="M27" s="18" t="str"/>
    </x:row>
    <x:row r="28">
      <x:c r="A28" s="13" t="str">
        <x:v>CL-023</x:v>
      </x:c>
      <x:c r="B28" s="13" t="str">
        <x:v>T+2</x:v>
      </x:c>
      <x:c r="C28" s="13" t="str">
        <x:v>成本、税务测算、GL调整</x:v>
      </x:c>
      <x:c r="D28" s="13" t="str">
        <x:v>成本/税务/总账</x:v>
      </x:c>
      <x:c r="E28" s="13" t="str">
        <x:v>财务主管</x:v>
      </x:c>
      <x:c r="F28" s="17"/>
      <x:c r="G28" s="18" t="str"/>
      <x:c r="H28" s="18" t="str">
        <x:v>成本结果、税务桥、调整清单</x:v>
      </x:c>
      <x:c r="I28" s="18" t="str">
        <x:v>是</x:v>
      </x:c>
      <x:c r="J28" s="18" t="str"/>
      <x:c r="K28" s="18" t="str">
        <x:v>未开始</x:v>
      </x:c>
      <x:c r="L28" s="19"/>
      <x:c r="M28" s="18" t="str"/>
    </x:row>
    <x:row r="29">
      <x:c r="A29" s="13" t="str">
        <x:v>CL-024</x:v>
      </x:c>
      <x:c r="B29" s="13" t="str">
        <x:v>T+3</x:v>
      </x:c>
      <x:c r="C29" s="13" t="str">
        <x:v>报表勾稽、Issue关闭、锁账</x:v>
      </x:c>
      <x:c r="D29" s="13" t="str">
        <x:v>总账/财务主管</x:v>
      </x:c>
      <x:c r="E29" s="13" t="str">
        <x:v>财务主管</x:v>
      </x:c>
      <x:c r="F29" s="17"/>
      <x:c r="G29" s="18" t="str"/>
      <x:c r="H29" s="18" t="str">
        <x:v>最终报表、签字清单、未决事项批准</x:v>
      </x:c>
      <x:c r="I29" s="18" t="str">
        <x:v>是</x:v>
      </x:c>
      <x:c r="J29" s="18" t="str"/>
      <x:c r="K29" s="18" t="str">
        <x:v>未开始</x:v>
      </x:c>
      <x:c r="L29" s="19"/>
      <x:c r="M29" s="18" t="str"/>
    </x:row>
    <x:row r="30">
      <x:c r="A30" s="13" t="str">
        <x:v>CL-025</x:v>
      </x:c>
      <x:c r="B30" s="13" t="str">
        <x:v>T-5</x:v>
      </x:c>
      <x:c r="C30" s="13" t="str">
        <x:v>发布业务截止和月结任务；识别重大合同、促销、采购和人员事项</x:v>
      </x:c>
      <x:c r="D30" s="13" t="str">
        <x:v>财务主管</x:v>
      </x:c>
      <x:c r="E30" s="13" t="str">
        <x:v>财务主管</x:v>
      </x:c>
      <x:c r="F30" s="17"/>
      <x:c r="G30" s="18" t="str"/>
      <x:c r="H30" s="18" t="str">
        <x:v>Close Calendar、风险清单</x:v>
      </x:c>
      <x:c r="I30" s="18" t="str">
        <x:v>是</x:v>
      </x:c>
      <x:c r="J30" s="18" t="str"/>
      <x:c r="K30" s="18" t="str">
        <x:v>未开始</x:v>
      </x:c>
      <x:c r="L30" s="19"/>
      <x:c r="M30" s="18" t="str"/>
    </x:row>
    <x:row r="31">
      <x:c r="A31" s="13" t="str">
        <x:v>CL-026</x:v>
      </x:c>
      <x:c r="B31" s="13" t="str">
        <x:v>T-3</x:v>
      </x:c>
      <x:c r="C31" s="13" t="str">
        <x:v>采购暂估、销售验收、仓库负库存首轮检查</x:v>
      </x:c>
      <x:c r="D31" s="13" t="str">
        <x:v>采购/销售/仓库/AP/AR</x:v>
      </x:c>
      <x:c r="E31" s="13" t="str">
        <x:v>财务主管</x:v>
      </x:c>
      <x:c r="F31" s="17"/>
      <x:c r="G31" s="18" t="str"/>
      <x:c r="H31" s="18" t="str">
        <x:v>缺口明细、第一次书面催收</x:v>
      </x:c>
      <x:c r="I31" s="18" t="str">
        <x:v>是</x:v>
      </x:c>
      <x:c r="J31" s="18" t="str"/>
      <x:c r="K31" s="18" t="str">
        <x:v>未开始</x:v>
      </x:c>
      <x:c r="L31" s="19"/>
      <x:c r="M31" s="18" t="str"/>
    </x:row>
    <x:row r="32">
      <x:c r="A32" s="13" t="str">
        <x:v>CL-027</x:v>
      </x:c>
      <x:c r="B32" s="13" t="str">
        <x:v>T-2</x:v>
      </x:c>
      <x:c r="C32" s="13" t="str">
        <x:v>未开票收入、回款认领、工单和接口预检</x:v>
      </x:c>
      <x:c r="D32" s="13" t="str">
        <x:v>AR/成本/生产/IT</x:v>
      </x:c>
      <x:c r="E32" s="13" t="str">
        <x:v>财务主管</x:v>
      </x:c>
      <x:c r="F32" s="17"/>
      <x:c r="G32" s="18" t="str"/>
      <x:c r="H32" s="18" t="str">
        <x:v>关键路径状态表</x:v>
      </x:c>
      <x:c r="I32" s="18" t="str">
        <x:v>是</x:v>
      </x:c>
      <x:c r="J32" s="18" t="str"/>
      <x:c r="K32" s="18" t="str">
        <x:v>未开始</x:v>
      </x:c>
      <x:c r="L32" s="19"/>
      <x:c r="M32" s="18" t="str"/>
    </x:row>
    <x:row r="33">
      <x:c r="A33" s="13" t="str">
        <x:v>CL-028</x:v>
      </x:c>
      <x:c r="B33" s="13" t="str">
        <x:v>T-1</x:v>
      </x:c>
      <x:c r="C33" s="13" t="str">
        <x:v>工资锁定、盘点、负库存和未关工单</x:v>
      </x:c>
      <x:c r="D33" s="13" t="str">
        <x:v>HR/仓库/生产/成本</x:v>
      </x:c>
      <x:c r="E33" s="13" t="str">
        <x:v>财务主管</x:v>
      </x:c>
      <x:c r="F33" s="17"/>
      <x:c r="G33" s="18" t="str"/>
      <x:c r="H33" s="18" t="str">
        <x:v>最终业务输入、例外申请</x:v>
      </x:c>
      <x:c r="I33" s="18" t="str">
        <x:v>是</x:v>
      </x:c>
      <x:c r="J33" s="18" t="str"/>
      <x:c r="K33" s="18" t="str">
        <x:v>未开始</x:v>
      </x:c>
      <x:c r="L33" s="19"/>
      <x:c r="M33" s="18" t="str"/>
    </x:row>
    <x:row r="34">
      <x:c r="A34" s="13" t="str">
        <x:v>CL-029</x:v>
      </x:c>
      <x:c r="B34" s="13" t="str">
        <x:v>T</x:v>
      </x:c>
      <x:c r="C34" s="13" t="str">
        <x:v>业务截止、库存锁定、例外批准</x:v>
      </x:c>
      <x:c r="D34" s="13" t="str">
        <x:v>业务/仓库/生产</x:v>
      </x:c>
      <x:c r="E34" s="13" t="str">
        <x:v>财务主管</x:v>
      </x:c>
      <x:c r="F34" s="17"/>
      <x:c r="G34" s="18" t="str"/>
      <x:c r="H34" s="18" t="str">
        <x:v>截止确认、例外清单</x:v>
      </x:c>
      <x:c r="I34" s="18" t="str">
        <x:v>是</x:v>
      </x:c>
      <x:c r="J34" s="18" t="str"/>
      <x:c r="K34" s="18" t="str">
        <x:v>未开始</x:v>
      </x:c>
      <x:c r="L34" s="19"/>
      <x:c r="M34" s="18" t="str"/>
    </x:row>
    <x:row r="35">
      <x:c r="A35" s="13" t="str">
        <x:v>CL-030</x:v>
      </x:c>
      <x:c r="B35" s="13" t="str">
        <x:v>T+1</x:v>
      </x:c>
      <x:c r="C35" s="13" t="str">
        <x:v>AP、AR、资金、资产子模块完成</x:v>
      </x:c>
      <x:c r="D35" s="13" t="str">
        <x:v>各模块会计</x:v>
      </x:c>
      <x:c r="E35" s="13" t="str">
        <x:v>财务主管</x:v>
      </x:c>
      <x:c r="F35" s="17"/>
      <x:c r="G35" s="18" t="str"/>
      <x:c r="H35" s="18" t="str">
        <x:v>模块余额、对账和异常</x:v>
      </x:c>
      <x:c r="I35" s="18" t="str">
        <x:v>是</x:v>
      </x:c>
      <x:c r="J35" s="18" t="str"/>
      <x:c r="K35" s="18" t="str">
        <x:v>未开始</x:v>
      </x:c>
      <x:c r="L35" s="19"/>
      <x:c r="M35" s="18" t="str"/>
    </x:row>
    <x:row r="36">
      <x:c r="A36" s="13" t="str">
        <x:v>CL-031</x:v>
      </x:c>
      <x:c r="B36" s="13" t="str">
        <x:v>T+2</x:v>
      </x:c>
      <x:c r="C36" s="13" t="str">
        <x:v>成本、税务测算、GL调整</x:v>
      </x:c>
      <x:c r="D36" s="13" t="str">
        <x:v>成本/税务/总账</x:v>
      </x:c>
      <x:c r="E36" s="13" t="str">
        <x:v>财务主管</x:v>
      </x:c>
      <x:c r="F36" s="17"/>
      <x:c r="G36" s="18" t="str"/>
      <x:c r="H36" s="18" t="str">
        <x:v>成本结果、税务桥、调整清单</x:v>
      </x:c>
      <x:c r="I36" s="18" t="str">
        <x:v>否</x:v>
      </x:c>
      <x:c r="J36" s="18" t="str"/>
      <x:c r="K36" s="18" t="str">
        <x:v>未开始</x:v>
      </x:c>
      <x:c r="L36" s="19"/>
      <x:c r="M36" s="18" t="str"/>
    </x:row>
    <x:row r="37">
      <x:c r="A37" s="13" t="str">
        <x:v>CL-032</x:v>
      </x:c>
      <x:c r="B37" s="13" t="str">
        <x:v>T+3</x:v>
      </x:c>
      <x:c r="C37" s="13" t="str">
        <x:v>报表勾稽、Issue关闭、锁账</x:v>
      </x:c>
      <x:c r="D37" s="13" t="str">
        <x:v>总账/财务主管</x:v>
      </x:c>
      <x:c r="E37" s="13" t="str">
        <x:v>财务主管</x:v>
      </x:c>
      <x:c r="F37" s="17"/>
      <x:c r="G37" s="18" t="str"/>
      <x:c r="H37" s="18" t="str">
        <x:v>最终报表、签字清单、未决事项批准</x:v>
      </x:c>
      <x:c r="I37" s="18" t="str">
        <x:v>否</x:v>
      </x:c>
      <x:c r="J37" s="18" t="str"/>
      <x:c r="K37" s="18" t="str">
        <x:v>未开始</x:v>
      </x:c>
      <x:c r="L37" s="19"/>
      <x:c r="M37" s="18" t="str"/>
    </x:row>
    <x:row r="38">
      <x:c r="A38" s="13" t="str">
        <x:v>CL-033</x:v>
      </x:c>
      <x:c r="B38" s="13" t="str">
        <x:v>T-5</x:v>
      </x:c>
      <x:c r="C38" s="13" t="str">
        <x:v>发布业务截止和月结任务；识别重大合同、促销、采购和人员事项</x:v>
      </x:c>
      <x:c r="D38" s="13" t="str">
        <x:v>财务主管</x:v>
      </x:c>
      <x:c r="E38" s="13" t="str">
        <x:v>财务主管</x:v>
      </x:c>
      <x:c r="F38" s="17"/>
      <x:c r="G38" s="18" t="str"/>
      <x:c r="H38" s="18" t="str">
        <x:v>Close Calendar、风险清单</x:v>
      </x:c>
      <x:c r="I38" s="18" t="str">
        <x:v>否</x:v>
      </x:c>
      <x:c r="J38" s="18" t="str"/>
      <x:c r="K38" s="18" t="str">
        <x:v>未开始</x:v>
      </x:c>
      <x:c r="L38" s="19"/>
      <x:c r="M38" s="18" t="str"/>
    </x:row>
    <x:row r="39">
      <x:c r="A39" s="13" t="str">
        <x:v>CL-034</x:v>
      </x:c>
      <x:c r="B39" s="13" t="str">
        <x:v>T-3</x:v>
      </x:c>
      <x:c r="C39" s="13" t="str">
        <x:v>采购暂估、销售验收、仓库负库存首轮检查</x:v>
      </x:c>
      <x:c r="D39" s="13" t="str">
        <x:v>采购/销售/仓库/AP/AR</x:v>
      </x:c>
      <x:c r="E39" s="13" t="str">
        <x:v>财务主管</x:v>
      </x:c>
      <x:c r="F39" s="17"/>
      <x:c r="G39" s="18" t="str"/>
      <x:c r="H39" s="18" t="str">
        <x:v>缺口明细、第一次书面催收</x:v>
      </x:c>
      <x:c r="I39" s="18" t="str">
        <x:v>否</x:v>
      </x:c>
      <x:c r="J39" s="18" t="str"/>
      <x:c r="K39" s="18" t="str">
        <x:v>未开始</x:v>
      </x:c>
      <x:c r="L39" s="19"/>
      <x:c r="M39" s="18" t="str"/>
    </x:row>
    <x:row r="40">
      <x:c r="A40" s="13" t="str">
        <x:v>CL-035</x:v>
      </x:c>
      <x:c r="B40" s="13" t="str">
        <x:v>T-2</x:v>
      </x:c>
      <x:c r="C40" s="13" t="str">
        <x:v>未开票收入、回款认领、工单和接口预检</x:v>
      </x:c>
      <x:c r="D40" s="13" t="str">
        <x:v>AR/成本/生产/IT</x:v>
      </x:c>
      <x:c r="E40" s="13" t="str">
        <x:v>财务主管</x:v>
      </x:c>
      <x:c r="F40" s="17"/>
      <x:c r="G40" s="18" t="str"/>
      <x:c r="H40" s="18" t="str">
        <x:v>关键路径状态表</x:v>
      </x:c>
      <x:c r="I40" s="18" t="str">
        <x:v>否</x:v>
      </x:c>
      <x:c r="J40" s="18" t="str"/>
      <x:c r="K40" s="18" t="str">
        <x:v>未开始</x:v>
      </x:c>
      <x:c r="L40" s="19"/>
      <x:c r="M40" s="18" t="str"/>
    </x:row>
    <x:row r="41">
      <x:c r="A41" s="13" t="str">
        <x:v>CL-036</x:v>
      </x:c>
      <x:c r="B41" s="13" t="str">
        <x:v>T-1</x:v>
      </x:c>
      <x:c r="C41" s="13" t="str">
        <x:v>工资锁定、盘点、负库存和未关工单</x:v>
      </x:c>
      <x:c r="D41" s="13" t="str">
        <x:v>HR/仓库/生产/成本</x:v>
      </x:c>
      <x:c r="E41" s="13" t="str">
        <x:v>财务主管</x:v>
      </x:c>
      <x:c r="F41" s="17"/>
      <x:c r="G41" s="18" t="str"/>
      <x:c r="H41" s="18" t="str">
        <x:v>最终业务输入、例外申请</x:v>
      </x:c>
      <x:c r="I41" s="18" t="str">
        <x:v>否</x:v>
      </x:c>
      <x:c r="J41" s="18" t="str"/>
      <x:c r="K41" s="18" t="str">
        <x:v>未开始</x:v>
      </x:c>
      <x:c r="L41" s="19"/>
      <x:c r="M41" s="18" t="str"/>
    </x:row>
    <x:row r="42">
      <x:c r="A42" s="13" t="str">
        <x:v>CL-037</x:v>
      </x:c>
      <x:c r="B42" s="13" t="str">
        <x:v>T</x:v>
      </x:c>
      <x:c r="C42" s="13" t="str">
        <x:v>业务截止、库存锁定、例外批准</x:v>
      </x:c>
      <x:c r="D42" s="13" t="str">
        <x:v>业务/仓库/生产</x:v>
      </x:c>
      <x:c r="E42" s="13" t="str">
        <x:v>财务主管</x:v>
      </x:c>
      <x:c r="F42" s="17"/>
      <x:c r="G42" s="18" t="str"/>
      <x:c r="H42" s="18" t="str">
        <x:v>截止确认、例外清单</x:v>
      </x:c>
      <x:c r="I42" s="18" t="str">
        <x:v>否</x:v>
      </x:c>
      <x:c r="J42" s="18" t="str"/>
      <x:c r="K42" s="18" t="str">
        <x:v>未开始</x:v>
      </x:c>
      <x:c r="L42" s="19"/>
      <x:c r="M42" s="18" t="str"/>
    </x:row>
    <x:row r="43">
      <x:c r="A43" s="13" t="str">
        <x:v>CL-038</x:v>
      </x:c>
      <x:c r="B43" s="13" t="str">
        <x:v>T+1</x:v>
      </x:c>
      <x:c r="C43" s="13" t="str">
        <x:v>AP、AR、资金、资产子模块完成</x:v>
      </x:c>
      <x:c r="D43" s="13" t="str">
        <x:v>各模块会计</x:v>
      </x:c>
      <x:c r="E43" s="13" t="str">
        <x:v>财务主管</x:v>
      </x:c>
      <x:c r="F43" s="17"/>
      <x:c r="G43" s="18" t="str"/>
      <x:c r="H43" s="18" t="str">
        <x:v>模块余额、对账和异常</x:v>
      </x:c>
      <x:c r="I43" s="18" t="str">
        <x:v>否</x:v>
      </x:c>
      <x:c r="J43" s="18" t="str"/>
      <x:c r="K43" s="18" t="str">
        <x:v>未开始</x:v>
      </x:c>
      <x:c r="L43" s="19"/>
      <x:c r="M43" s="18" t="str"/>
    </x:row>
    <x:row r="44">
      <x:c r="A44" s="13" t="str">
        <x:v>CL-039</x:v>
      </x:c>
      <x:c r="B44" s="13" t="str">
        <x:v>T+2</x:v>
      </x:c>
      <x:c r="C44" s="13" t="str">
        <x:v>成本、税务测算、GL调整</x:v>
      </x:c>
      <x:c r="D44" s="13" t="str">
        <x:v>成本/税务/总账</x:v>
      </x:c>
      <x:c r="E44" s="13" t="str">
        <x:v>财务主管</x:v>
      </x:c>
      <x:c r="F44" s="17"/>
      <x:c r="G44" s="18" t="str"/>
      <x:c r="H44" s="18" t="str">
        <x:v>成本结果、税务桥、调整清单</x:v>
      </x:c>
      <x:c r="I44" s="18" t="str">
        <x:v>否</x:v>
      </x:c>
      <x:c r="J44" s="18" t="str"/>
      <x:c r="K44" s="18" t="str">
        <x:v>未开始</x:v>
      </x:c>
      <x:c r="L44" s="19"/>
      <x:c r="M44" s="18" t="str"/>
    </x:row>
    <x:row r="45">
      <x:c r="A45" s="13" t="str">
        <x:v>CL-040</x:v>
      </x:c>
      <x:c r="B45" s="13" t="str">
        <x:v>T+3</x:v>
      </x:c>
      <x:c r="C45" s="13" t="str">
        <x:v>报表勾稽、Issue关闭、锁账</x:v>
      </x:c>
      <x:c r="D45" s="13" t="str">
        <x:v>总账/财务主管</x:v>
      </x:c>
      <x:c r="E45" s="13" t="str">
        <x:v>财务主管</x:v>
      </x:c>
      <x:c r="F45" s="17"/>
      <x:c r="G45" s="18" t="str"/>
      <x:c r="H45" s="18" t="str">
        <x:v>最终报表、签字清单、未决事项批准</x:v>
      </x:c>
      <x:c r="I45" s="18" t="str">
        <x:v>否</x:v>
      </x:c>
      <x:c r="J45" s="18" t="str"/>
      <x:c r="K45" s="18" t="str">
        <x:v>未开始</x:v>
      </x:c>
      <x:c r="L45" s="19"/>
      <x:c r="M45" s="18" t="str"/>
    </x:row>
  </x:sheetData>
  <x:mergeCells>
    <x:mergeCell ref="A1:M1"/>
    <x:mergeCell ref="A2:M2"/>
  </x:mergeCells>
  <x:conditionalFormatting sqref="K6:K45">
    <x:cfRule type="containsText" dxfId="6" priority="1" operator="containsText" text="已完成"/>
    <x:cfRule type="containsText" dxfId="7" priority="2" operator="containsText" text="逾期"/>
    <x:cfRule type="containsText" dxfId="8" priority="3" operator="containsText" text="未开始"/>
  </x:conditionalFormatting>
  <x:dataValidations count="1">
    <x:dataValidation type="list" sqref="K6:K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4f5e9bba344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2" hidden="0" customWidth="1"/>
    <x:col min="7" max="7" width="32" hidden="0" customWidth="1"/>
    <x:col min="8" max="8" width="34" hidden="0" customWidth="1"/>
    <x:col min="9" max="9" width="11" hidden="0" customWidth="1"/>
  </x:cols>
  <x:sheetData>
    <x:row r="1" ht="30" customHeight="1">
      <x:c r="A1" s="1" t="str">
        <x:v>月结任务依赖关系</x:v>
      </x:c>
    </x:row>
    <x:row r="2" ht="25" customHeight="1">
      <x:c r="A2" s="3" t="str">
        <x:v>后续任务不得在前置任务未完成且影响重大时假装关闭。</x:v>
      </x:c>
    </x:row>
    <x:row r="5" ht="36" customHeight="1">
      <x:c r="A5" s="9" t="str">
        <x:v>依赖编号</x:v>
      </x:c>
      <x:c r="B5" s="9" t="str">
        <x:v>前置任务</x:v>
      </x:c>
      <x:c r="C5" s="9" t="str">
        <x:v>后续任务</x:v>
      </x:c>
      <x:c r="D5" s="9" t="str">
        <x:v>前置Owner</x:v>
      </x:c>
      <x:c r="E5" s="9" t="str">
        <x:v>最迟完成</x:v>
      </x:c>
      <x:c r="F5" s="9" t="str">
        <x:v>可否暂缓</x:v>
      </x:c>
      <x:c r="G5" s="9" t="str">
        <x:v>暂缓条件</x:v>
      </x:c>
      <x:c r="H5" s="9" t="str">
        <x:v>阻断处理</x:v>
      </x:c>
      <x:c r="I5" s="9" t="str">
        <x:v>状态</x:v>
      </x:c>
    </x:row>
    <x:row r="6">
      <x:c r="A6" s="13" t="str">
        <x:v>DEP-001</x:v>
      </x:c>
      <x:c r="B6" s="18" t="str"/>
      <x:c r="C6" s="18" t="str"/>
      <x:c r="D6" s="18" t="str"/>
      <x:c r="E6" s="17"/>
      <x:c r="F6" s="18" t="str">
        <x:v>待判断</x:v>
      </x:c>
      <x:c r="G6" s="18" t="str"/>
      <x:c r="H6" s="18" t="str"/>
      <x:c r="I6" s="13" t="str">
        <x:v>未开始</x:v>
      </x:c>
    </x:row>
    <x:row r="7">
      <x:c r="A7" s="13" t="str">
        <x:v>DEP-002</x:v>
      </x:c>
      <x:c r="B7" s="18" t="str"/>
      <x:c r="C7" s="18" t="str"/>
      <x:c r="D7" s="18" t="str"/>
      <x:c r="E7" s="17"/>
      <x:c r="F7" s="18" t="str">
        <x:v>待判断</x:v>
      </x:c>
      <x:c r="G7" s="18" t="str"/>
      <x:c r="H7" s="18" t="str"/>
      <x:c r="I7" s="13" t="str">
        <x:v>未开始</x:v>
      </x:c>
    </x:row>
    <x:row r="8">
      <x:c r="A8" s="13" t="str">
        <x:v>DEP-003</x:v>
      </x:c>
      <x:c r="B8" s="18" t="str"/>
      <x:c r="C8" s="18" t="str"/>
      <x:c r="D8" s="18" t="str"/>
      <x:c r="E8" s="17"/>
      <x:c r="F8" s="18" t="str">
        <x:v>待判断</x:v>
      </x:c>
      <x:c r="G8" s="18" t="str"/>
      <x:c r="H8" s="18" t="str"/>
      <x:c r="I8" s="13" t="str">
        <x:v>未开始</x:v>
      </x:c>
    </x:row>
    <x:row r="9">
      <x:c r="A9" s="13" t="str">
        <x:v>DEP-004</x:v>
      </x:c>
      <x:c r="B9" s="18" t="str"/>
      <x:c r="C9" s="18" t="str"/>
      <x:c r="D9" s="18" t="str"/>
      <x:c r="E9" s="17"/>
      <x:c r="F9" s="18" t="str">
        <x:v>待判断</x:v>
      </x:c>
      <x:c r="G9" s="18" t="str"/>
      <x:c r="H9" s="18" t="str"/>
      <x:c r="I9" s="13" t="str">
        <x:v>未开始</x:v>
      </x:c>
    </x:row>
    <x:row r="10">
      <x:c r="A10" s="13" t="str">
        <x:v>DEP-005</x:v>
      </x:c>
      <x:c r="B10" s="18" t="str"/>
      <x:c r="C10" s="18" t="str"/>
      <x:c r="D10" s="18" t="str"/>
      <x:c r="E10" s="17"/>
      <x:c r="F10" s="18" t="str">
        <x:v>待判断</x:v>
      </x:c>
      <x:c r="G10" s="18" t="str"/>
      <x:c r="H10" s="18" t="str"/>
      <x:c r="I10" s="13" t="str">
        <x:v>未开始</x:v>
      </x:c>
    </x:row>
    <x:row r="11">
      <x:c r="A11" s="13" t="str">
        <x:v>DEP-006</x:v>
      </x:c>
      <x:c r="B11" s="18" t="str"/>
      <x:c r="C11" s="18" t="str"/>
      <x:c r="D11" s="18" t="str"/>
      <x:c r="E11" s="17"/>
      <x:c r="F11" s="18" t="str">
        <x:v>待判断</x:v>
      </x:c>
      <x:c r="G11" s="18" t="str"/>
      <x:c r="H11" s="18" t="str"/>
      <x:c r="I11" s="13" t="str">
        <x:v>未开始</x:v>
      </x:c>
    </x:row>
    <x:row r="12">
      <x:c r="A12" s="13" t="str">
        <x:v>DEP-007</x:v>
      </x:c>
      <x:c r="B12" s="18" t="str"/>
      <x:c r="C12" s="18" t="str"/>
      <x:c r="D12" s="18" t="str"/>
      <x:c r="E12" s="17"/>
      <x:c r="F12" s="18" t="str">
        <x:v>待判断</x:v>
      </x:c>
      <x:c r="G12" s="18" t="str"/>
      <x:c r="H12" s="18" t="str"/>
      <x:c r="I12" s="13" t="str">
        <x:v>未开始</x:v>
      </x:c>
    </x:row>
    <x:row r="13">
      <x:c r="A13" s="13" t="str">
        <x:v>DEP-008</x:v>
      </x:c>
      <x:c r="B13" s="18" t="str"/>
      <x:c r="C13" s="18" t="str"/>
      <x:c r="D13" s="18" t="str"/>
      <x:c r="E13" s="17"/>
      <x:c r="F13" s="18" t="str">
        <x:v>待判断</x:v>
      </x:c>
      <x:c r="G13" s="18" t="str"/>
      <x:c r="H13" s="18" t="str"/>
      <x:c r="I13" s="13" t="str">
        <x:v>未开始</x:v>
      </x:c>
    </x:row>
    <x:row r="14">
      <x:c r="A14" s="13" t="str">
        <x:v>DEP-009</x:v>
      </x:c>
      <x:c r="B14" s="18" t="str"/>
      <x:c r="C14" s="18" t="str"/>
      <x:c r="D14" s="18" t="str"/>
      <x:c r="E14" s="17"/>
      <x:c r="F14" s="18" t="str">
        <x:v>待判断</x:v>
      </x:c>
      <x:c r="G14" s="18" t="str"/>
      <x:c r="H14" s="18" t="str"/>
      <x:c r="I14" s="13" t="str">
        <x:v>未开始</x:v>
      </x:c>
    </x:row>
    <x:row r="15">
      <x:c r="A15" s="13" t="str">
        <x:v>DEP-010</x:v>
      </x:c>
      <x:c r="B15" s="18" t="str"/>
      <x:c r="C15" s="18" t="str"/>
      <x:c r="D15" s="18" t="str"/>
      <x:c r="E15" s="17"/>
      <x:c r="F15" s="18" t="str">
        <x:v>待判断</x:v>
      </x:c>
      <x:c r="G15" s="18" t="str"/>
      <x:c r="H15" s="18" t="str"/>
      <x:c r="I15" s="13" t="str">
        <x:v>未开始</x:v>
      </x:c>
    </x:row>
    <x:row r="16">
      <x:c r="A16" s="13" t="str">
        <x:v>DEP-011</x:v>
      </x:c>
      <x:c r="B16" s="18" t="str"/>
      <x:c r="C16" s="18" t="str"/>
      <x:c r="D16" s="18" t="str"/>
      <x:c r="E16" s="17"/>
      <x:c r="F16" s="18" t="str">
        <x:v>待判断</x:v>
      </x:c>
      <x:c r="G16" s="18" t="str"/>
      <x:c r="H16" s="18" t="str"/>
      <x:c r="I16" s="13" t="str">
        <x:v>未开始</x:v>
      </x:c>
    </x:row>
    <x:row r="17">
      <x:c r="A17" s="13" t="str">
        <x:v>DEP-012</x:v>
      </x:c>
      <x:c r="B17" s="18" t="str"/>
      <x:c r="C17" s="18" t="str"/>
      <x:c r="D17" s="18" t="str"/>
      <x:c r="E17" s="17"/>
      <x:c r="F17" s="18" t="str">
        <x:v>待判断</x:v>
      </x:c>
      <x:c r="G17" s="18" t="str"/>
      <x:c r="H17" s="18" t="str"/>
      <x:c r="I17" s="13" t="str">
        <x:v>未开始</x:v>
      </x:c>
    </x:row>
    <x:row r="18">
      <x:c r="A18" s="13" t="str">
        <x:v>DEP-013</x:v>
      </x:c>
      <x:c r="B18" s="18" t="str"/>
      <x:c r="C18" s="18" t="str"/>
      <x:c r="D18" s="18" t="str"/>
      <x:c r="E18" s="17"/>
      <x:c r="F18" s="18" t="str">
        <x:v>待判断</x:v>
      </x:c>
      <x:c r="G18" s="18" t="str"/>
      <x:c r="H18" s="18" t="str"/>
      <x:c r="I18" s="13" t="str">
        <x:v>未开始</x:v>
      </x:c>
    </x:row>
    <x:row r="19">
      <x:c r="A19" s="13" t="str">
        <x:v>DEP-014</x:v>
      </x:c>
      <x:c r="B19" s="18" t="str"/>
      <x:c r="C19" s="18" t="str"/>
      <x:c r="D19" s="18" t="str"/>
      <x:c r="E19" s="17"/>
      <x:c r="F19" s="18" t="str">
        <x:v>待判断</x:v>
      </x:c>
      <x:c r="G19" s="18" t="str"/>
      <x:c r="H19" s="18" t="str"/>
      <x:c r="I19" s="13" t="str">
        <x:v>未开始</x:v>
      </x:c>
    </x:row>
    <x:row r="20">
      <x:c r="A20" s="13" t="str">
        <x:v>DEP-015</x:v>
      </x:c>
      <x:c r="B20" s="18" t="str"/>
      <x:c r="C20" s="18" t="str"/>
      <x:c r="D20" s="18" t="str"/>
      <x:c r="E20" s="17"/>
      <x:c r="F20" s="18" t="str">
        <x:v>待判断</x:v>
      </x:c>
      <x:c r="G20" s="18" t="str"/>
      <x:c r="H20" s="18" t="str"/>
      <x:c r="I20" s="13" t="str">
        <x:v>未开始</x:v>
      </x:c>
    </x:row>
    <x:row r="21">
      <x:c r="A21" s="13" t="str">
        <x:v>DEP-016</x:v>
      </x:c>
      <x:c r="B21" s="18" t="str"/>
      <x:c r="C21" s="18" t="str"/>
      <x:c r="D21" s="18" t="str"/>
      <x:c r="E21" s="17"/>
      <x:c r="F21" s="18" t="str">
        <x:v>待判断</x:v>
      </x:c>
      <x:c r="G21" s="18" t="str"/>
      <x:c r="H21" s="18" t="str"/>
      <x:c r="I21" s="13" t="str">
        <x:v>未开始</x:v>
      </x:c>
    </x:row>
    <x:row r="22">
      <x:c r="A22" s="13" t="str">
        <x:v>DEP-017</x:v>
      </x:c>
      <x:c r="B22" s="18" t="str"/>
      <x:c r="C22" s="18" t="str"/>
      <x:c r="D22" s="18" t="str"/>
      <x:c r="E22" s="17"/>
      <x:c r="F22" s="18" t="str">
        <x:v>待判断</x:v>
      </x:c>
      <x:c r="G22" s="18" t="str"/>
      <x:c r="H22" s="18" t="str"/>
      <x:c r="I22" s="13" t="str">
        <x:v>未开始</x:v>
      </x:c>
    </x:row>
    <x:row r="23">
      <x:c r="A23" s="13" t="str">
        <x:v>DEP-018</x:v>
      </x:c>
      <x:c r="B23" s="18" t="str"/>
      <x:c r="C23" s="18" t="str"/>
      <x:c r="D23" s="18" t="str"/>
      <x:c r="E23" s="17"/>
      <x:c r="F23" s="18" t="str">
        <x:v>待判断</x:v>
      </x:c>
      <x:c r="G23" s="18" t="str"/>
      <x:c r="H23" s="18" t="str"/>
      <x:c r="I23" s="13" t="str">
        <x:v>未开始</x:v>
      </x:c>
    </x:row>
    <x:row r="24">
      <x:c r="A24" s="13" t="str">
        <x:v>DEP-019</x:v>
      </x:c>
      <x:c r="B24" s="18" t="str"/>
      <x:c r="C24" s="18" t="str"/>
      <x:c r="D24" s="18" t="str"/>
      <x:c r="E24" s="17"/>
      <x:c r="F24" s="18" t="str">
        <x:v>待判断</x:v>
      </x:c>
      <x:c r="G24" s="18" t="str"/>
      <x:c r="H24" s="18" t="str"/>
      <x:c r="I24" s="13" t="str">
        <x:v>未开始</x:v>
      </x:c>
    </x:row>
    <x:row r="25">
      <x:c r="A25" s="13" t="str">
        <x:v>DEP-020</x:v>
      </x:c>
      <x:c r="B25" s="18" t="str"/>
      <x:c r="C25" s="18" t="str"/>
      <x:c r="D25" s="18" t="str"/>
      <x:c r="E25" s="17"/>
      <x:c r="F25" s="18" t="str">
        <x:v>待判断</x:v>
      </x:c>
      <x:c r="G25" s="18" t="str"/>
      <x:c r="H25" s="18" t="str"/>
      <x:c r="I25" s="13" t="str">
        <x:v>未开始</x:v>
      </x:c>
    </x:row>
    <x:row r="26">
      <x:c r="A26" s="13" t="str">
        <x:v>DEP-021</x:v>
      </x:c>
      <x:c r="B26" s="18" t="str"/>
      <x:c r="C26" s="18" t="str"/>
      <x:c r="D26" s="18" t="str"/>
      <x:c r="E26" s="17"/>
      <x:c r="F26" s="18" t="str">
        <x:v>待判断</x:v>
      </x:c>
      <x:c r="G26" s="18" t="str"/>
      <x:c r="H26" s="18" t="str"/>
      <x:c r="I26" s="13" t="str">
        <x:v>未开始</x:v>
      </x:c>
    </x:row>
    <x:row r="27">
      <x:c r="A27" s="13" t="str">
        <x:v>DEP-022</x:v>
      </x:c>
      <x:c r="B27" s="18" t="str"/>
      <x:c r="C27" s="18" t="str"/>
      <x:c r="D27" s="18" t="str"/>
      <x:c r="E27" s="17"/>
      <x:c r="F27" s="18" t="str">
        <x:v>待判断</x:v>
      </x:c>
      <x:c r="G27" s="18" t="str"/>
      <x:c r="H27" s="18" t="str"/>
      <x:c r="I27" s="13" t="str">
        <x:v>未开始</x:v>
      </x:c>
    </x:row>
    <x:row r="28">
      <x:c r="A28" s="13" t="str">
        <x:v>DEP-023</x:v>
      </x:c>
      <x:c r="B28" s="18" t="str"/>
      <x:c r="C28" s="18" t="str"/>
      <x:c r="D28" s="18" t="str"/>
      <x:c r="E28" s="17"/>
      <x:c r="F28" s="18" t="str">
        <x:v>待判断</x:v>
      </x:c>
      <x:c r="G28" s="18" t="str"/>
      <x:c r="H28" s="18" t="str"/>
      <x:c r="I28" s="13" t="str">
        <x:v>未开始</x:v>
      </x:c>
    </x:row>
    <x:row r="29">
      <x:c r="A29" s="13" t="str">
        <x:v>DEP-024</x:v>
      </x:c>
      <x:c r="B29" s="18" t="str"/>
      <x:c r="C29" s="18" t="str"/>
      <x:c r="D29" s="18" t="str"/>
      <x:c r="E29" s="17"/>
      <x:c r="F29" s="18" t="str">
        <x:v>待判断</x:v>
      </x:c>
      <x:c r="G29" s="18" t="str"/>
      <x:c r="H29" s="18" t="str"/>
      <x:c r="I29" s="13" t="str">
        <x:v>未开始</x:v>
      </x:c>
    </x:row>
    <x:row r="30">
      <x:c r="A30" s="13" t="str">
        <x:v>DEP-025</x:v>
      </x:c>
      <x:c r="B30" s="18" t="str"/>
      <x:c r="C30" s="18" t="str"/>
      <x:c r="D30" s="18" t="str"/>
      <x:c r="E30" s="17"/>
      <x:c r="F30" s="18" t="str">
        <x:v>待判断</x:v>
      </x:c>
      <x:c r="G30" s="18" t="str"/>
      <x:c r="H30" s="18" t="str"/>
      <x:c r="I30" s="13" t="str">
        <x:v>未开始</x:v>
      </x:c>
    </x:row>
    <x:row r="31">
      <x:c r="A31" s="13" t="str">
        <x:v>DEP-026</x:v>
      </x:c>
      <x:c r="B31" s="18" t="str"/>
      <x:c r="C31" s="18" t="str"/>
      <x:c r="D31" s="18" t="str"/>
      <x:c r="E31" s="17"/>
      <x:c r="F31" s="18" t="str">
        <x:v>待判断</x:v>
      </x:c>
      <x:c r="G31" s="18" t="str"/>
      <x:c r="H31" s="18" t="str"/>
      <x:c r="I31" s="13" t="str">
        <x:v>未开始</x:v>
      </x:c>
    </x:row>
    <x:row r="32">
      <x:c r="A32" s="13" t="str">
        <x:v>DEP-027</x:v>
      </x:c>
      <x:c r="B32" s="18" t="str"/>
      <x:c r="C32" s="18" t="str"/>
      <x:c r="D32" s="18" t="str"/>
      <x:c r="E32" s="17"/>
      <x:c r="F32" s="18" t="str">
        <x:v>待判断</x:v>
      </x:c>
      <x:c r="G32" s="18" t="str"/>
      <x:c r="H32" s="18" t="str"/>
      <x:c r="I32" s="13" t="str">
        <x:v>未开始</x:v>
      </x:c>
    </x:row>
    <x:row r="33">
      <x:c r="A33" s="13" t="str">
        <x:v>DEP-028</x:v>
      </x:c>
      <x:c r="B33" s="18" t="str"/>
      <x:c r="C33" s="18" t="str"/>
      <x:c r="D33" s="18" t="str"/>
      <x:c r="E33" s="17"/>
      <x:c r="F33" s="18" t="str">
        <x:v>待判断</x:v>
      </x:c>
      <x:c r="G33" s="18" t="str"/>
      <x:c r="H33" s="18" t="str"/>
      <x:c r="I33" s="13" t="str">
        <x:v>未开始</x:v>
      </x:c>
    </x:row>
    <x:row r="34">
      <x:c r="A34" s="13" t="str">
        <x:v>DEP-029</x:v>
      </x:c>
      <x:c r="B34" s="18" t="str"/>
      <x:c r="C34" s="18" t="str"/>
      <x:c r="D34" s="18" t="str"/>
      <x:c r="E34" s="17"/>
      <x:c r="F34" s="18" t="str">
        <x:v>待判断</x:v>
      </x:c>
      <x:c r="G34" s="18" t="str"/>
      <x:c r="H34" s="18" t="str"/>
      <x:c r="I34" s="13" t="str">
        <x:v>未开始</x:v>
      </x:c>
    </x:row>
    <x:row r="35">
      <x:c r="A35" s="13" t="str">
        <x:v>DEP-030</x:v>
      </x:c>
      <x:c r="B35" s="18" t="str"/>
      <x:c r="C35" s="18" t="str"/>
      <x:c r="D35" s="18" t="str"/>
      <x:c r="E35" s="17"/>
      <x:c r="F35" s="18" t="str">
        <x:v>待判断</x:v>
      </x:c>
      <x:c r="G35" s="18" t="str"/>
      <x:c r="H35" s="18" t="str"/>
      <x:c r="I35" s="13" t="str">
        <x:v>未开始</x:v>
      </x:c>
    </x:row>
  </x:sheetData>
  <x:mergeCells>
    <x:mergeCell ref="A1:I1"/>
    <x:mergeCell ref="A2:I2"/>
  </x:mergeCells>
  <x:conditionalFormatting sqref="I6:I35">
    <x:cfRule type="containsText" dxfId="9" priority="1" operator="containsText" text="已完成"/>
    <x:cfRule type="containsText" dxfId="10" priority="2" operator="containsText" text="逾期"/>
    <x:cfRule type="containsText" dxfId="11" priority="3" operator="containsText" text="未开始"/>
  </x:conditionalFormatting>
  <x:dataValidations count="1">
    <x:dataValidation type="list" sqref="I6:I3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2e9783329145e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38" hidden="0" customWidth="1"/>
    <x:col min="5" max="5" width="35" hidden="0" customWidth="1"/>
    <x:col min="6" max="6" width="35" hidden="0" customWidth="1"/>
    <x:col min="7" max="7" width="34" hidden="0" customWidth="1"/>
    <x:col min="8" max="8" width="32" hidden="0" customWidth="1"/>
    <x:col min="9" max="9" width="11" hidden="0" customWidth="1"/>
    <x:col min="10" max="10" width="13" hidden="0" customWidth="1"/>
    <x:col min="11" max="11" width="14" hidden="0" customWidth="1"/>
  </x:cols>
  <x:sheetData>
    <x:row r="1" ht="30" customHeight="1">
      <x:c r="A1" s="1" t="str">
        <x:v>财务主管月度复核Checklist</x:v>
      </x:c>
    </x:row>
    <x:row r="2" ht="25" customHeight="1">
      <x:c r="A2" s="3" t="str">
        <x:v>不重复下属工作；按为什么、看什么、异常和Closure证据复核。</x:v>
      </x:c>
    </x:row>
    <x:row r="5" ht="36" customHeight="1">
      <x:c r="A5" s="9" t="str">
        <x:v>编号</x:v>
      </x:c>
      <x:c r="B5" s="9" t="str">
        <x:v>复核项目</x:v>
      </x:c>
      <x:c r="C5" s="9" t="str">
        <x:v>为什么复核</x:v>
      </x:c>
      <x:c r="D5" s="9" t="str">
        <x:v>看什么</x:v>
      </x:c>
      <x:c r="E5" s="9" t="str">
        <x:v>异常标准</x:v>
      </x:c>
      <x:c r="F5" s="9" t="str">
        <x:v>异常处理</x:v>
      </x:c>
      <x:c r="G5" s="9" t="str">
        <x:v>Closure证据</x:v>
      </x:c>
      <x:c r="H5" s="9" t="str">
        <x:v>本月结论</x:v>
      </x:c>
      <x:c r="I5" s="9" t="str">
        <x:v>状态</x:v>
      </x:c>
      <x:c r="J5" s="9" t="str">
        <x:v>复核人</x:v>
      </x:c>
      <x:c r="K5" s="9" t="str">
        <x:v>复核日</x:v>
      </x:c>
    </x:row>
    <x:row r="6">
      <x:c r="A6" s="13" t="str">
        <x:v>RV-001</x:v>
      </x:c>
      <x:c r="B6" s="13" t="str">
        <x:v>重大手工凭证</x:v>
      </x:c>
      <x:c r="C6" s="13" t="str">
        <x:v>绕过标准流程，错报和舞弊风险高</x:v>
      </x:c>
      <x:c r="D6" s="13" t="str">
        <x:v>制单人、时点、金额、科目、附件、审批</x:v>
      </x:c>
      <x:c r="E6" s="13" t="str">
        <x:v>期末大额、异常科目、管理层录入、无附件</x:v>
      </x:c>
      <x:c r="F6" s="13" t="str">
        <x:v>退回补证/更正；重大事项升级</x:v>
      </x:c>
      <x:c r="G6" s="13" t="str">
        <x:v>凭证已过账、附件完整、复核签字</x:v>
      </x:c>
      <x:c r="H6" s="18" t="str"/>
      <x:c r="I6" s="18" t="str">
        <x:v>未开始</x:v>
      </x:c>
      <x:c r="J6" s="18" t="str"/>
      <x:c r="K6" s="19"/>
    </x:row>
    <x:row r="7">
      <x:c r="A7" s="13" t="str">
        <x:v>RV-002</x:v>
      </x:c>
      <x:c r="B7" s="13" t="str">
        <x:v>异常分录</x:v>
      </x:c>
      <x:c r="C7" s="13" t="str">
        <x:v>自动规则或人为处理可能错误</x:v>
      </x:c>
      <x:c r="D7" s="13" t="str">
        <x:v>负数、反向、整额、重复摘要、周末录入</x:v>
      </x:c>
      <x:c r="E7" s="13" t="str">
        <x:v>与业务规律不符或同比突变</x:v>
      </x:c>
      <x:c r="F7" s="13" t="str">
        <x:v>追溯源单和接口批次</x:v>
      </x:c>
      <x:c r="G7" s="13" t="str">
        <x:v>异常解释及处理记录</x:v>
      </x:c>
      <x:c r="H7" s="18" t="str"/>
      <x:c r="I7" s="18" t="str">
        <x:v>未开始</x:v>
      </x:c>
      <x:c r="J7" s="18" t="str"/>
      <x:c r="K7" s="19"/>
    </x:row>
    <x:row r="8">
      <x:c r="A8" s="13" t="str">
        <x:v>RV-003</x:v>
      </x:c>
      <x:c r="B8" s="13" t="str">
        <x:v>收入截止</x:v>
      </x:c>
      <x:c r="C8" s="13" t="str">
        <x:v>业绩压力易造成提前确认</x:v>
      </x:c>
      <x:c r="D8" s="13" t="str">
        <x:v>合同、出库、签收、验收、退货</x:v>
      </x:c>
      <x:c r="E8" s="13" t="str">
        <x:v>月底大额且次月退货/红冲</x:v>
      </x:c>
      <x:c r="F8" s="13" t="str">
        <x:v>AR与销售补事实，主管独立判断</x:v>
      </x:c>
      <x:c r="G8" s="13" t="str">
        <x:v>收入测试表和结论</x:v>
      </x:c>
      <x:c r="H8" s="18" t="str"/>
      <x:c r="I8" s="18" t="str">
        <x:v>未开始</x:v>
      </x:c>
      <x:c r="J8" s="18" t="str"/>
      <x:c r="K8" s="19"/>
    </x:row>
    <x:row r="9">
      <x:c r="A9" s="13" t="str">
        <x:v>RV-004</x:v>
      </x:c>
      <x:c r="B9" s="13" t="str">
        <x:v>成本结转</x:v>
      </x:c>
      <x:c r="C9" s="13" t="str">
        <x:v>影响库存、毛利和报表</x:v>
      </x:c>
      <x:c r="D9" s="13" t="str">
        <x:v>工单、BOM、在制、分配率、差异</x:v>
      </x:c>
      <x:c r="E9" s="13" t="str">
        <x:v>零成本、负库存、毛利突变</x:v>
      </x:c>
      <x:c r="F9" s="13" t="str">
        <x:v>暂停结转或调整主数据后重跑</x:v>
      </x:c>
      <x:c r="G9" s="13" t="str">
        <x:v>成本日志、差异桥、GL核对</x:v>
      </x:c>
      <x:c r="H9" s="18" t="str"/>
      <x:c r="I9" s="18" t="str">
        <x:v>未开始</x:v>
      </x:c>
      <x:c r="J9" s="18" t="str"/>
      <x:c r="K9" s="19"/>
    </x:row>
    <x:row r="10">
      <x:c r="A10" s="13" t="str">
        <x:v>RV-005</x:v>
      </x:c>
      <x:c r="B10" s="13" t="str">
        <x:v>暂估</x:v>
      </x:c>
      <x:c r="C10" s="13" t="str">
        <x:v>漏提或长期不冲造成跨期</x:v>
      </x:c>
      <x:c r="D10" s="13" t="str">
        <x:v>PO、收货、验收、供应商确认、账龄</x:v>
      </x:c>
      <x:c r="E10" s="13" t="str">
        <x:v>无业务依据、半年未冲、金额反复</x:v>
      </x:c>
      <x:c r="F10" s="13" t="str">
        <x:v>AP/采购逐项确认或冲销</x:v>
      </x:c>
      <x:c r="G10" s="13" t="str">
        <x:v>到票/冲销/继续暂估证据</x:v>
      </x:c>
      <x:c r="H10" s="18" t="str"/>
      <x:c r="I10" s="18" t="str">
        <x:v>未开始</x:v>
      </x:c>
      <x:c r="J10" s="18" t="str"/>
      <x:c r="K10" s="19"/>
    </x:row>
    <x:row r="11">
      <x:c r="A11" s="13" t="str">
        <x:v>RV-006</x:v>
      </x:c>
      <x:c r="B11" s="13" t="str">
        <x:v>预提费用</x:v>
      </x:c>
      <x:c r="C11" s="13" t="str">
        <x:v>主观判断和利润调节风险</x:v>
      </x:c>
      <x:c r="D11" s="13" t="str">
        <x:v>合同、服务期间、测算、历史趋势</x:v>
      </x:c>
      <x:c r="E11" s="13" t="str">
        <x:v>整数倒挤、次月全额反冲无发票</x:v>
      </x:c>
      <x:c r="F11" s="13" t="str">
        <x:v>重估并留底稿</x:v>
      </x:c>
      <x:c r="G11" s="13" t="str">
        <x:v>计算表、审批和后续验证</x:v>
      </x:c>
      <x:c r="H11" s="18" t="str"/>
      <x:c r="I11" s="18" t="str">
        <x:v>未开始</x:v>
      </x:c>
      <x:c r="J11" s="18" t="str"/>
      <x:c r="K11" s="19"/>
    </x:row>
    <x:row r="12">
      <x:c r="A12" s="13" t="str">
        <x:v>RV-007</x:v>
      </x:c>
      <x:c r="B12" s="13" t="str">
        <x:v>应收账龄</x:v>
      </x:c>
      <x:c r="C12" s="13" t="str">
        <x:v>坏账和回款风险</x:v>
      </x:c>
      <x:c r="D12" s="13" t="str">
        <x:v>逾期、争议、期后回款、信用</x:v>
      </x:c>
      <x:c r="E12" s="13" t="str">
        <x:v>重大逾期、贷方余额、异常核销</x:v>
      </x:c>
      <x:c r="F12" s="13" t="str">
        <x:v>销售催收、减值评估、法律跟进</x:v>
      </x:c>
      <x:c r="G12" s="13" t="str">
        <x:v>回款/减值/重分类结论</x:v>
      </x:c>
      <x:c r="H12" s="18" t="str"/>
      <x:c r="I12" s="18" t="str">
        <x:v>未开始</x:v>
      </x:c>
      <x:c r="J12" s="18" t="str"/>
      <x:c r="K12" s="19"/>
    </x:row>
    <x:row r="13">
      <x:c r="A13" s="13" t="str">
        <x:v>RV-008</x:v>
      </x:c>
      <x:c r="B13" s="13" t="str">
        <x:v>应付异常</x:v>
      </x:c>
      <x:c r="C13" s="13" t="str">
        <x:v>漏债、重复付款和主体风险</x:v>
      </x:c>
      <x:c r="D13" s="13" t="str">
        <x:v>借方余额、暂估、重复票、异常账户</x:v>
      </x:c>
      <x:c r="E13" s="13" t="str">
        <x:v>私人账户、长期借方、无PO</x:v>
      </x:c>
      <x:c r="F13" s="13" t="str">
        <x:v>查业务实质，必要时转预付/其他应收</x:v>
      </x:c>
      <x:c r="G13" s="13" t="str">
        <x:v>处理凭证和供应商确认</x:v>
      </x:c>
      <x:c r="H13" s="18" t="str"/>
      <x:c r="I13" s="18" t="str">
        <x:v>未开始</x:v>
      </x:c>
      <x:c r="J13" s="18" t="str"/>
      <x:c r="K13" s="19"/>
    </x:row>
    <x:row r="14">
      <x:c r="A14" s="13" t="str">
        <x:v>RV-009</x:v>
      </x:c>
      <x:c r="B14" s="13" t="str">
        <x:v>预付长期挂账</x:v>
      </x:c>
      <x:c r="C14" s="13" t="str">
        <x:v>资产不可收回风险</x:v>
      </x:c>
      <x:c r="D14" s="13" t="str">
        <x:v>合同、交付、催收、账龄</x:v>
      </x:c>
      <x:c r="E14" s="13" t="str">
        <x:v>长期无交付、对方异常、无合同</x:v>
      </x:c>
      <x:c r="F14" s="13" t="str">
        <x:v>业务/法务追偿并评估减值</x:v>
      </x:c>
      <x:c r="G14" s="13" t="str">
        <x:v>交付/收回/减值证据</x:v>
      </x:c>
      <x:c r="H14" s="18" t="str"/>
      <x:c r="I14" s="18" t="str">
        <x:v>未开始</x:v>
      </x:c>
      <x:c r="J14" s="18" t="str"/>
      <x:c r="K14" s="19"/>
    </x:row>
    <x:row r="15">
      <x:c r="A15" s="13" t="str">
        <x:v>RV-010</x:v>
      </x:c>
      <x:c r="B15" s="13" t="str">
        <x:v>员工借款</x:v>
      </x:c>
      <x:c r="C15" s="13" t="str">
        <x:v>资金占用和个税风险</x:v>
      </x:c>
      <x:c r="D15" s="13" t="str">
        <x:v>人员状态、用途、期限、报销</x:v>
      </x:c>
      <x:c r="E15" s="13" t="str">
        <x:v>离职未清、长期滚动、老板借款</x:v>
      </x:c>
      <x:c r="F15" s="13" t="str">
        <x:v>催收、工资抵扣需合法授权、升级</x:v>
      </x:c>
      <x:c r="G15" s="13" t="str">
        <x:v>回款或批准处理</x:v>
      </x:c>
      <x:c r="H15" s="18" t="str"/>
      <x:c r="I15" s="18" t="str">
        <x:v>未开始</x:v>
      </x:c>
      <x:c r="J15" s="18" t="str"/>
      <x:c r="K15" s="19"/>
    </x:row>
    <x:row r="16">
      <x:c r="A16" s="13" t="str">
        <x:v>RV-011</x:v>
      </x:c>
      <x:c r="B16" s="13" t="str">
        <x:v>关联方</x:v>
      </x:c>
      <x:c r="C16" s="13" t="str">
        <x:v>披露、定价和资金占用风险</x:v>
      </x:c>
      <x:c r="D16" s="13" t="str">
        <x:v>主体、合同、定价、往来、余额</x:v>
      </x:c>
      <x:c r="E16" s="13" t="str">
        <x:v>无合同、无息长期占用、余额不一致</x:v>
      </x:c>
      <x:c r="F16" s="13" t="str">
        <x:v>取得协议和对账，评估披露税务</x:v>
      </x:c>
      <x:c r="G16" s="13" t="str">
        <x:v>关联方清单及对账确认</x:v>
      </x:c>
      <x:c r="H16" s="18" t="str"/>
      <x:c r="I16" s="18" t="str">
        <x:v>未开始</x:v>
      </x:c>
      <x:c r="J16" s="18" t="str"/>
      <x:c r="K16" s="19"/>
    </x:row>
    <x:row r="17">
      <x:c r="A17" s="13" t="str">
        <x:v>RV-012</x:v>
      </x:c>
      <x:c r="B17" s="13" t="str">
        <x:v>存货异常</x:v>
      </x:c>
      <x:c r="C17" s="13" t="str">
        <x:v>实物、数量和价值风险</x:v>
      </x:c>
      <x:c r="D17" s="13" t="str">
        <x:v>负库存、盘点、库龄、报废、跌价</x:v>
      </x:c>
      <x:c r="E17" s="13" t="str">
        <x:v>账实不符、长期呆滞、异常调整</x:v>
      </x:c>
      <x:c r="F17" s="13" t="str">
        <x:v>盘点复核、原因调查、减值</x:v>
      </x:c>
      <x:c r="G17" s="13" t="str">
        <x:v>盘点和审批证据</x:v>
      </x:c>
      <x:c r="H17" s="18" t="str"/>
      <x:c r="I17" s="18" t="str">
        <x:v>未开始</x:v>
      </x:c>
      <x:c r="J17" s="18" t="str"/>
      <x:c r="K17" s="19"/>
    </x:row>
    <x:row r="18">
      <x:c r="A18" s="13" t="str">
        <x:v>RV-013</x:v>
      </x:c>
      <x:c r="B18" s="13" t="str">
        <x:v>固定资产</x:v>
      </x:c>
      <x:c r="C18" s="13" t="str">
        <x:v>存在、完整、折旧和处置风险</x:v>
      </x:c>
      <x:c r="D18" s="13" t="str">
        <x:v>新增、转固、盘点、闲置、处置</x:v>
      </x:c>
      <x:c r="E18" s="13" t="str">
        <x:v>已用未转固、账有实无、个人占用</x:v>
      </x:c>
      <x:c r="F18" s="13" t="str">
        <x:v>使用部门确认，补卡片/转固/处置</x:v>
      </x:c>
      <x:c r="G18" s="13" t="str">
        <x:v>卡片、验收、盘点和审批</x:v>
      </x:c>
      <x:c r="H18" s="18" t="str"/>
      <x:c r="I18" s="18" t="str">
        <x:v>未开始</x:v>
      </x:c>
      <x:c r="J18" s="18" t="str"/>
      <x:c r="K18" s="19"/>
    </x:row>
    <x:row r="19">
      <x:c r="A19" s="13" t="str">
        <x:v>RV-014</x:v>
      </x:c>
      <x:c r="B19" s="13" t="str">
        <x:v>税务</x:v>
      </x:c>
      <x:c r="C19" s="13" t="str">
        <x:v>申报错误和合规风险</x:v>
      </x:c>
      <x:c r="D19" s="13" t="str">
        <x:v>账票税桥、税率、进项转出、缴税</x:v>
      </x:c>
      <x:c r="E19" s="13" t="str">
        <x:v>与GL差异无解释、异常税率</x:v>
      </x:c>
      <x:c r="F19" s="13" t="str">
        <x:v>税务会计重算，必要时顾问复核</x:v>
      </x:c>
      <x:c r="G19" s="13" t="str">
        <x:v>申报回执、缴款和桥接表</x:v>
      </x:c>
      <x:c r="H19" s="18" t="str"/>
      <x:c r="I19" s="18" t="str">
        <x:v>未开始</x:v>
      </x:c>
      <x:c r="J19" s="18" t="str"/>
      <x:c r="K19" s="19"/>
    </x:row>
    <x:row r="20">
      <x:c r="A20" s="13" t="str">
        <x:v>RV-015</x:v>
      </x:c>
      <x:c r="B20" s="13" t="str">
        <x:v>银行未达</x:v>
      </x:c>
      <x:c r="C20" s="13" t="str">
        <x:v>资金真实性和重复付款风险</x:v>
      </x:c>
      <x:c r="D20" s="13" t="str">
        <x:v>对账单、流水、账面、未达账龄</x:v>
      </x:c>
      <x:c r="E20" s="13" t="str">
        <x:v>长期未达、未知收付、重复支付</x:v>
      </x:c>
      <x:c r="F20" s="13" t="str">
        <x:v>资金逐笔认领，重大事项查银行</x:v>
      </x:c>
      <x:c r="G20" s="13" t="str">
        <x:v>调节表和回单</x:v>
      </x:c>
      <x:c r="H20" s="18" t="str"/>
      <x:c r="I20" s="18" t="str">
        <x:v>未开始</x:v>
      </x:c>
      <x:c r="J20" s="18" t="str"/>
      <x:c r="K20" s="19"/>
    </x:row>
    <x:row r="21">
      <x:c r="A21" s="13" t="str">
        <x:v>RV-016</x:v>
      </x:c>
      <x:c r="B21" s="13" t="str">
        <x:v>报表重分类</x:v>
      </x:c>
      <x:c r="C21" s="13" t="str">
        <x:v>账正确但列报可能错误</x:v>
      </x:c>
      <x:c r="D21" s="13" t="str">
        <x:v>余额实质、抵销、报表项目</x:v>
      </x:c>
      <x:c r="E21" s="13" t="str">
        <x:v>机械按借贷方向重分类</x:v>
      </x:c>
      <x:c r="F21" s="13" t="str">
        <x:v>逐项判断经济实质</x:v>
      </x:c>
      <x:c r="G21" s="13" t="str">
        <x:v>重分类清单和勾稽</x:v>
      </x:c>
      <x:c r="H21" s="18" t="str"/>
      <x:c r="I21" s="18" t="str">
        <x:v>未开始</x:v>
      </x:c>
      <x:c r="J21" s="18" t="str"/>
      <x:c r="K21" s="19"/>
    </x:row>
    <x:row r="22">
      <x:c r="A22" s="13" t="str">
        <x:v>RV-017</x:v>
      </x:c>
      <x:c r="B22" s="13" t="str">
        <x:v>重大会计估计</x:v>
      </x:c>
      <x:c r="C22" s="13" t="str">
        <x:v>判断复杂且影响重大</x:v>
      </x:c>
      <x:c r="D22" s="13" t="str">
        <x:v>事实、准则、假设、敏感性、审批</x:v>
      </x:c>
      <x:c r="E22" s="13" t="str">
        <x:v>无Memo、假设与业务脱节</x:v>
      </x:c>
      <x:c r="F22" s="13" t="str">
        <x:v>形成Accounting Memo</x:v>
      </x:c>
      <x:c r="G22" s="13" t="str">
        <x:v>批准的Memo和报表处理</x:v>
      </x:c>
      <x:c r="H22" s="18" t="str"/>
      <x:c r="I22" s="18" t="str">
        <x:v>未开始</x:v>
      </x:c>
      <x:c r="J22" s="18" t="str"/>
      <x:c r="K22" s="19"/>
    </x:row>
  </x:sheetData>
  <x:mergeCells>
    <x:mergeCell ref="A1:K1"/>
    <x:mergeCell ref="A2:K2"/>
  </x:mergeCells>
  <x:conditionalFormatting sqref="I6:I22">
    <x:cfRule type="containsText" dxfId="12" priority="1" operator="containsText" text="已完成"/>
    <x:cfRule type="containsText" dxfId="13" priority="2" operator="containsText" text="逾期"/>
    <x:cfRule type="containsText" dxfId="14" priority="3" operator="containsText" text="未开始"/>
  </x:conditionalFormatting>
  <x:dataValidations count="1">
    <x:dataValidation type="list" sqref="I6:I22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557df12d254c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6" hidden="0" customWidth="1"/>
    <x:col min="4" max="4" width="16" hidden="0" customWidth="1"/>
    <x:col min="5" max="5" width="18" hidden="0" customWidth="1"/>
    <x:col min="6" max="6" width="15" hidden="0" customWidth="1"/>
    <x:col min="7" max="7" width="13" hidden="0" customWidth="1"/>
    <x:col min="8" max="8" width="16" hidden="0" customWidth="1"/>
    <x:col min="9" max="9" width="14" hidden="0" customWidth="1"/>
    <x:col min="10" max="10" width="14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3" hidden="0" customWidth="1"/>
    <x:col min="20" max="20" width="14" hidden="0" customWidth="1"/>
    <x:col min="21" max="21" width="13" hidden="0" customWidth="1"/>
    <x:col min="22" max="22" width="13" hidden="0" customWidth="1"/>
    <x:col min="23" max="23" width="38" hidden="0" customWidth="1"/>
    <x:col min="24" max="24" width="14" hidden="0" customWidth="1"/>
  </x:cols>
  <x:sheetData>
    <x:row r="1" ht="30" customHeight="1">
      <x:c r="A1" s="1" t="str">
        <x:v>财务问题管理台账 Issue Log</x:v>
      </x:c>
    </x:row>
    <x:row r="2" ht="25" customHeight="1">
      <x:c r="A2" s="3" t="str">
        <x:v>Resolved只代表动作完成；Closed必须验证账务、系统、资料、税务报表和控制。</x:v>
      </x:c>
    </x:row>
    <x:row r="5" ht="36" customHeight="1">
      <x:c r="A5" s="9" t="str">
        <x:v>问题编号</x:v>
      </x:c>
      <x:c r="B5" s="9" t="str">
        <x:v>发现日期</x:v>
      </x:c>
      <x:c r="C5" s="9" t="str">
        <x:v>问题描述</x:v>
      </x:c>
      <x:c r="D5" s="9" t="str">
        <x:v>流程</x:v>
      </x:c>
      <x:c r="E5" s="9" t="str">
        <x:v>涉及科目</x:v>
      </x:c>
      <x:c r="F5" s="9" t="str">
        <x:v>金额</x:v>
      </x:c>
      <x:c r="G5" s="9" t="str">
        <x:v>风险等级</x:v>
      </x:c>
      <x:c r="H5" s="9" t="str">
        <x:v>责任部门</x:v>
      </x:c>
      <x:c r="I5" s="9" t="str">
        <x:v>责任人</x:v>
      </x:c>
      <x:c r="J5" s="9" t="str">
        <x:v>财务Owner</x:v>
      </x:c>
      <x:c r="K5" s="9" t="str">
        <x:v>根本原因</x:v>
      </x:c>
      <x:c r="L5" s="9" t="str">
        <x:v>临时措施</x:v>
      </x:c>
      <x:c r="M5" s="9" t="str">
        <x:v>永久措施</x:v>
      </x:c>
      <x:c r="N5" s="9" t="str">
        <x:v>下一步</x:v>
      </x:c>
      <x:c r="O5" s="9" t="str">
        <x:v>截止时间</x:v>
      </x:c>
      <x:c r="P5" s="9" t="str">
        <x:v>升级状态</x:v>
      </x:c>
      <x:c r="Q5" s="9" t="str">
        <x:v>影响月结</x:v>
      </x:c>
      <x:c r="R5" s="9" t="str">
        <x:v>影响税务</x:v>
      </x:c>
      <x:c r="S5" s="9" t="str">
        <x:v>影响报表</x:v>
      </x:c>
      <x:c r="T5" s="9" t="str">
        <x:v>完成日期</x:v>
      </x:c>
      <x:c r="U5" s="9" t="str">
        <x:v>复核人</x:v>
      </x:c>
      <x:c r="V5" s="9" t="str">
        <x:v>关闭状态</x:v>
      </x:c>
      <x:c r="W5" s="9" t="str">
        <x:v>Closure证据</x:v>
      </x:c>
      <x:c r="X5" s="9" t="str">
        <x:v>关闭日期</x:v>
      </x:c>
    </x:row>
    <x:row r="6">
      <x:c r="A6" s="13" t="str">
        <x:v>ISS-0001</x:v>
      </x:c>
      <x:c r="B6" s="19"/>
      <x:c r="C6" s="18" t="str"/>
      <x:c r="D6" s="18" t="str"/>
      <x:c r="E6" s="18" t="str"/>
      <x:c r="F6" s="21" t="n">
        <x:v>0</x:v>
      </x:c>
      <x:c r="G6" s="18" t="str">
        <x:v>黄色</x:v>
      </x:c>
      <x:c r="H6" s="18" t="str"/>
      <x:c r="I6" s="18" t="str"/>
      <x:c r="J6" s="18" t="str"/>
      <x:c r="K6" s="18" t="str"/>
      <x:c r="L6" s="18" t="str"/>
      <x:c r="M6" s="18" t="str"/>
      <x:c r="N6" s="18" t="str"/>
      <x:c r="O6" s="17"/>
      <x:c r="P6" s="18" t="str">
        <x:v>未升级</x:v>
      </x:c>
      <x:c r="Q6" s="18" t="str">
        <x:v>待判断</x:v>
      </x:c>
      <x:c r="R6" s="18" t="str">
        <x:v>待判断</x:v>
      </x:c>
      <x:c r="S6" s="18" t="str">
        <x:v>待判断</x:v>
      </x:c>
      <x:c r="T6" s="19"/>
      <x:c r="U6" s="18" t="str"/>
      <x:c r="V6" s="18" t="str">
        <x:v>Open</x:v>
      </x:c>
      <x:c r="W6" s="18" t="str"/>
      <x:c r="X6" s="19"/>
    </x:row>
    <x:row r="7">
      <x:c r="A7" s="13" t="str">
        <x:v>ISS-0002</x:v>
      </x:c>
      <x:c r="B7" s="19"/>
      <x:c r="C7" s="18" t="str"/>
      <x:c r="D7" s="18" t="str"/>
      <x:c r="E7" s="18" t="str"/>
      <x:c r="F7" s="21" t="n">
        <x:v>0</x:v>
      </x:c>
      <x:c r="G7" s="18" t="str">
        <x:v>黄色</x:v>
      </x:c>
      <x:c r="H7" s="18" t="str"/>
      <x:c r="I7" s="18" t="str"/>
      <x:c r="J7" s="18" t="str"/>
      <x:c r="K7" s="18" t="str"/>
      <x:c r="L7" s="18" t="str"/>
      <x:c r="M7" s="18" t="str"/>
      <x:c r="N7" s="18" t="str"/>
      <x:c r="O7" s="17"/>
      <x:c r="P7" s="18" t="str">
        <x:v>未升级</x:v>
      </x:c>
      <x:c r="Q7" s="18" t="str">
        <x:v>待判断</x:v>
      </x:c>
      <x:c r="R7" s="18" t="str">
        <x:v>待判断</x:v>
      </x:c>
      <x:c r="S7" s="18" t="str">
        <x:v>待判断</x:v>
      </x:c>
      <x:c r="T7" s="19"/>
      <x:c r="U7" s="18" t="str"/>
      <x:c r="V7" s="18" t="str">
        <x:v>Open</x:v>
      </x:c>
      <x:c r="W7" s="18" t="str"/>
      <x:c r="X7" s="19"/>
    </x:row>
    <x:row r="8">
      <x:c r="A8" s="13" t="str">
        <x:v>ISS-0003</x:v>
      </x:c>
      <x:c r="B8" s="19"/>
      <x:c r="C8" s="18" t="str"/>
      <x:c r="D8" s="18" t="str"/>
      <x:c r="E8" s="18" t="str"/>
      <x:c r="F8" s="21" t="n">
        <x:v>0</x:v>
      </x:c>
      <x:c r="G8" s="18" t="str">
        <x:v>黄色</x:v>
      </x:c>
      <x:c r="H8" s="18" t="str"/>
      <x:c r="I8" s="18" t="str"/>
      <x:c r="J8" s="18" t="str"/>
      <x:c r="K8" s="18" t="str"/>
      <x:c r="L8" s="18" t="str"/>
      <x:c r="M8" s="18" t="str"/>
      <x:c r="N8" s="18" t="str"/>
      <x:c r="O8" s="17"/>
      <x:c r="P8" s="18" t="str">
        <x:v>未升级</x:v>
      </x:c>
      <x:c r="Q8" s="18" t="str">
        <x:v>待判断</x:v>
      </x:c>
      <x:c r="R8" s="18" t="str">
        <x:v>待判断</x:v>
      </x:c>
      <x:c r="S8" s="18" t="str">
        <x:v>待判断</x:v>
      </x:c>
      <x:c r="T8" s="19"/>
      <x:c r="U8" s="18" t="str"/>
      <x:c r="V8" s="18" t="str">
        <x:v>Open</x:v>
      </x:c>
      <x:c r="W8" s="18" t="str"/>
      <x:c r="X8" s="19"/>
    </x:row>
    <x:row r="9">
      <x:c r="A9" s="13" t="str">
        <x:v>ISS-0004</x:v>
      </x:c>
      <x:c r="B9" s="19"/>
      <x:c r="C9" s="18" t="str"/>
      <x:c r="D9" s="18" t="str"/>
      <x:c r="E9" s="18" t="str"/>
      <x:c r="F9" s="21" t="n">
        <x:v>0</x:v>
      </x:c>
      <x:c r="G9" s="18" t="str">
        <x:v>黄色</x:v>
      </x:c>
      <x:c r="H9" s="18" t="str"/>
      <x:c r="I9" s="18" t="str"/>
      <x:c r="J9" s="18" t="str"/>
      <x:c r="K9" s="18" t="str"/>
      <x:c r="L9" s="18" t="str"/>
      <x:c r="M9" s="18" t="str"/>
      <x:c r="N9" s="18" t="str"/>
      <x:c r="O9" s="17"/>
      <x:c r="P9" s="18" t="str">
        <x:v>未升级</x:v>
      </x:c>
      <x:c r="Q9" s="18" t="str">
        <x:v>待判断</x:v>
      </x:c>
      <x:c r="R9" s="18" t="str">
        <x:v>待判断</x:v>
      </x:c>
      <x:c r="S9" s="18" t="str">
        <x:v>待判断</x:v>
      </x:c>
      <x:c r="T9" s="19"/>
      <x:c r="U9" s="18" t="str"/>
      <x:c r="V9" s="18" t="str">
        <x:v>Open</x:v>
      </x:c>
      <x:c r="W9" s="18" t="str"/>
      <x:c r="X9" s="19"/>
    </x:row>
    <x:row r="10">
      <x:c r="A10" s="13" t="str">
        <x:v>ISS-0005</x:v>
      </x:c>
      <x:c r="B10" s="19"/>
      <x:c r="C10" s="18" t="str"/>
      <x:c r="D10" s="18" t="str"/>
      <x:c r="E10" s="18" t="str"/>
      <x:c r="F10" s="21" t="n">
        <x:v>0</x:v>
      </x:c>
      <x:c r="G10" s="18" t="str">
        <x:v>黄色</x:v>
      </x:c>
      <x:c r="H10" s="18" t="str"/>
      <x:c r="I10" s="18" t="str"/>
      <x:c r="J10" s="18" t="str"/>
      <x:c r="K10" s="18" t="str"/>
      <x:c r="L10" s="18" t="str"/>
      <x:c r="M10" s="18" t="str"/>
      <x:c r="N10" s="18" t="str"/>
      <x:c r="O10" s="17"/>
      <x:c r="P10" s="18" t="str">
        <x:v>未升级</x:v>
      </x:c>
      <x:c r="Q10" s="18" t="str">
        <x:v>待判断</x:v>
      </x:c>
      <x:c r="R10" s="18" t="str">
        <x:v>待判断</x:v>
      </x:c>
      <x:c r="S10" s="18" t="str">
        <x:v>待判断</x:v>
      </x:c>
      <x:c r="T10" s="19"/>
      <x:c r="U10" s="18" t="str"/>
      <x:c r="V10" s="18" t="str">
        <x:v>Open</x:v>
      </x:c>
      <x:c r="W10" s="18" t="str"/>
      <x:c r="X10" s="19"/>
    </x:row>
    <x:row r="11">
      <x:c r="A11" s="13" t="str">
        <x:v>ISS-0006</x:v>
      </x:c>
      <x:c r="B11" s="19"/>
      <x:c r="C11" s="18" t="str"/>
      <x:c r="D11" s="18" t="str"/>
      <x:c r="E11" s="18" t="str"/>
      <x:c r="F11" s="21" t="n">
        <x:v>0</x:v>
      </x:c>
      <x:c r="G11" s="18" t="str">
        <x:v>黄色</x:v>
      </x:c>
      <x:c r="H11" s="18" t="str"/>
      <x:c r="I11" s="18" t="str"/>
      <x:c r="J11" s="18" t="str"/>
      <x:c r="K11" s="18" t="str"/>
      <x:c r="L11" s="18" t="str"/>
      <x:c r="M11" s="18" t="str"/>
      <x:c r="N11" s="18" t="str"/>
      <x:c r="O11" s="17"/>
      <x:c r="P11" s="18" t="str">
        <x:v>未升级</x:v>
      </x:c>
      <x:c r="Q11" s="18" t="str">
        <x:v>待判断</x:v>
      </x:c>
      <x:c r="R11" s="18" t="str">
        <x:v>待判断</x:v>
      </x:c>
      <x:c r="S11" s="18" t="str">
        <x:v>待判断</x:v>
      </x:c>
      <x:c r="T11" s="19"/>
      <x:c r="U11" s="18" t="str"/>
      <x:c r="V11" s="18" t="str">
        <x:v>Open</x:v>
      </x:c>
      <x:c r="W11" s="18" t="str"/>
      <x:c r="X11" s="19"/>
    </x:row>
    <x:row r="12">
      <x:c r="A12" s="13" t="str">
        <x:v>ISS-0007</x:v>
      </x:c>
      <x:c r="B12" s="19"/>
      <x:c r="C12" s="18" t="str"/>
      <x:c r="D12" s="18" t="str"/>
      <x:c r="E12" s="18" t="str"/>
      <x:c r="F12" s="21" t="n">
        <x:v>0</x:v>
      </x:c>
      <x:c r="G12" s="18" t="str">
        <x:v>黄色</x:v>
      </x:c>
      <x:c r="H12" s="18" t="str"/>
      <x:c r="I12" s="18" t="str"/>
      <x:c r="J12" s="18" t="str"/>
      <x:c r="K12" s="18" t="str"/>
      <x:c r="L12" s="18" t="str"/>
      <x:c r="M12" s="18" t="str"/>
      <x:c r="N12" s="18" t="str"/>
      <x:c r="O12" s="17"/>
      <x:c r="P12" s="18" t="str">
        <x:v>未升级</x:v>
      </x:c>
      <x:c r="Q12" s="18" t="str">
        <x:v>待判断</x:v>
      </x:c>
      <x:c r="R12" s="18" t="str">
        <x:v>待判断</x:v>
      </x:c>
      <x:c r="S12" s="18" t="str">
        <x:v>待判断</x:v>
      </x:c>
      <x:c r="T12" s="19"/>
      <x:c r="U12" s="18" t="str"/>
      <x:c r="V12" s="18" t="str">
        <x:v>Open</x:v>
      </x:c>
      <x:c r="W12" s="18" t="str"/>
      <x:c r="X12" s="19"/>
    </x:row>
    <x:row r="13">
      <x:c r="A13" s="13" t="str">
        <x:v>ISS-0008</x:v>
      </x:c>
      <x:c r="B13" s="19"/>
      <x:c r="C13" s="18" t="str"/>
      <x:c r="D13" s="18" t="str"/>
      <x:c r="E13" s="18" t="str"/>
      <x:c r="F13" s="21" t="n">
        <x:v>0</x:v>
      </x:c>
      <x:c r="G13" s="18" t="str">
        <x:v>黄色</x:v>
      </x:c>
      <x:c r="H13" s="18" t="str"/>
      <x:c r="I13" s="18" t="str"/>
      <x:c r="J13" s="18" t="str"/>
      <x:c r="K13" s="18" t="str"/>
      <x:c r="L13" s="18" t="str"/>
      <x:c r="M13" s="18" t="str"/>
      <x:c r="N13" s="18" t="str"/>
      <x:c r="O13" s="17"/>
      <x:c r="P13" s="18" t="str">
        <x:v>未升级</x:v>
      </x:c>
      <x:c r="Q13" s="18" t="str">
        <x:v>待判断</x:v>
      </x:c>
      <x:c r="R13" s="18" t="str">
        <x:v>待判断</x:v>
      </x:c>
      <x:c r="S13" s="18" t="str">
        <x:v>待判断</x:v>
      </x:c>
      <x:c r="T13" s="19"/>
      <x:c r="U13" s="18" t="str"/>
      <x:c r="V13" s="18" t="str">
        <x:v>Open</x:v>
      </x:c>
      <x:c r="W13" s="18" t="str"/>
      <x:c r="X13" s="19"/>
    </x:row>
    <x:row r="14">
      <x:c r="A14" s="13" t="str">
        <x:v>ISS-0009</x:v>
      </x:c>
      <x:c r="B14" s="19"/>
      <x:c r="C14" s="18" t="str"/>
      <x:c r="D14" s="18" t="str"/>
      <x:c r="E14" s="18" t="str"/>
      <x:c r="F14" s="21" t="n">
        <x:v>0</x:v>
      </x:c>
      <x:c r="G14" s="18" t="str">
        <x:v>黄色</x:v>
      </x:c>
      <x:c r="H14" s="18" t="str"/>
      <x:c r="I14" s="18" t="str"/>
      <x:c r="J14" s="18" t="str"/>
      <x:c r="K14" s="18" t="str"/>
      <x:c r="L14" s="18" t="str"/>
      <x:c r="M14" s="18" t="str"/>
      <x:c r="N14" s="18" t="str"/>
      <x:c r="O14" s="17"/>
      <x:c r="P14" s="18" t="str">
        <x:v>未升级</x:v>
      </x:c>
      <x:c r="Q14" s="18" t="str">
        <x:v>待判断</x:v>
      </x:c>
      <x:c r="R14" s="18" t="str">
        <x:v>待判断</x:v>
      </x:c>
      <x:c r="S14" s="18" t="str">
        <x:v>待判断</x:v>
      </x:c>
      <x:c r="T14" s="19"/>
      <x:c r="U14" s="18" t="str"/>
      <x:c r="V14" s="18" t="str">
        <x:v>Open</x:v>
      </x:c>
      <x:c r="W14" s="18" t="str"/>
      <x:c r="X14" s="19"/>
    </x:row>
    <x:row r="15">
      <x:c r="A15" s="13" t="str">
        <x:v>ISS-0010</x:v>
      </x:c>
      <x:c r="B15" s="19"/>
      <x:c r="C15" s="18" t="str"/>
      <x:c r="D15" s="18" t="str"/>
      <x:c r="E15" s="18" t="str"/>
      <x:c r="F15" s="21" t="n">
        <x:v>0</x:v>
      </x:c>
      <x:c r="G15" s="18" t="str">
        <x:v>黄色</x:v>
      </x:c>
      <x:c r="H15" s="18" t="str"/>
      <x:c r="I15" s="18" t="str"/>
      <x:c r="J15" s="18" t="str"/>
      <x:c r="K15" s="18" t="str"/>
      <x:c r="L15" s="18" t="str"/>
      <x:c r="M15" s="18" t="str"/>
      <x:c r="N15" s="18" t="str"/>
      <x:c r="O15" s="17"/>
      <x:c r="P15" s="18" t="str">
        <x:v>未升级</x:v>
      </x:c>
      <x:c r="Q15" s="18" t="str">
        <x:v>待判断</x:v>
      </x:c>
      <x:c r="R15" s="18" t="str">
        <x:v>待判断</x:v>
      </x:c>
      <x:c r="S15" s="18" t="str">
        <x:v>待判断</x:v>
      </x:c>
      <x:c r="T15" s="19"/>
      <x:c r="U15" s="18" t="str"/>
      <x:c r="V15" s="18" t="str">
        <x:v>Open</x:v>
      </x:c>
      <x:c r="W15" s="18" t="str"/>
      <x:c r="X15" s="19"/>
    </x:row>
    <x:row r="16">
      <x:c r="A16" s="13" t="str">
        <x:v>ISS-0011</x:v>
      </x:c>
      <x:c r="B16" s="19"/>
      <x:c r="C16" s="18" t="str"/>
      <x:c r="D16" s="18" t="str"/>
      <x:c r="E16" s="18" t="str"/>
      <x:c r="F16" s="21" t="n">
        <x:v>0</x:v>
      </x:c>
      <x:c r="G16" s="18" t="str">
        <x:v>黄色</x:v>
      </x:c>
      <x:c r="H16" s="18" t="str"/>
      <x:c r="I16" s="18" t="str"/>
      <x:c r="J16" s="18" t="str"/>
      <x:c r="K16" s="18" t="str"/>
      <x:c r="L16" s="18" t="str"/>
      <x:c r="M16" s="18" t="str"/>
      <x:c r="N16" s="18" t="str"/>
      <x:c r="O16" s="17"/>
      <x:c r="P16" s="18" t="str">
        <x:v>未升级</x:v>
      </x:c>
      <x:c r="Q16" s="18" t="str">
        <x:v>待判断</x:v>
      </x:c>
      <x:c r="R16" s="18" t="str">
        <x:v>待判断</x:v>
      </x:c>
      <x:c r="S16" s="18" t="str">
        <x:v>待判断</x:v>
      </x:c>
      <x:c r="T16" s="19"/>
      <x:c r="U16" s="18" t="str"/>
      <x:c r="V16" s="18" t="str">
        <x:v>Open</x:v>
      </x:c>
      <x:c r="W16" s="18" t="str"/>
      <x:c r="X16" s="19"/>
    </x:row>
    <x:row r="17">
      <x:c r="A17" s="13" t="str">
        <x:v>ISS-0012</x:v>
      </x:c>
      <x:c r="B17" s="19"/>
      <x:c r="C17" s="18" t="str"/>
      <x:c r="D17" s="18" t="str"/>
      <x:c r="E17" s="18" t="str"/>
      <x:c r="F17" s="21" t="n">
        <x:v>0</x:v>
      </x:c>
      <x:c r="G17" s="18" t="str">
        <x:v>黄色</x:v>
      </x:c>
      <x:c r="H17" s="18" t="str"/>
      <x:c r="I17" s="18" t="str"/>
      <x:c r="J17" s="18" t="str"/>
      <x:c r="K17" s="18" t="str"/>
      <x:c r="L17" s="18" t="str"/>
      <x:c r="M17" s="18" t="str"/>
      <x:c r="N17" s="18" t="str"/>
      <x:c r="O17" s="17"/>
      <x:c r="P17" s="18" t="str">
        <x:v>未升级</x:v>
      </x:c>
      <x:c r="Q17" s="18" t="str">
        <x:v>待判断</x:v>
      </x:c>
      <x:c r="R17" s="18" t="str">
        <x:v>待判断</x:v>
      </x:c>
      <x:c r="S17" s="18" t="str">
        <x:v>待判断</x:v>
      </x:c>
      <x:c r="T17" s="19"/>
      <x:c r="U17" s="18" t="str"/>
      <x:c r="V17" s="18" t="str">
        <x:v>Open</x:v>
      </x:c>
      <x:c r="W17" s="18" t="str"/>
      <x:c r="X17" s="19"/>
    </x:row>
    <x:row r="18">
      <x:c r="A18" s="13" t="str">
        <x:v>ISS-0013</x:v>
      </x:c>
      <x:c r="B18" s="19"/>
      <x:c r="C18" s="18" t="str"/>
      <x:c r="D18" s="18" t="str"/>
      <x:c r="E18" s="18" t="str"/>
      <x:c r="F18" s="21" t="n">
        <x:v>0</x:v>
      </x:c>
      <x:c r="G18" s="18" t="str">
        <x:v>黄色</x:v>
      </x:c>
      <x:c r="H18" s="18" t="str"/>
      <x:c r="I18" s="18" t="str"/>
      <x:c r="J18" s="18" t="str"/>
      <x:c r="K18" s="18" t="str"/>
      <x:c r="L18" s="18" t="str"/>
      <x:c r="M18" s="18" t="str"/>
      <x:c r="N18" s="18" t="str"/>
      <x:c r="O18" s="17"/>
      <x:c r="P18" s="18" t="str">
        <x:v>未升级</x:v>
      </x:c>
      <x:c r="Q18" s="18" t="str">
        <x:v>待判断</x:v>
      </x:c>
      <x:c r="R18" s="18" t="str">
        <x:v>待判断</x:v>
      </x:c>
      <x:c r="S18" s="18" t="str">
        <x:v>待判断</x:v>
      </x:c>
      <x:c r="T18" s="19"/>
      <x:c r="U18" s="18" t="str"/>
      <x:c r="V18" s="18" t="str">
        <x:v>Open</x:v>
      </x:c>
      <x:c r="W18" s="18" t="str"/>
      <x:c r="X18" s="19"/>
    </x:row>
    <x:row r="19">
      <x:c r="A19" s="13" t="str">
        <x:v>ISS-0014</x:v>
      </x:c>
      <x:c r="B19" s="19"/>
      <x:c r="C19" s="18" t="str"/>
      <x:c r="D19" s="18" t="str"/>
      <x:c r="E19" s="18" t="str"/>
      <x:c r="F19" s="21" t="n">
        <x:v>0</x:v>
      </x:c>
      <x:c r="G19" s="18" t="str">
        <x:v>黄色</x:v>
      </x:c>
      <x:c r="H19" s="18" t="str"/>
      <x:c r="I19" s="18" t="str"/>
      <x:c r="J19" s="18" t="str"/>
      <x:c r="K19" s="18" t="str"/>
      <x:c r="L19" s="18" t="str"/>
      <x:c r="M19" s="18" t="str"/>
      <x:c r="N19" s="18" t="str"/>
      <x:c r="O19" s="17"/>
      <x:c r="P19" s="18" t="str">
        <x:v>未升级</x:v>
      </x:c>
      <x:c r="Q19" s="18" t="str">
        <x:v>待判断</x:v>
      </x:c>
      <x:c r="R19" s="18" t="str">
        <x:v>待判断</x:v>
      </x:c>
      <x:c r="S19" s="18" t="str">
        <x:v>待判断</x:v>
      </x:c>
      <x:c r="T19" s="19"/>
      <x:c r="U19" s="18" t="str"/>
      <x:c r="V19" s="18" t="str">
        <x:v>Open</x:v>
      </x:c>
      <x:c r="W19" s="18" t="str"/>
      <x:c r="X19" s="19"/>
    </x:row>
    <x:row r="20">
      <x:c r="A20" s="13" t="str">
        <x:v>ISS-0015</x:v>
      </x:c>
      <x:c r="B20" s="19"/>
      <x:c r="C20" s="18" t="str"/>
      <x:c r="D20" s="18" t="str"/>
      <x:c r="E20" s="18" t="str"/>
      <x:c r="F20" s="21" t="n">
        <x:v>0</x:v>
      </x:c>
      <x:c r="G20" s="18" t="str">
        <x:v>黄色</x:v>
      </x:c>
      <x:c r="H20" s="18" t="str"/>
      <x:c r="I20" s="18" t="str"/>
      <x:c r="J20" s="18" t="str"/>
      <x:c r="K20" s="18" t="str"/>
      <x:c r="L20" s="18" t="str"/>
      <x:c r="M20" s="18" t="str"/>
      <x:c r="N20" s="18" t="str"/>
      <x:c r="O20" s="17"/>
      <x:c r="P20" s="18" t="str">
        <x:v>未升级</x:v>
      </x:c>
      <x:c r="Q20" s="18" t="str">
        <x:v>待判断</x:v>
      </x:c>
      <x:c r="R20" s="18" t="str">
        <x:v>待判断</x:v>
      </x:c>
      <x:c r="S20" s="18" t="str">
        <x:v>待判断</x:v>
      </x:c>
      <x:c r="T20" s="19"/>
      <x:c r="U20" s="18" t="str"/>
      <x:c r="V20" s="18" t="str">
        <x:v>Open</x:v>
      </x:c>
      <x:c r="W20" s="18" t="str"/>
      <x:c r="X20" s="19"/>
    </x:row>
    <x:row r="21">
      <x:c r="A21" s="13" t="str">
        <x:v>ISS-0016</x:v>
      </x:c>
      <x:c r="B21" s="19"/>
      <x:c r="C21" s="18" t="str"/>
      <x:c r="D21" s="18" t="str"/>
      <x:c r="E21" s="18" t="str"/>
      <x:c r="F21" s="21" t="n">
        <x:v>0</x:v>
      </x:c>
      <x:c r="G21" s="18" t="str">
        <x:v>黄色</x:v>
      </x:c>
      <x:c r="H21" s="18" t="str"/>
      <x:c r="I21" s="18" t="str"/>
      <x:c r="J21" s="18" t="str"/>
      <x:c r="K21" s="18" t="str"/>
      <x:c r="L21" s="18" t="str"/>
      <x:c r="M21" s="18" t="str"/>
      <x:c r="N21" s="18" t="str"/>
      <x:c r="O21" s="17"/>
      <x:c r="P21" s="18" t="str">
        <x:v>未升级</x:v>
      </x:c>
      <x:c r="Q21" s="18" t="str">
        <x:v>待判断</x:v>
      </x:c>
      <x:c r="R21" s="18" t="str">
        <x:v>待判断</x:v>
      </x:c>
      <x:c r="S21" s="18" t="str">
        <x:v>待判断</x:v>
      </x:c>
      <x:c r="T21" s="19"/>
      <x:c r="U21" s="18" t="str"/>
      <x:c r="V21" s="18" t="str">
        <x:v>Open</x:v>
      </x:c>
      <x:c r="W21" s="18" t="str"/>
      <x:c r="X21" s="19"/>
    </x:row>
    <x:row r="22">
      <x:c r="A22" s="13" t="str">
        <x:v>ISS-0017</x:v>
      </x:c>
      <x:c r="B22" s="19"/>
      <x:c r="C22" s="18" t="str"/>
      <x:c r="D22" s="18" t="str"/>
      <x:c r="E22" s="18" t="str"/>
      <x:c r="F22" s="21" t="n">
        <x:v>0</x:v>
      </x:c>
      <x:c r="G22" s="18" t="str">
        <x:v>黄色</x:v>
      </x:c>
      <x:c r="H22" s="18" t="str"/>
      <x:c r="I22" s="18" t="str"/>
      <x:c r="J22" s="18" t="str"/>
      <x:c r="K22" s="18" t="str"/>
      <x:c r="L22" s="18" t="str"/>
      <x:c r="M22" s="18" t="str"/>
      <x:c r="N22" s="18" t="str"/>
      <x:c r="O22" s="17"/>
      <x:c r="P22" s="18" t="str">
        <x:v>未升级</x:v>
      </x:c>
      <x:c r="Q22" s="18" t="str">
        <x:v>待判断</x:v>
      </x:c>
      <x:c r="R22" s="18" t="str">
        <x:v>待判断</x:v>
      </x:c>
      <x:c r="S22" s="18" t="str">
        <x:v>待判断</x:v>
      </x:c>
      <x:c r="T22" s="19"/>
      <x:c r="U22" s="18" t="str"/>
      <x:c r="V22" s="18" t="str">
        <x:v>Open</x:v>
      </x:c>
      <x:c r="W22" s="18" t="str"/>
      <x:c r="X22" s="19"/>
    </x:row>
    <x:row r="23">
      <x:c r="A23" s="13" t="str">
        <x:v>ISS-0018</x:v>
      </x:c>
      <x:c r="B23" s="19"/>
      <x:c r="C23" s="18" t="str"/>
      <x:c r="D23" s="18" t="str"/>
      <x:c r="E23" s="18" t="str"/>
      <x:c r="F23" s="21" t="n">
        <x:v>0</x:v>
      </x:c>
      <x:c r="G23" s="18" t="str">
        <x:v>黄色</x:v>
      </x:c>
      <x:c r="H23" s="18" t="str"/>
      <x:c r="I23" s="18" t="str"/>
      <x:c r="J23" s="18" t="str"/>
      <x:c r="K23" s="18" t="str"/>
      <x:c r="L23" s="18" t="str"/>
      <x:c r="M23" s="18" t="str"/>
      <x:c r="N23" s="18" t="str"/>
      <x:c r="O23" s="17"/>
      <x:c r="P23" s="18" t="str">
        <x:v>未升级</x:v>
      </x:c>
      <x:c r="Q23" s="18" t="str">
        <x:v>待判断</x:v>
      </x:c>
      <x:c r="R23" s="18" t="str">
        <x:v>待判断</x:v>
      </x:c>
      <x:c r="S23" s="18" t="str">
        <x:v>待判断</x:v>
      </x:c>
      <x:c r="T23" s="19"/>
      <x:c r="U23" s="18" t="str"/>
      <x:c r="V23" s="18" t="str">
        <x:v>Open</x:v>
      </x:c>
      <x:c r="W23" s="18" t="str"/>
      <x:c r="X23" s="19"/>
    </x:row>
    <x:row r="24">
      <x:c r="A24" s="13" t="str">
        <x:v>ISS-0019</x:v>
      </x:c>
      <x:c r="B24" s="19"/>
      <x:c r="C24" s="18" t="str"/>
      <x:c r="D24" s="18" t="str"/>
      <x:c r="E24" s="18" t="str"/>
      <x:c r="F24" s="21" t="n">
        <x:v>0</x:v>
      </x:c>
      <x:c r="G24" s="18" t="str">
        <x:v>黄色</x:v>
      </x:c>
      <x:c r="H24" s="18" t="str"/>
      <x:c r="I24" s="18" t="str"/>
      <x:c r="J24" s="18" t="str"/>
      <x:c r="K24" s="18" t="str"/>
      <x:c r="L24" s="18" t="str"/>
      <x:c r="M24" s="18" t="str"/>
      <x:c r="N24" s="18" t="str"/>
      <x:c r="O24" s="17"/>
      <x:c r="P24" s="18" t="str">
        <x:v>未升级</x:v>
      </x:c>
      <x:c r="Q24" s="18" t="str">
        <x:v>待判断</x:v>
      </x:c>
      <x:c r="R24" s="18" t="str">
        <x:v>待判断</x:v>
      </x:c>
      <x:c r="S24" s="18" t="str">
        <x:v>待判断</x:v>
      </x:c>
      <x:c r="T24" s="19"/>
      <x:c r="U24" s="18" t="str"/>
      <x:c r="V24" s="18" t="str">
        <x:v>Open</x:v>
      </x:c>
      <x:c r="W24" s="18" t="str"/>
      <x:c r="X24" s="19"/>
    </x:row>
    <x:row r="25">
      <x:c r="A25" s="13" t="str">
        <x:v>ISS-0020</x:v>
      </x:c>
      <x:c r="B25" s="19"/>
      <x:c r="C25" s="18" t="str"/>
      <x:c r="D25" s="18" t="str"/>
      <x:c r="E25" s="18" t="str"/>
      <x:c r="F25" s="21" t="n">
        <x:v>0</x:v>
      </x:c>
      <x:c r="G25" s="18" t="str">
        <x:v>黄色</x:v>
      </x:c>
      <x:c r="H25" s="18" t="str"/>
      <x:c r="I25" s="18" t="str"/>
      <x:c r="J25" s="18" t="str"/>
      <x:c r="K25" s="18" t="str"/>
      <x:c r="L25" s="18" t="str"/>
      <x:c r="M25" s="18" t="str"/>
      <x:c r="N25" s="18" t="str"/>
      <x:c r="O25" s="17"/>
      <x:c r="P25" s="18" t="str">
        <x:v>未升级</x:v>
      </x:c>
      <x:c r="Q25" s="18" t="str">
        <x:v>待判断</x:v>
      </x:c>
      <x:c r="R25" s="18" t="str">
        <x:v>待判断</x:v>
      </x:c>
      <x:c r="S25" s="18" t="str">
        <x:v>待判断</x:v>
      </x:c>
      <x:c r="T25" s="19"/>
      <x:c r="U25" s="18" t="str"/>
      <x:c r="V25" s="18" t="str">
        <x:v>Open</x:v>
      </x:c>
      <x:c r="W25" s="18" t="str"/>
      <x:c r="X25" s="19"/>
    </x:row>
    <x:row r="26">
      <x:c r="A26" s="13" t="str">
        <x:v>ISS-0021</x:v>
      </x:c>
      <x:c r="B26" s="19"/>
      <x:c r="C26" s="18" t="str"/>
      <x:c r="D26" s="18" t="str"/>
      <x:c r="E26" s="18" t="str"/>
      <x:c r="F26" s="21" t="n">
        <x:v>0</x:v>
      </x:c>
      <x:c r="G26" s="18" t="str">
        <x:v>黄色</x:v>
      </x:c>
      <x:c r="H26" s="18" t="str"/>
      <x:c r="I26" s="18" t="str"/>
      <x:c r="J26" s="18" t="str"/>
      <x:c r="K26" s="18" t="str"/>
      <x:c r="L26" s="18" t="str"/>
      <x:c r="M26" s="18" t="str"/>
      <x:c r="N26" s="18" t="str"/>
      <x:c r="O26" s="17"/>
      <x:c r="P26" s="18" t="str">
        <x:v>未升级</x:v>
      </x:c>
      <x:c r="Q26" s="18" t="str">
        <x:v>待判断</x:v>
      </x:c>
      <x:c r="R26" s="18" t="str">
        <x:v>待判断</x:v>
      </x:c>
      <x:c r="S26" s="18" t="str">
        <x:v>待判断</x:v>
      </x:c>
      <x:c r="T26" s="19"/>
      <x:c r="U26" s="18" t="str"/>
      <x:c r="V26" s="18" t="str">
        <x:v>Open</x:v>
      </x:c>
      <x:c r="W26" s="18" t="str"/>
      <x:c r="X26" s="19"/>
    </x:row>
    <x:row r="27">
      <x:c r="A27" s="13" t="str">
        <x:v>ISS-0022</x:v>
      </x:c>
      <x:c r="B27" s="19"/>
      <x:c r="C27" s="18" t="str"/>
      <x:c r="D27" s="18" t="str"/>
      <x:c r="E27" s="18" t="str"/>
      <x:c r="F27" s="21" t="n">
        <x:v>0</x:v>
      </x:c>
      <x:c r="G27" s="18" t="str">
        <x:v>黄色</x:v>
      </x:c>
      <x:c r="H27" s="18" t="str"/>
      <x:c r="I27" s="18" t="str"/>
      <x:c r="J27" s="18" t="str"/>
      <x:c r="K27" s="18" t="str"/>
      <x:c r="L27" s="18" t="str"/>
      <x:c r="M27" s="18" t="str"/>
      <x:c r="N27" s="18" t="str"/>
      <x:c r="O27" s="17"/>
      <x:c r="P27" s="18" t="str">
        <x:v>未升级</x:v>
      </x:c>
      <x:c r="Q27" s="18" t="str">
        <x:v>待判断</x:v>
      </x:c>
      <x:c r="R27" s="18" t="str">
        <x:v>待判断</x:v>
      </x:c>
      <x:c r="S27" s="18" t="str">
        <x:v>待判断</x:v>
      </x:c>
      <x:c r="T27" s="19"/>
      <x:c r="U27" s="18" t="str"/>
      <x:c r="V27" s="18" t="str">
        <x:v>Open</x:v>
      </x:c>
      <x:c r="W27" s="18" t="str"/>
      <x:c r="X27" s="19"/>
    </x:row>
    <x:row r="28">
      <x:c r="A28" s="13" t="str">
        <x:v>ISS-0023</x:v>
      </x:c>
      <x:c r="B28" s="19"/>
      <x:c r="C28" s="18" t="str"/>
      <x:c r="D28" s="18" t="str"/>
      <x:c r="E28" s="18" t="str"/>
      <x:c r="F28" s="21" t="n">
        <x:v>0</x:v>
      </x:c>
      <x:c r="G28" s="18" t="str">
        <x:v>黄色</x:v>
      </x:c>
      <x:c r="H28" s="18" t="str"/>
      <x:c r="I28" s="18" t="str"/>
      <x:c r="J28" s="18" t="str"/>
      <x:c r="K28" s="18" t="str"/>
      <x:c r="L28" s="18" t="str"/>
      <x:c r="M28" s="18" t="str"/>
      <x:c r="N28" s="18" t="str"/>
      <x:c r="O28" s="17"/>
      <x:c r="P28" s="18" t="str">
        <x:v>未升级</x:v>
      </x:c>
      <x:c r="Q28" s="18" t="str">
        <x:v>待判断</x:v>
      </x:c>
      <x:c r="R28" s="18" t="str">
        <x:v>待判断</x:v>
      </x:c>
      <x:c r="S28" s="18" t="str">
        <x:v>待判断</x:v>
      </x:c>
      <x:c r="T28" s="19"/>
      <x:c r="U28" s="18" t="str"/>
      <x:c r="V28" s="18" t="str">
        <x:v>Open</x:v>
      </x:c>
      <x:c r="W28" s="18" t="str"/>
      <x:c r="X28" s="19"/>
    </x:row>
    <x:row r="29">
      <x:c r="A29" s="13" t="str">
        <x:v>ISS-0024</x:v>
      </x:c>
      <x:c r="B29" s="19"/>
      <x:c r="C29" s="18" t="str"/>
      <x:c r="D29" s="18" t="str"/>
      <x:c r="E29" s="18" t="str"/>
      <x:c r="F29" s="21" t="n">
        <x:v>0</x:v>
      </x:c>
      <x:c r="G29" s="18" t="str">
        <x:v>黄色</x:v>
      </x:c>
      <x:c r="H29" s="18" t="str"/>
      <x:c r="I29" s="18" t="str"/>
      <x:c r="J29" s="18" t="str"/>
      <x:c r="K29" s="18" t="str"/>
      <x:c r="L29" s="18" t="str"/>
      <x:c r="M29" s="18" t="str"/>
      <x:c r="N29" s="18" t="str"/>
      <x:c r="O29" s="17"/>
      <x:c r="P29" s="18" t="str">
        <x:v>未升级</x:v>
      </x:c>
      <x:c r="Q29" s="18" t="str">
        <x:v>待判断</x:v>
      </x:c>
      <x:c r="R29" s="18" t="str">
        <x:v>待判断</x:v>
      </x:c>
      <x:c r="S29" s="18" t="str">
        <x:v>待判断</x:v>
      </x:c>
      <x:c r="T29" s="19"/>
      <x:c r="U29" s="18" t="str"/>
      <x:c r="V29" s="18" t="str">
        <x:v>Open</x:v>
      </x:c>
      <x:c r="W29" s="18" t="str"/>
      <x:c r="X29" s="19"/>
    </x:row>
    <x:row r="30">
      <x:c r="A30" s="13" t="str">
        <x:v>ISS-0025</x:v>
      </x:c>
      <x:c r="B30" s="19"/>
      <x:c r="C30" s="18" t="str"/>
      <x:c r="D30" s="18" t="str"/>
      <x:c r="E30" s="18" t="str"/>
      <x:c r="F30" s="21" t="n">
        <x:v>0</x:v>
      </x:c>
      <x:c r="G30" s="18" t="str">
        <x:v>黄色</x:v>
      </x:c>
      <x:c r="H30" s="18" t="str"/>
      <x:c r="I30" s="18" t="str"/>
      <x:c r="J30" s="18" t="str"/>
      <x:c r="K30" s="18" t="str"/>
      <x:c r="L30" s="18" t="str"/>
      <x:c r="M30" s="18" t="str"/>
      <x:c r="N30" s="18" t="str"/>
      <x:c r="O30" s="17"/>
      <x:c r="P30" s="18" t="str">
        <x:v>未升级</x:v>
      </x:c>
      <x:c r="Q30" s="18" t="str">
        <x:v>待判断</x:v>
      </x:c>
      <x:c r="R30" s="18" t="str">
        <x:v>待判断</x:v>
      </x:c>
      <x:c r="S30" s="18" t="str">
        <x:v>待判断</x:v>
      </x:c>
      <x:c r="T30" s="19"/>
      <x:c r="U30" s="18" t="str"/>
      <x:c r="V30" s="18" t="str">
        <x:v>Open</x:v>
      </x:c>
      <x:c r="W30" s="18" t="str"/>
      <x:c r="X30" s="19"/>
    </x:row>
    <x:row r="31">
      <x:c r="A31" s="13" t="str">
        <x:v>ISS-0026</x:v>
      </x:c>
      <x:c r="B31" s="19"/>
      <x:c r="C31" s="18" t="str"/>
      <x:c r="D31" s="18" t="str"/>
      <x:c r="E31" s="18" t="str"/>
      <x:c r="F31" s="21" t="n">
        <x:v>0</x:v>
      </x:c>
      <x:c r="G31" s="18" t="str">
        <x:v>黄色</x:v>
      </x:c>
      <x:c r="H31" s="18" t="str"/>
      <x:c r="I31" s="18" t="str"/>
      <x:c r="J31" s="18" t="str"/>
      <x:c r="K31" s="18" t="str"/>
      <x:c r="L31" s="18" t="str"/>
      <x:c r="M31" s="18" t="str"/>
      <x:c r="N31" s="18" t="str"/>
      <x:c r="O31" s="17"/>
      <x:c r="P31" s="18" t="str">
        <x:v>未升级</x:v>
      </x:c>
      <x:c r="Q31" s="18" t="str">
        <x:v>待判断</x:v>
      </x:c>
      <x:c r="R31" s="18" t="str">
        <x:v>待判断</x:v>
      </x:c>
      <x:c r="S31" s="18" t="str">
        <x:v>待判断</x:v>
      </x:c>
      <x:c r="T31" s="19"/>
      <x:c r="U31" s="18" t="str"/>
      <x:c r="V31" s="18" t="str">
        <x:v>Open</x:v>
      </x:c>
      <x:c r="W31" s="18" t="str"/>
      <x:c r="X31" s="19"/>
    </x:row>
    <x:row r="32">
      <x:c r="A32" s="13" t="str">
        <x:v>ISS-0027</x:v>
      </x:c>
      <x:c r="B32" s="19"/>
      <x:c r="C32" s="18" t="str"/>
      <x:c r="D32" s="18" t="str"/>
      <x:c r="E32" s="18" t="str"/>
      <x:c r="F32" s="21" t="n">
        <x:v>0</x:v>
      </x:c>
      <x:c r="G32" s="18" t="str">
        <x:v>黄色</x:v>
      </x:c>
      <x:c r="H32" s="18" t="str"/>
      <x:c r="I32" s="18" t="str"/>
      <x:c r="J32" s="18" t="str"/>
      <x:c r="K32" s="18" t="str"/>
      <x:c r="L32" s="18" t="str"/>
      <x:c r="M32" s="18" t="str"/>
      <x:c r="N32" s="18" t="str"/>
      <x:c r="O32" s="17"/>
      <x:c r="P32" s="18" t="str">
        <x:v>未升级</x:v>
      </x:c>
      <x:c r="Q32" s="18" t="str">
        <x:v>待判断</x:v>
      </x:c>
      <x:c r="R32" s="18" t="str">
        <x:v>待判断</x:v>
      </x:c>
      <x:c r="S32" s="18" t="str">
        <x:v>待判断</x:v>
      </x:c>
      <x:c r="T32" s="19"/>
      <x:c r="U32" s="18" t="str"/>
      <x:c r="V32" s="18" t="str">
        <x:v>Open</x:v>
      </x:c>
      <x:c r="W32" s="18" t="str"/>
      <x:c r="X32" s="19"/>
    </x:row>
    <x:row r="33">
      <x:c r="A33" s="13" t="str">
        <x:v>ISS-0028</x:v>
      </x:c>
      <x:c r="B33" s="19"/>
      <x:c r="C33" s="18" t="str"/>
      <x:c r="D33" s="18" t="str"/>
      <x:c r="E33" s="18" t="str"/>
      <x:c r="F33" s="21" t="n">
        <x:v>0</x:v>
      </x:c>
      <x:c r="G33" s="18" t="str">
        <x:v>黄色</x:v>
      </x:c>
      <x:c r="H33" s="18" t="str"/>
      <x:c r="I33" s="18" t="str"/>
      <x:c r="J33" s="18" t="str"/>
      <x:c r="K33" s="18" t="str"/>
      <x:c r="L33" s="18" t="str"/>
      <x:c r="M33" s="18" t="str"/>
      <x:c r="N33" s="18" t="str"/>
      <x:c r="O33" s="17"/>
      <x:c r="P33" s="18" t="str">
        <x:v>未升级</x:v>
      </x:c>
      <x:c r="Q33" s="18" t="str">
        <x:v>待判断</x:v>
      </x:c>
      <x:c r="R33" s="18" t="str">
        <x:v>待判断</x:v>
      </x:c>
      <x:c r="S33" s="18" t="str">
        <x:v>待判断</x:v>
      </x:c>
      <x:c r="T33" s="19"/>
      <x:c r="U33" s="18" t="str"/>
      <x:c r="V33" s="18" t="str">
        <x:v>Open</x:v>
      </x:c>
      <x:c r="W33" s="18" t="str"/>
      <x:c r="X33" s="19"/>
    </x:row>
    <x:row r="34">
      <x:c r="A34" s="13" t="str">
        <x:v>ISS-0029</x:v>
      </x:c>
      <x:c r="B34" s="19"/>
      <x:c r="C34" s="18" t="str"/>
      <x:c r="D34" s="18" t="str"/>
      <x:c r="E34" s="18" t="str"/>
      <x:c r="F34" s="21" t="n">
        <x:v>0</x:v>
      </x:c>
      <x:c r="G34" s="18" t="str">
        <x:v>黄色</x:v>
      </x:c>
      <x:c r="H34" s="18" t="str"/>
      <x:c r="I34" s="18" t="str"/>
      <x:c r="J34" s="18" t="str"/>
      <x:c r="K34" s="18" t="str"/>
      <x:c r="L34" s="18" t="str"/>
      <x:c r="M34" s="18" t="str"/>
      <x:c r="N34" s="18" t="str"/>
      <x:c r="O34" s="17"/>
      <x:c r="P34" s="18" t="str">
        <x:v>未升级</x:v>
      </x:c>
      <x:c r="Q34" s="18" t="str">
        <x:v>待判断</x:v>
      </x:c>
      <x:c r="R34" s="18" t="str">
        <x:v>待判断</x:v>
      </x:c>
      <x:c r="S34" s="18" t="str">
        <x:v>待判断</x:v>
      </x:c>
      <x:c r="T34" s="19"/>
      <x:c r="U34" s="18" t="str"/>
      <x:c r="V34" s="18" t="str">
        <x:v>Open</x:v>
      </x:c>
      <x:c r="W34" s="18" t="str"/>
      <x:c r="X34" s="19"/>
    </x:row>
    <x:row r="35">
      <x:c r="A35" s="13" t="str">
        <x:v>ISS-0030</x:v>
      </x:c>
      <x:c r="B35" s="19"/>
      <x:c r="C35" s="18" t="str"/>
      <x:c r="D35" s="18" t="str"/>
      <x:c r="E35" s="18" t="str"/>
      <x:c r="F35" s="21" t="n">
        <x:v>0</x:v>
      </x:c>
      <x:c r="G35" s="18" t="str">
        <x:v>黄色</x:v>
      </x:c>
      <x:c r="H35" s="18" t="str"/>
      <x:c r="I35" s="18" t="str"/>
      <x:c r="J35" s="18" t="str"/>
      <x:c r="K35" s="18" t="str"/>
      <x:c r="L35" s="18" t="str"/>
      <x:c r="M35" s="18" t="str"/>
      <x:c r="N35" s="18" t="str"/>
      <x:c r="O35" s="17"/>
      <x:c r="P35" s="18" t="str">
        <x:v>未升级</x:v>
      </x:c>
      <x:c r="Q35" s="18" t="str">
        <x:v>待判断</x:v>
      </x:c>
      <x:c r="R35" s="18" t="str">
        <x:v>待判断</x:v>
      </x:c>
      <x:c r="S35" s="18" t="str">
        <x:v>待判断</x:v>
      </x:c>
      <x:c r="T35" s="19"/>
      <x:c r="U35" s="18" t="str"/>
      <x:c r="V35" s="18" t="str">
        <x:v>Open</x:v>
      </x:c>
      <x:c r="W35" s="18" t="str"/>
      <x:c r="X35" s="19"/>
    </x:row>
    <x:row r="36">
      <x:c r="A36" s="13" t="str">
        <x:v>ISS-0031</x:v>
      </x:c>
      <x:c r="B36" s="19"/>
      <x:c r="C36" s="18" t="str"/>
      <x:c r="D36" s="18" t="str"/>
      <x:c r="E36" s="18" t="str"/>
      <x:c r="F36" s="21" t="n">
        <x:v>0</x:v>
      </x:c>
      <x:c r="G36" s="18" t="str">
        <x:v>黄色</x:v>
      </x:c>
      <x:c r="H36" s="18" t="str"/>
      <x:c r="I36" s="18" t="str"/>
      <x:c r="J36" s="18" t="str"/>
      <x:c r="K36" s="18" t="str"/>
      <x:c r="L36" s="18" t="str"/>
      <x:c r="M36" s="18" t="str"/>
      <x:c r="N36" s="18" t="str"/>
      <x:c r="O36" s="17"/>
      <x:c r="P36" s="18" t="str">
        <x:v>未升级</x:v>
      </x:c>
      <x:c r="Q36" s="18" t="str">
        <x:v>待判断</x:v>
      </x:c>
      <x:c r="R36" s="18" t="str">
        <x:v>待判断</x:v>
      </x:c>
      <x:c r="S36" s="18" t="str">
        <x:v>待判断</x:v>
      </x:c>
      <x:c r="T36" s="19"/>
      <x:c r="U36" s="18" t="str"/>
      <x:c r="V36" s="18" t="str">
        <x:v>Open</x:v>
      </x:c>
      <x:c r="W36" s="18" t="str"/>
      <x:c r="X36" s="19"/>
    </x:row>
    <x:row r="37">
      <x:c r="A37" s="13" t="str">
        <x:v>ISS-0032</x:v>
      </x:c>
      <x:c r="B37" s="19"/>
      <x:c r="C37" s="18" t="str"/>
      <x:c r="D37" s="18" t="str"/>
      <x:c r="E37" s="18" t="str"/>
      <x:c r="F37" s="21" t="n">
        <x:v>0</x:v>
      </x:c>
      <x:c r="G37" s="18" t="str">
        <x:v>黄色</x:v>
      </x:c>
      <x:c r="H37" s="18" t="str"/>
      <x:c r="I37" s="18" t="str"/>
      <x:c r="J37" s="18" t="str"/>
      <x:c r="K37" s="18" t="str"/>
      <x:c r="L37" s="18" t="str"/>
      <x:c r="M37" s="18" t="str"/>
      <x:c r="N37" s="18" t="str"/>
      <x:c r="O37" s="17"/>
      <x:c r="P37" s="18" t="str">
        <x:v>未升级</x:v>
      </x:c>
      <x:c r="Q37" s="18" t="str">
        <x:v>待判断</x:v>
      </x:c>
      <x:c r="R37" s="18" t="str">
        <x:v>待判断</x:v>
      </x:c>
      <x:c r="S37" s="18" t="str">
        <x:v>待判断</x:v>
      </x:c>
      <x:c r="T37" s="19"/>
      <x:c r="U37" s="18" t="str"/>
      <x:c r="V37" s="18" t="str">
        <x:v>Open</x:v>
      </x:c>
      <x:c r="W37" s="18" t="str"/>
      <x:c r="X37" s="19"/>
    </x:row>
    <x:row r="38">
      <x:c r="A38" s="13" t="str">
        <x:v>ISS-0033</x:v>
      </x:c>
      <x:c r="B38" s="19"/>
      <x:c r="C38" s="18" t="str"/>
      <x:c r="D38" s="18" t="str"/>
      <x:c r="E38" s="18" t="str"/>
      <x:c r="F38" s="21" t="n">
        <x:v>0</x:v>
      </x:c>
      <x:c r="G38" s="18" t="str">
        <x:v>黄色</x:v>
      </x:c>
      <x:c r="H38" s="18" t="str"/>
      <x:c r="I38" s="18" t="str"/>
      <x:c r="J38" s="18" t="str"/>
      <x:c r="K38" s="18" t="str"/>
      <x:c r="L38" s="18" t="str"/>
      <x:c r="M38" s="18" t="str"/>
      <x:c r="N38" s="18" t="str"/>
      <x:c r="O38" s="17"/>
      <x:c r="P38" s="18" t="str">
        <x:v>未升级</x:v>
      </x:c>
      <x:c r="Q38" s="18" t="str">
        <x:v>待判断</x:v>
      </x:c>
      <x:c r="R38" s="18" t="str">
        <x:v>待判断</x:v>
      </x:c>
      <x:c r="S38" s="18" t="str">
        <x:v>待判断</x:v>
      </x:c>
      <x:c r="T38" s="19"/>
      <x:c r="U38" s="18" t="str"/>
      <x:c r="V38" s="18" t="str">
        <x:v>Open</x:v>
      </x:c>
      <x:c r="W38" s="18" t="str"/>
      <x:c r="X38" s="19"/>
    </x:row>
    <x:row r="39">
      <x:c r="A39" s="13" t="str">
        <x:v>ISS-0034</x:v>
      </x:c>
      <x:c r="B39" s="19"/>
      <x:c r="C39" s="18" t="str"/>
      <x:c r="D39" s="18" t="str"/>
      <x:c r="E39" s="18" t="str"/>
      <x:c r="F39" s="21" t="n">
        <x:v>0</x:v>
      </x:c>
      <x:c r="G39" s="18" t="str">
        <x:v>黄色</x:v>
      </x:c>
      <x:c r="H39" s="18" t="str"/>
      <x:c r="I39" s="18" t="str"/>
      <x:c r="J39" s="18" t="str"/>
      <x:c r="K39" s="18" t="str"/>
      <x:c r="L39" s="18" t="str"/>
      <x:c r="M39" s="18" t="str"/>
      <x:c r="N39" s="18" t="str"/>
      <x:c r="O39" s="17"/>
      <x:c r="P39" s="18" t="str">
        <x:v>未升级</x:v>
      </x:c>
      <x:c r="Q39" s="18" t="str">
        <x:v>待判断</x:v>
      </x:c>
      <x:c r="R39" s="18" t="str">
        <x:v>待判断</x:v>
      </x:c>
      <x:c r="S39" s="18" t="str">
        <x:v>待判断</x:v>
      </x:c>
      <x:c r="T39" s="19"/>
      <x:c r="U39" s="18" t="str"/>
      <x:c r="V39" s="18" t="str">
        <x:v>Open</x:v>
      </x:c>
      <x:c r="W39" s="18" t="str"/>
      <x:c r="X39" s="19"/>
    </x:row>
    <x:row r="40">
      <x:c r="A40" s="13" t="str">
        <x:v>ISS-0035</x:v>
      </x:c>
      <x:c r="B40" s="19"/>
      <x:c r="C40" s="18" t="str"/>
      <x:c r="D40" s="18" t="str"/>
      <x:c r="E40" s="18" t="str"/>
      <x:c r="F40" s="21" t="n">
        <x:v>0</x:v>
      </x:c>
      <x:c r="G40" s="18" t="str">
        <x:v>黄色</x:v>
      </x:c>
      <x:c r="H40" s="18" t="str"/>
      <x:c r="I40" s="18" t="str"/>
      <x:c r="J40" s="18" t="str"/>
      <x:c r="K40" s="18" t="str"/>
      <x:c r="L40" s="18" t="str"/>
      <x:c r="M40" s="18" t="str"/>
      <x:c r="N40" s="18" t="str"/>
      <x:c r="O40" s="17"/>
      <x:c r="P40" s="18" t="str">
        <x:v>未升级</x:v>
      </x:c>
      <x:c r="Q40" s="18" t="str">
        <x:v>待判断</x:v>
      </x:c>
      <x:c r="R40" s="18" t="str">
        <x:v>待判断</x:v>
      </x:c>
      <x:c r="S40" s="18" t="str">
        <x:v>待判断</x:v>
      </x:c>
      <x:c r="T40" s="19"/>
      <x:c r="U40" s="18" t="str"/>
      <x:c r="V40" s="18" t="str">
        <x:v>Open</x:v>
      </x:c>
      <x:c r="W40" s="18" t="str"/>
      <x:c r="X40" s="19"/>
    </x:row>
    <x:row r="41">
      <x:c r="A41" s="13" t="str">
        <x:v>ISS-0036</x:v>
      </x:c>
      <x:c r="B41" s="19"/>
      <x:c r="C41" s="18" t="str"/>
      <x:c r="D41" s="18" t="str"/>
      <x:c r="E41" s="18" t="str"/>
      <x:c r="F41" s="21" t="n">
        <x:v>0</x:v>
      </x:c>
      <x:c r="G41" s="18" t="str">
        <x:v>黄色</x:v>
      </x:c>
      <x:c r="H41" s="18" t="str"/>
      <x:c r="I41" s="18" t="str"/>
      <x:c r="J41" s="18" t="str"/>
      <x:c r="K41" s="18" t="str"/>
      <x:c r="L41" s="18" t="str"/>
      <x:c r="M41" s="18" t="str"/>
      <x:c r="N41" s="18" t="str"/>
      <x:c r="O41" s="17"/>
      <x:c r="P41" s="18" t="str">
        <x:v>未升级</x:v>
      </x:c>
      <x:c r="Q41" s="18" t="str">
        <x:v>待判断</x:v>
      </x:c>
      <x:c r="R41" s="18" t="str">
        <x:v>待判断</x:v>
      </x:c>
      <x:c r="S41" s="18" t="str">
        <x:v>待判断</x:v>
      </x:c>
      <x:c r="T41" s="19"/>
      <x:c r="U41" s="18" t="str"/>
      <x:c r="V41" s="18" t="str">
        <x:v>Open</x:v>
      </x:c>
      <x:c r="W41" s="18" t="str"/>
      <x:c r="X41" s="19"/>
    </x:row>
    <x:row r="42">
      <x:c r="A42" s="13" t="str">
        <x:v>ISS-0037</x:v>
      </x:c>
      <x:c r="B42" s="19"/>
      <x:c r="C42" s="18" t="str"/>
      <x:c r="D42" s="18" t="str"/>
      <x:c r="E42" s="18" t="str"/>
      <x:c r="F42" s="21" t="n">
        <x:v>0</x:v>
      </x:c>
      <x:c r="G42" s="18" t="str">
        <x:v>黄色</x:v>
      </x:c>
      <x:c r="H42" s="18" t="str"/>
      <x:c r="I42" s="18" t="str"/>
      <x:c r="J42" s="18" t="str"/>
      <x:c r="K42" s="18" t="str"/>
      <x:c r="L42" s="18" t="str"/>
      <x:c r="M42" s="18" t="str"/>
      <x:c r="N42" s="18" t="str"/>
      <x:c r="O42" s="17"/>
      <x:c r="P42" s="18" t="str">
        <x:v>未升级</x:v>
      </x:c>
      <x:c r="Q42" s="18" t="str">
        <x:v>待判断</x:v>
      </x:c>
      <x:c r="R42" s="18" t="str">
        <x:v>待判断</x:v>
      </x:c>
      <x:c r="S42" s="18" t="str">
        <x:v>待判断</x:v>
      </x:c>
      <x:c r="T42" s="19"/>
      <x:c r="U42" s="18" t="str"/>
      <x:c r="V42" s="18" t="str">
        <x:v>Open</x:v>
      </x:c>
      <x:c r="W42" s="18" t="str"/>
      <x:c r="X42" s="19"/>
    </x:row>
    <x:row r="43">
      <x:c r="A43" s="13" t="str">
        <x:v>ISS-0038</x:v>
      </x:c>
      <x:c r="B43" s="19"/>
      <x:c r="C43" s="18" t="str"/>
      <x:c r="D43" s="18" t="str"/>
      <x:c r="E43" s="18" t="str"/>
      <x:c r="F43" s="21" t="n">
        <x:v>0</x:v>
      </x:c>
      <x:c r="G43" s="18" t="str">
        <x:v>黄色</x:v>
      </x:c>
      <x:c r="H43" s="18" t="str"/>
      <x:c r="I43" s="18" t="str"/>
      <x:c r="J43" s="18" t="str"/>
      <x:c r="K43" s="18" t="str"/>
      <x:c r="L43" s="18" t="str"/>
      <x:c r="M43" s="18" t="str"/>
      <x:c r="N43" s="18" t="str"/>
      <x:c r="O43" s="17"/>
      <x:c r="P43" s="18" t="str">
        <x:v>未升级</x:v>
      </x:c>
      <x:c r="Q43" s="18" t="str">
        <x:v>待判断</x:v>
      </x:c>
      <x:c r="R43" s="18" t="str">
        <x:v>待判断</x:v>
      </x:c>
      <x:c r="S43" s="18" t="str">
        <x:v>待判断</x:v>
      </x:c>
      <x:c r="T43" s="19"/>
      <x:c r="U43" s="18" t="str"/>
      <x:c r="V43" s="18" t="str">
        <x:v>Open</x:v>
      </x:c>
      <x:c r="W43" s="18" t="str"/>
      <x:c r="X43" s="19"/>
    </x:row>
    <x:row r="44">
      <x:c r="A44" s="13" t="str">
        <x:v>ISS-0039</x:v>
      </x:c>
      <x:c r="B44" s="19"/>
      <x:c r="C44" s="18" t="str"/>
      <x:c r="D44" s="18" t="str"/>
      <x:c r="E44" s="18" t="str"/>
      <x:c r="F44" s="21" t="n">
        <x:v>0</x:v>
      </x:c>
      <x:c r="G44" s="18" t="str">
        <x:v>黄色</x:v>
      </x:c>
      <x:c r="H44" s="18" t="str"/>
      <x:c r="I44" s="18" t="str"/>
      <x:c r="J44" s="18" t="str"/>
      <x:c r="K44" s="18" t="str"/>
      <x:c r="L44" s="18" t="str"/>
      <x:c r="M44" s="18" t="str"/>
      <x:c r="N44" s="18" t="str"/>
      <x:c r="O44" s="17"/>
      <x:c r="P44" s="18" t="str">
        <x:v>未升级</x:v>
      </x:c>
      <x:c r="Q44" s="18" t="str">
        <x:v>待判断</x:v>
      </x:c>
      <x:c r="R44" s="18" t="str">
        <x:v>待判断</x:v>
      </x:c>
      <x:c r="S44" s="18" t="str">
        <x:v>待判断</x:v>
      </x:c>
      <x:c r="T44" s="19"/>
      <x:c r="U44" s="18" t="str"/>
      <x:c r="V44" s="18" t="str">
        <x:v>Open</x:v>
      </x:c>
      <x:c r="W44" s="18" t="str"/>
      <x:c r="X44" s="19"/>
    </x:row>
    <x:row r="45">
      <x:c r="A45" s="13" t="str">
        <x:v>ISS-0040</x:v>
      </x:c>
      <x:c r="B45" s="19"/>
      <x:c r="C45" s="18" t="str"/>
      <x:c r="D45" s="18" t="str"/>
      <x:c r="E45" s="18" t="str"/>
      <x:c r="F45" s="21" t="n">
        <x:v>0</x:v>
      </x:c>
      <x:c r="G45" s="18" t="str">
        <x:v>黄色</x:v>
      </x:c>
      <x:c r="H45" s="18" t="str"/>
      <x:c r="I45" s="18" t="str"/>
      <x:c r="J45" s="18" t="str"/>
      <x:c r="K45" s="18" t="str"/>
      <x:c r="L45" s="18" t="str"/>
      <x:c r="M45" s="18" t="str"/>
      <x:c r="N45" s="18" t="str"/>
      <x:c r="O45" s="17"/>
      <x:c r="P45" s="18" t="str">
        <x:v>未升级</x:v>
      </x:c>
      <x:c r="Q45" s="18" t="str">
        <x:v>待判断</x:v>
      </x:c>
      <x:c r="R45" s="18" t="str">
        <x:v>待判断</x:v>
      </x:c>
      <x:c r="S45" s="18" t="str">
        <x:v>待判断</x:v>
      </x:c>
      <x:c r="T45" s="19"/>
      <x:c r="U45" s="18" t="str"/>
      <x:c r="V45" s="18" t="str">
        <x:v>Open</x:v>
      </x:c>
      <x:c r="W45" s="18" t="str"/>
      <x:c r="X45" s="19"/>
    </x:row>
    <x:row r="46">
      <x:c r="A46" s="13" t="str">
        <x:v>ISS-0041</x:v>
      </x:c>
      <x:c r="B46" s="19"/>
      <x:c r="C46" s="18" t="str"/>
      <x:c r="D46" s="18" t="str"/>
      <x:c r="E46" s="18" t="str"/>
      <x:c r="F46" s="21" t="n">
        <x:v>0</x:v>
      </x:c>
      <x:c r="G46" s="18" t="str">
        <x:v>黄色</x:v>
      </x:c>
      <x:c r="H46" s="18" t="str"/>
      <x:c r="I46" s="18" t="str"/>
      <x:c r="J46" s="18" t="str"/>
      <x:c r="K46" s="18" t="str"/>
      <x:c r="L46" s="18" t="str"/>
      <x:c r="M46" s="18" t="str"/>
      <x:c r="N46" s="18" t="str"/>
      <x:c r="O46" s="17"/>
      <x:c r="P46" s="18" t="str">
        <x:v>未升级</x:v>
      </x:c>
      <x:c r="Q46" s="18" t="str">
        <x:v>待判断</x:v>
      </x:c>
      <x:c r="R46" s="18" t="str">
        <x:v>待判断</x:v>
      </x:c>
      <x:c r="S46" s="18" t="str">
        <x:v>待判断</x:v>
      </x:c>
      <x:c r="T46" s="19"/>
      <x:c r="U46" s="18" t="str"/>
      <x:c r="V46" s="18" t="str">
        <x:v>Open</x:v>
      </x:c>
      <x:c r="W46" s="18" t="str"/>
      <x:c r="X46" s="19"/>
    </x:row>
    <x:row r="47">
      <x:c r="A47" s="13" t="str">
        <x:v>ISS-0042</x:v>
      </x:c>
      <x:c r="B47" s="19"/>
      <x:c r="C47" s="18" t="str"/>
      <x:c r="D47" s="18" t="str"/>
      <x:c r="E47" s="18" t="str"/>
      <x:c r="F47" s="21" t="n">
        <x:v>0</x:v>
      </x:c>
      <x:c r="G47" s="18" t="str">
        <x:v>黄色</x:v>
      </x:c>
      <x:c r="H47" s="18" t="str"/>
      <x:c r="I47" s="18" t="str"/>
      <x:c r="J47" s="18" t="str"/>
      <x:c r="K47" s="18" t="str"/>
      <x:c r="L47" s="18" t="str"/>
      <x:c r="M47" s="18" t="str"/>
      <x:c r="N47" s="18" t="str"/>
      <x:c r="O47" s="17"/>
      <x:c r="P47" s="18" t="str">
        <x:v>未升级</x:v>
      </x:c>
      <x:c r="Q47" s="18" t="str">
        <x:v>待判断</x:v>
      </x:c>
      <x:c r="R47" s="18" t="str">
        <x:v>待判断</x:v>
      </x:c>
      <x:c r="S47" s="18" t="str">
        <x:v>待判断</x:v>
      </x:c>
      <x:c r="T47" s="19"/>
      <x:c r="U47" s="18" t="str"/>
      <x:c r="V47" s="18" t="str">
        <x:v>Open</x:v>
      </x:c>
      <x:c r="W47" s="18" t="str"/>
      <x:c r="X47" s="19"/>
    </x:row>
    <x:row r="48">
      <x:c r="A48" s="13" t="str">
        <x:v>ISS-0043</x:v>
      </x:c>
      <x:c r="B48" s="19"/>
      <x:c r="C48" s="18" t="str"/>
      <x:c r="D48" s="18" t="str"/>
      <x:c r="E48" s="18" t="str"/>
      <x:c r="F48" s="21" t="n">
        <x:v>0</x:v>
      </x:c>
      <x:c r="G48" s="18" t="str">
        <x:v>黄色</x:v>
      </x:c>
      <x:c r="H48" s="18" t="str"/>
      <x:c r="I48" s="18" t="str"/>
      <x:c r="J48" s="18" t="str"/>
      <x:c r="K48" s="18" t="str"/>
      <x:c r="L48" s="18" t="str"/>
      <x:c r="M48" s="18" t="str"/>
      <x:c r="N48" s="18" t="str"/>
      <x:c r="O48" s="17"/>
      <x:c r="P48" s="18" t="str">
        <x:v>未升级</x:v>
      </x:c>
      <x:c r="Q48" s="18" t="str">
        <x:v>待判断</x:v>
      </x:c>
      <x:c r="R48" s="18" t="str">
        <x:v>待判断</x:v>
      </x:c>
      <x:c r="S48" s="18" t="str">
        <x:v>待判断</x:v>
      </x:c>
      <x:c r="T48" s="19"/>
      <x:c r="U48" s="18" t="str"/>
      <x:c r="V48" s="18" t="str">
        <x:v>Open</x:v>
      </x:c>
      <x:c r="W48" s="18" t="str"/>
      <x:c r="X48" s="19"/>
    </x:row>
    <x:row r="49">
      <x:c r="A49" s="13" t="str">
        <x:v>ISS-0044</x:v>
      </x:c>
      <x:c r="B49" s="19"/>
      <x:c r="C49" s="18" t="str"/>
      <x:c r="D49" s="18" t="str"/>
      <x:c r="E49" s="18" t="str"/>
      <x:c r="F49" s="21" t="n">
        <x:v>0</x:v>
      </x:c>
      <x:c r="G49" s="18" t="str">
        <x:v>黄色</x:v>
      </x:c>
      <x:c r="H49" s="18" t="str"/>
      <x:c r="I49" s="18" t="str"/>
      <x:c r="J49" s="18" t="str"/>
      <x:c r="K49" s="18" t="str"/>
      <x:c r="L49" s="18" t="str"/>
      <x:c r="M49" s="18" t="str"/>
      <x:c r="N49" s="18" t="str"/>
      <x:c r="O49" s="17"/>
      <x:c r="P49" s="18" t="str">
        <x:v>未升级</x:v>
      </x:c>
      <x:c r="Q49" s="18" t="str">
        <x:v>待判断</x:v>
      </x:c>
      <x:c r="R49" s="18" t="str">
        <x:v>待判断</x:v>
      </x:c>
      <x:c r="S49" s="18" t="str">
        <x:v>待判断</x:v>
      </x:c>
      <x:c r="T49" s="19"/>
      <x:c r="U49" s="18" t="str"/>
      <x:c r="V49" s="18" t="str">
        <x:v>Open</x:v>
      </x:c>
      <x:c r="W49" s="18" t="str"/>
      <x:c r="X49" s="19"/>
    </x:row>
    <x:row r="50">
      <x:c r="A50" s="13" t="str">
        <x:v>ISS-0045</x:v>
      </x:c>
      <x:c r="B50" s="19"/>
      <x:c r="C50" s="18" t="str"/>
      <x:c r="D50" s="18" t="str"/>
      <x:c r="E50" s="18" t="str"/>
      <x:c r="F50" s="21" t="n">
        <x:v>0</x:v>
      </x:c>
      <x:c r="G50" s="18" t="str">
        <x:v>黄色</x:v>
      </x:c>
      <x:c r="H50" s="18" t="str"/>
      <x:c r="I50" s="18" t="str"/>
      <x:c r="J50" s="18" t="str"/>
      <x:c r="K50" s="18" t="str"/>
      <x:c r="L50" s="18" t="str"/>
      <x:c r="M50" s="18" t="str"/>
      <x:c r="N50" s="18" t="str"/>
      <x:c r="O50" s="17"/>
      <x:c r="P50" s="18" t="str">
        <x:v>未升级</x:v>
      </x:c>
      <x:c r="Q50" s="18" t="str">
        <x:v>待判断</x:v>
      </x:c>
      <x:c r="R50" s="18" t="str">
        <x:v>待判断</x:v>
      </x:c>
      <x:c r="S50" s="18" t="str">
        <x:v>待判断</x:v>
      </x:c>
      <x:c r="T50" s="19"/>
      <x:c r="U50" s="18" t="str"/>
      <x:c r="V50" s="18" t="str">
        <x:v>Open</x:v>
      </x:c>
      <x:c r="W50" s="18" t="str"/>
      <x:c r="X50" s="19"/>
    </x:row>
    <x:row r="51">
      <x:c r="A51" s="13" t="str">
        <x:v>ISS-0046</x:v>
      </x:c>
      <x:c r="B51" s="19"/>
      <x:c r="C51" s="18" t="str"/>
      <x:c r="D51" s="18" t="str"/>
      <x:c r="E51" s="18" t="str"/>
      <x:c r="F51" s="21" t="n">
        <x:v>0</x:v>
      </x:c>
      <x:c r="G51" s="18" t="str">
        <x:v>黄色</x:v>
      </x:c>
      <x:c r="H51" s="18" t="str"/>
      <x:c r="I51" s="18" t="str"/>
      <x:c r="J51" s="18" t="str"/>
      <x:c r="K51" s="18" t="str"/>
      <x:c r="L51" s="18" t="str"/>
      <x:c r="M51" s="18" t="str"/>
      <x:c r="N51" s="18" t="str"/>
      <x:c r="O51" s="17"/>
      <x:c r="P51" s="18" t="str">
        <x:v>未升级</x:v>
      </x:c>
      <x:c r="Q51" s="18" t="str">
        <x:v>待判断</x:v>
      </x:c>
      <x:c r="R51" s="18" t="str">
        <x:v>待判断</x:v>
      </x:c>
      <x:c r="S51" s="18" t="str">
        <x:v>待判断</x:v>
      </x:c>
      <x:c r="T51" s="19"/>
      <x:c r="U51" s="18" t="str"/>
      <x:c r="V51" s="18" t="str">
        <x:v>Open</x:v>
      </x:c>
      <x:c r="W51" s="18" t="str"/>
      <x:c r="X51" s="19"/>
    </x:row>
    <x:row r="52">
      <x:c r="A52" s="13" t="str">
        <x:v>ISS-0047</x:v>
      </x:c>
      <x:c r="B52" s="19"/>
      <x:c r="C52" s="18" t="str"/>
      <x:c r="D52" s="18" t="str"/>
      <x:c r="E52" s="18" t="str"/>
      <x:c r="F52" s="21" t="n">
        <x:v>0</x:v>
      </x:c>
      <x:c r="G52" s="18" t="str">
        <x:v>黄色</x:v>
      </x:c>
      <x:c r="H52" s="18" t="str"/>
      <x:c r="I52" s="18" t="str"/>
      <x:c r="J52" s="18" t="str"/>
      <x:c r="K52" s="18" t="str"/>
      <x:c r="L52" s="18" t="str"/>
      <x:c r="M52" s="18" t="str"/>
      <x:c r="N52" s="18" t="str"/>
      <x:c r="O52" s="17"/>
      <x:c r="P52" s="18" t="str">
        <x:v>未升级</x:v>
      </x:c>
      <x:c r="Q52" s="18" t="str">
        <x:v>待判断</x:v>
      </x:c>
      <x:c r="R52" s="18" t="str">
        <x:v>待判断</x:v>
      </x:c>
      <x:c r="S52" s="18" t="str">
        <x:v>待判断</x:v>
      </x:c>
      <x:c r="T52" s="19"/>
      <x:c r="U52" s="18" t="str"/>
      <x:c r="V52" s="18" t="str">
        <x:v>Open</x:v>
      </x:c>
      <x:c r="W52" s="18" t="str"/>
      <x:c r="X52" s="19"/>
    </x:row>
    <x:row r="53">
      <x:c r="A53" s="13" t="str">
        <x:v>ISS-0048</x:v>
      </x:c>
      <x:c r="B53" s="19"/>
      <x:c r="C53" s="18" t="str"/>
      <x:c r="D53" s="18" t="str"/>
      <x:c r="E53" s="18" t="str"/>
      <x:c r="F53" s="21" t="n">
        <x:v>0</x:v>
      </x:c>
      <x:c r="G53" s="18" t="str">
        <x:v>黄色</x:v>
      </x:c>
      <x:c r="H53" s="18" t="str"/>
      <x:c r="I53" s="18" t="str"/>
      <x:c r="J53" s="18" t="str"/>
      <x:c r="K53" s="18" t="str"/>
      <x:c r="L53" s="18" t="str"/>
      <x:c r="M53" s="18" t="str"/>
      <x:c r="N53" s="18" t="str"/>
      <x:c r="O53" s="17"/>
      <x:c r="P53" s="18" t="str">
        <x:v>未升级</x:v>
      </x:c>
      <x:c r="Q53" s="18" t="str">
        <x:v>待判断</x:v>
      </x:c>
      <x:c r="R53" s="18" t="str">
        <x:v>待判断</x:v>
      </x:c>
      <x:c r="S53" s="18" t="str">
        <x:v>待判断</x:v>
      </x:c>
      <x:c r="T53" s="19"/>
      <x:c r="U53" s="18" t="str"/>
      <x:c r="V53" s="18" t="str">
        <x:v>Open</x:v>
      </x:c>
      <x:c r="W53" s="18" t="str"/>
      <x:c r="X53" s="19"/>
    </x:row>
    <x:row r="54">
      <x:c r="A54" s="13" t="str">
        <x:v>ISS-0049</x:v>
      </x:c>
      <x:c r="B54" s="19"/>
      <x:c r="C54" s="18" t="str"/>
      <x:c r="D54" s="18" t="str"/>
      <x:c r="E54" s="18" t="str"/>
      <x:c r="F54" s="21" t="n">
        <x:v>0</x:v>
      </x:c>
      <x:c r="G54" s="18" t="str">
        <x:v>黄色</x:v>
      </x:c>
      <x:c r="H54" s="18" t="str"/>
      <x:c r="I54" s="18" t="str"/>
      <x:c r="J54" s="18" t="str"/>
      <x:c r="K54" s="18" t="str"/>
      <x:c r="L54" s="18" t="str"/>
      <x:c r="M54" s="18" t="str"/>
      <x:c r="N54" s="18" t="str"/>
      <x:c r="O54" s="17"/>
      <x:c r="P54" s="18" t="str">
        <x:v>未升级</x:v>
      </x:c>
      <x:c r="Q54" s="18" t="str">
        <x:v>待判断</x:v>
      </x:c>
      <x:c r="R54" s="18" t="str">
        <x:v>待判断</x:v>
      </x:c>
      <x:c r="S54" s="18" t="str">
        <x:v>待判断</x:v>
      </x:c>
      <x:c r="T54" s="19"/>
      <x:c r="U54" s="18" t="str"/>
      <x:c r="V54" s="18" t="str">
        <x:v>Open</x:v>
      </x:c>
      <x:c r="W54" s="18" t="str"/>
      <x:c r="X54" s="19"/>
    </x:row>
    <x:row r="55">
      <x:c r="A55" s="13" t="str">
        <x:v>ISS-0050</x:v>
      </x:c>
      <x:c r="B55" s="19"/>
      <x:c r="C55" s="18" t="str"/>
      <x:c r="D55" s="18" t="str"/>
      <x:c r="E55" s="18" t="str"/>
      <x:c r="F55" s="21" t="n">
        <x:v>0</x:v>
      </x:c>
      <x:c r="G55" s="18" t="str">
        <x:v>黄色</x:v>
      </x:c>
      <x:c r="H55" s="18" t="str"/>
      <x:c r="I55" s="18" t="str"/>
      <x:c r="J55" s="18" t="str"/>
      <x:c r="K55" s="18" t="str"/>
      <x:c r="L55" s="18" t="str"/>
      <x:c r="M55" s="18" t="str"/>
      <x:c r="N55" s="18" t="str"/>
      <x:c r="O55" s="17"/>
      <x:c r="P55" s="18" t="str">
        <x:v>未升级</x:v>
      </x:c>
      <x:c r="Q55" s="18" t="str">
        <x:v>待判断</x:v>
      </x:c>
      <x:c r="R55" s="18" t="str">
        <x:v>待判断</x:v>
      </x:c>
      <x:c r="S55" s="18" t="str">
        <x:v>待判断</x:v>
      </x:c>
      <x:c r="T55" s="19"/>
      <x:c r="U55" s="18" t="str"/>
      <x:c r="V55" s="18" t="str">
        <x:v>Open</x:v>
      </x:c>
      <x:c r="W55" s="18" t="str"/>
      <x:c r="X55" s="19"/>
    </x:row>
    <x:row r="56">
      <x:c r="A56" s="13" t="str">
        <x:v>ISS-0051</x:v>
      </x:c>
      <x:c r="B56" s="19"/>
      <x:c r="C56" s="18" t="str"/>
      <x:c r="D56" s="18" t="str"/>
      <x:c r="E56" s="18" t="str"/>
      <x:c r="F56" s="21" t="n">
        <x:v>0</x:v>
      </x:c>
      <x:c r="G56" s="18" t="str">
        <x:v>黄色</x:v>
      </x:c>
      <x:c r="H56" s="18" t="str"/>
      <x:c r="I56" s="18" t="str"/>
      <x:c r="J56" s="18" t="str"/>
      <x:c r="K56" s="18" t="str"/>
      <x:c r="L56" s="18" t="str"/>
      <x:c r="M56" s="18" t="str"/>
      <x:c r="N56" s="18" t="str"/>
      <x:c r="O56" s="17"/>
      <x:c r="P56" s="18" t="str">
        <x:v>未升级</x:v>
      </x:c>
      <x:c r="Q56" s="18" t="str">
        <x:v>待判断</x:v>
      </x:c>
      <x:c r="R56" s="18" t="str">
        <x:v>待判断</x:v>
      </x:c>
      <x:c r="S56" s="18" t="str">
        <x:v>待判断</x:v>
      </x:c>
      <x:c r="T56" s="19"/>
      <x:c r="U56" s="18" t="str"/>
      <x:c r="V56" s="18" t="str">
        <x:v>Open</x:v>
      </x:c>
      <x:c r="W56" s="18" t="str"/>
      <x:c r="X56" s="19"/>
    </x:row>
    <x:row r="57">
      <x:c r="A57" s="13" t="str">
        <x:v>ISS-0052</x:v>
      </x:c>
      <x:c r="B57" s="19"/>
      <x:c r="C57" s="18" t="str"/>
      <x:c r="D57" s="18" t="str"/>
      <x:c r="E57" s="18" t="str"/>
      <x:c r="F57" s="21" t="n">
        <x:v>0</x:v>
      </x:c>
      <x:c r="G57" s="18" t="str">
        <x:v>黄色</x:v>
      </x:c>
      <x:c r="H57" s="18" t="str"/>
      <x:c r="I57" s="18" t="str"/>
      <x:c r="J57" s="18" t="str"/>
      <x:c r="K57" s="18" t="str"/>
      <x:c r="L57" s="18" t="str"/>
      <x:c r="M57" s="18" t="str"/>
      <x:c r="N57" s="18" t="str"/>
      <x:c r="O57" s="17"/>
      <x:c r="P57" s="18" t="str">
        <x:v>未升级</x:v>
      </x:c>
      <x:c r="Q57" s="18" t="str">
        <x:v>待判断</x:v>
      </x:c>
      <x:c r="R57" s="18" t="str">
        <x:v>待判断</x:v>
      </x:c>
      <x:c r="S57" s="18" t="str">
        <x:v>待判断</x:v>
      </x:c>
      <x:c r="T57" s="19"/>
      <x:c r="U57" s="18" t="str"/>
      <x:c r="V57" s="18" t="str">
        <x:v>Open</x:v>
      </x:c>
      <x:c r="W57" s="18" t="str"/>
      <x:c r="X57" s="19"/>
    </x:row>
    <x:row r="58">
      <x:c r="A58" s="13" t="str">
        <x:v>ISS-0053</x:v>
      </x:c>
      <x:c r="B58" s="19"/>
      <x:c r="C58" s="18" t="str"/>
      <x:c r="D58" s="18" t="str"/>
      <x:c r="E58" s="18" t="str"/>
      <x:c r="F58" s="21" t="n">
        <x:v>0</x:v>
      </x:c>
      <x:c r="G58" s="18" t="str">
        <x:v>黄色</x:v>
      </x:c>
      <x:c r="H58" s="18" t="str"/>
      <x:c r="I58" s="18" t="str"/>
      <x:c r="J58" s="18" t="str"/>
      <x:c r="K58" s="18" t="str"/>
      <x:c r="L58" s="18" t="str"/>
      <x:c r="M58" s="18" t="str"/>
      <x:c r="N58" s="18" t="str"/>
      <x:c r="O58" s="17"/>
      <x:c r="P58" s="18" t="str">
        <x:v>未升级</x:v>
      </x:c>
      <x:c r="Q58" s="18" t="str">
        <x:v>待判断</x:v>
      </x:c>
      <x:c r="R58" s="18" t="str">
        <x:v>待判断</x:v>
      </x:c>
      <x:c r="S58" s="18" t="str">
        <x:v>待判断</x:v>
      </x:c>
      <x:c r="T58" s="19"/>
      <x:c r="U58" s="18" t="str"/>
      <x:c r="V58" s="18" t="str">
        <x:v>Open</x:v>
      </x:c>
      <x:c r="W58" s="18" t="str"/>
      <x:c r="X58" s="19"/>
    </x:row>
    <x:row r="59">
      <x:c r="A59" s="13" t="str">
        <x:v>ISS-0054</x:v>
      </x:c>
      <x:c r="B59" s="19"/>
      <x:c r="C59" s="18" t="str"/>
      <x:c r="D59" s="18" t="str"/>
      <x:c r="E59" s="18" t="str"/>
      <x:c r="F59" s="21" t="n">
        <x:v>0</x:v>
      </x:c>
      <x:c r="G59" s="18" t="str">
        <x:v>黄色</x:v>
      </x:c>
      <x:c r="H59" s="18" t="str"/>
      <x:c r="I59" s="18" t="str"/>
      <x:c r="J59" s="18" t="str"/>
      <x:c r="K59" s="18" t="str"/>
      <x:c r="L59" s="18" t="str"/>
      <x:c r="M59" s="18" t="str"/>
      <x:c r="N59" s="18" t="str"/>
      <x:c r="O59" s="17"/>
      <x:c r="P59" s="18" t="str">
        <x:v>未升级</x:v>
      </x:c>
      <x:c r="Q59" s="18" t="str">
        <x:v>待判断</x:v>
      </x:c>
      <x:c r="R59" s="18" t="str">
        <x:v>待判断</x:v>
      </x:c>
      <x:c r="S59" s="18" t="str">
        <x:v>待判断</x:v>
      </x:c>
      <x:c r="T59" s="19"/>
      <x:c r="U59" s="18" t="str"/>
      <x:c r="V59" s="18" t="str">
        <x:v>Open</x:v>
      </x:c>
      <x:c r="W59" s="18" t="str"/>
      <x:c r="X59" s="19"/>
    </x:row>
    <x:row r="60">
      <x:c r="A60" s="13" t="str">
        <x:v>ISS-0055</x:v>
      </x:c>
      <x:c r="B60" s="19"/>
      <x:c r="C60" s="18" t="str"/>
      <x:c r="D60" s="18" t="str"/>
      <x:c r="E60" s="18" t="str"/>
      <x:c r="F60" s="21" t="n">
        <x:v>0</x:v>
      </x:c>
      <x:c r="G60" s="18" t="str">
        <x:v>黄色</x:v>
      </x:c>
      <x:c r="H60" s="18" t="str"/>
      <x:c r="I60" s="18" t="str"/>
      <x:c r="J60" s="18" t="str"/>
      <x:c r="K60" s="18" t="str"/>
      <x:c r="L60" s="18" t="str"/>
      <x:c r="M60" s="18" t="str"/>
      <x:c r="N60" s="18" t="str"/>
      <x:c r="O60" s="17"/>
      <x:c r="P60" s="18" t="str">
        <x:v>未升级</x:v>
      </x:c>
      <x:c r="Q60" s="18" t="str">
        <x:v>待判断</x:v>
      </x:c>
      <x:c r="R60" s="18" t="str">
        <x:v>待判断</x:v>
      </x:c>
      <x:c r="S60" s="18" t="str">
        <x:v>待判断</x:v>
      </x:c>
      <x:c r="T60" s="19"/>
      <x:c r="U60" s="18" t="str"/>
      <x:c r="V60" s="18" t="str">
        <x:v>Open</x:v>
      </x:c>
      <x:c r="W60" s="18" t="str"/>
      <x:c r="X60" s="19"/>
    </x:row>
    <x:row r="61">
      <x:c r="A61" s="13" t="str">
        <x:v>ISS-0056</x:v>
      </x:c>
      <x:c r="B61" s="19"/>
      <x:c r="C61" s="18" t="str"/>
      <x:c r="D61" s="18" t="str"/>
      <x:c r="E61" s="18" t="str"/>
      <x:c r="F61" s="21" t="n">
        <x:v>0</x:v>
      </x:c>
      <x:c r="G61" s="18" t="str">
        <x:v>黄色</x:v>
      </x:c>
      <x:c r="H61" s="18" t="str"/>
      <x:c r="I61" s="18" t="str"/>
      <x:c r="J61" s="18" t="str"/>
      <x:c r="K61" s="18" t="str"/>
      <x:c r="L61" s="18" t="str"/>
      <x:c r="M61" s="18" t="str"/>
      <x:c r="N61" s="18" t="str"/>
      <x:c r="O61" s="17"/>
      <x:c r="P61" s="18" t="str">
        <x:v>未升级</x:v>
      </x:c>
      <x:c r="Q61" s="18" t="str">
        <x:v>待判断</x:v>
      </x:c>
      <x:c r="R61" s="18" t="str">
        <x:v>待判断</x:v>
      </x:c>
      <x:c r="S61" s="18" t="str">
        <x:v>待判断</x:v>
      </x:c>
      <x:c r="T61" s="19"/>
      <x:c r="U61" s="18" t="str"/>
      <x:c r="V61" s="18" t="str">
        <x:v>Open</x:v>
      </x:c>
      <x:c r="W61" s="18" t="str"/>
      <x:c r="X61" s="19"/>
    </x:row>
    <x:row r="62">
      <x:c r="A62" s="13" t="str">
        <x:v>ISS-0057</x:v>
      </x:c>
      <x:c r="B62" s="19"/>
      <x:c r="C62" s="18" t="str"/>
      <x:c r="D62" s="18" t="str"/>
      <x:c r="E62" s="18" t="str"/>
      <x:c r="F62" s="21" t="n">
        <x:v>0</x:v>
      </x:c>
      <x:c r="G62" s="18" t="str">
        <x:v>黄色</x:v>
      </x:c>
      <x:c r="H62" s="18" t="str"/>
      <x:c r="I62" s="18" t="str"/>
      <x:c r="J62" s="18" t="str"/>
      <x:c r="K62" s="18" t="str"/>
      <x:c r="L62" s="18" t="str"/>
      <x:c r="M62" s="18" t="str"/>
      <x:c r="N62" s="18" t="str"/>
      <x:c r="O62" s="17"/>
      <x:c r="P62" s="18" t="str">
        <x:v>未升级</x:v>
      </x:c>
      <x:c r="Q62" s="18" t="str">
        <x:v>待判断</x:v>
      </x:c>
      <x:c r="R62" s="18" t="str">
        <x:v>待判断</x:v>
      </x:c>
      <x:c r="S62" s="18" t="str">
        <x:v>待判断</x:v>
      </x:c>
      <x:c r="T62" s="19"/>
      <x:c r="U62" s="18" t="str"/>
      <x:c r="V62" s="18" t="str">
        <x:v>Open</x:v>
      </x:c>
      <x:c r="W62" s="18" t="str"/>
      <x:c r="X62" s="19"/>
    </x:row>
    <x:row r="63">
      <x:c r="A63" s="13" t="str">
        <x:v>ISS-0058</x:v>
      </x:c>
      <x:c r="B63" s="19"/>
      <x:c r="C63" s="18" t="str"/>
      <x:c r="D63" s="18" t="str"/>
      <x:c r="E63" s="18" t="str"/>
      <x:c r="F63" s="21" t="n">
        <x:v>0</x:v>
      </x:c>
      <x:c r="G63" s="18" t="str">
        <x:v>黄色</x:v>
      </x:c>
      <x:c r="H63" s="18" t="str"/>
      <x:c r="I63" s="18" t="str"/>
      <x:c r="J63" s="18" t="str"/>
      <x:c r="K63" s="18" t="str"/>
      <x:c r="L63" s="18" t="str"/>
      <x:c r="M63" s="18" t="str"/>
      <x:c r="N63" s="18" t="str"/>
      <x:c r="O63" s="17"/>
      <x:c r="P63" s="18" t="str">
        <x:v>未升级</x:v>
      </x:c>
      <x:c r="Q63" s="18" t="str">
        <x:v>待判断</x:v>
      </x:c>
      <x:c r="R63" s="18" t="str">
        <x:v>待判断</x:v>
      </x:c>
      <x:c r="S63" s="18" t="str">
        <x:v>待判断</x:v>
      </x:c>
      <x:c r="T63" s="19"/>
      <x:c r="U63" s="18" t="str"/>
      <x:c r="V63" s="18" t="str">
        <x:v>Open</x:v>
      </x:c>
      <x:c r="W63" s="18" t="str"/>
      <x:c r="X63" s="19"/>
    </x:row>
    <x:row r="64">
      <x:c r="A64" s="13" t="str">
        <x:v>ISS-0059</x:v>
      </x:c>
      <x:c r="B64" s="19"/>
      <x:c r="C64" s="18" t="str"/>
      <x:c r="D64" s="18" t="str"/>
      <x:c r="E64" s="18" t="str"/>
      <x:c r="F64" s="21" t="n">
        <x:v>0</x:v>
      </x:c>
      <x:c r="G64" s="18" t="str">
        <x:v>黄色</x:v>
      </x:c>
      <x:c r="H64" s="18" t="str"/>
      <x:c r="I64" s="18" t="str"/>
      <x:c r="J64" s="18" t="str"/>
      <x:c r="K64" s="18" t="str"/>
      <x:c r="L64" s="18" t="str"/>
      <x:c r="M64" s="18" t="str"/>
      <x:c r="N64" s="18" t="str"/>
      <x:c r="O64" s="17"/>
      <x:c r="P64" s="18" t="str">
        <x:v>未升级</x:v>
      </x:c>
      <x:c r="Q64" s="18" t="str">
        <x:v>待判断</x:v>
      </x:c>
      <x:c r="R64" s="18" t="str">
        <x:v>待判断</x:v>
      </x:c>
      <x:c r="S64" s="18" t="str">
        <x:v>待判断</x:v>
      </x:c>
      <x:c r="T64" s="19"/>
      <x:c r="U64" s="18" t="str"/>
      <x:c r="V64" s="18" t="str">
        <x:v>Open</x:v>
      </x:c>
      <x:c r="W64" s="18" t="str"/>
      <x:c r="X64" s="19"/>
    </x:row>
    <x:row r="65">
      <x:c r="A65" s="13" t="str">
        <x:v>ISS-0060</x:v>
      </x:c>
      <x:c r="B65" s="19"/>
      <x:c r="C65" s="18" t="str"/>
      <x:c r="D65" s="18" t="str"/>
      <x:c r="E65" s="18" t="str"/>
      <x:c r="F65" s="21" t="n">
        <x:v>0</x:v>
      </x:c>
      <x:c r="G65" s="18" t="str">
        <x:v>黄色</x:v>
      </x:c>
      <x:c r="H65" s="18" t="str"/>
      <x:c r="I65" s="18" t="str"/>
      <x:c r="J65" s="18" t="str"/>
      <x:c r="K65" s="18" t="str"/>
      <x:c r="L65" s="18" t="str"/>
      <x:c r="M65" s="18" t="str"/>
      <x:c r="N65" s="18" t="str"/>
      <x:c r="O65" s="17"/>
      <x:c r="P65" s="18" t="str">
        <x:v>未升级</x:v>
      </x:c>
      <x:c r="Q65" s="18" t="str">
        <x:v>待判断</x:v>
      </x:c>
      <x:c r="R65" s="18" t="str">
        <x:v>待判断</x:v>
      </x:c>
      <x:c r="S65" s="18" t="str">
        <x:v>待判断</x:v>
      </x:c>
      <x:c r="T65" s="19"/>
      <x:c r="U65" s="18" t="str"/>
      <x:c r="V65" s="18" t="str">
        <x:v>Open</x:v>
      </x:c>
      <x:c r="W65" s="18" t="str"/>
      <x:c r="X65" s="19"/>
    </x:row>
    <x:row r="66">
      <x:c r="A66" s="13" t="str">
        <x:v>ISS-0061</x:v>
      </x:c>
      <x:c r="B66" s="19"/>
      <x:c r="C66" s="18" t="str"/>
      <x:c r="D66" s="18" t="str"/>
      <x:c r="E66" s="18" t="str"/>
      <x:c r="F66" s="21" t="n">
        <x:v>0</x:v>
      </x:c>
      <x:c r="G66" s="18" t="str">
        <x:v>黄色</x:v>
      </x:c>
      <x:c r="H66" s="18" t="str"/>
      <x:c r="I66" s="18" t="str"/>
      <x:c r="J66" s="18" t="str"/>
      <x:c r="K66" s="18" t="str"/>
      <x:c r="L66" s="18" t="str"/>
      <x:c r="M66" s="18" t="str"/>
      <x:c r="N66" s="18" t="str"/>
      <x:c r="O66" s="17"/>
      <x:c r="P66" s="18" t="str">
        <x:v>未升级</x:v>
      </x:c>
      <x:c r="Q66" s="18" t="str">
        <x:v>待判断</x:v>
      </x:c>
      <x:c r="R66" s="18" t="str">
        <x:v>待判断</x:v>
      </x:c>
      <x:c r="S66" s="18" t="str">
        <x:v>待判断</x:v>
      </x:c>
      <x:c r="T66" s="19"/>
      <x:c r="U66" s="18" t="str"/>
      <x:c r="V66" s="18" t="str">
        <x:v>Open</x:v>
      </x:c>
      <x:c r="W66" s="18" t="str"/>
      <x:c r="X66" s="19"/>
    </x:row>
    <x:row r="67">
      <x:c r="A67" s="13" t="str">
        <x:v>ISS-0062</x:v>
      </x:c>
      <x:c r="B67" s="19"/>
      <x:c r="C67" s="18" t="str"/>
      <x:c r="D67" s="18" t="str"/>
      <x:c r="E67" s="18" t="str"/>
      <x:c r="F67" s="21" t="n">
        <x:v>0</x:v>
      </x:c>
      <x:c r="G67" s="18" t="str">
        <x:v>黄色</x:v>
      </x:c>
      <x:c r="H67" s="18" t="str"/>
      <x:c r="I67" s="18" t="str"/>
      <x:c r="J67" s="18" t="str"/>
      <x:c r="K67" s="18" t="str"/>
      <x:c r="L67" s="18" t="str"/>
      <x:c r="M67" s="18" t="str"/>
      <x:c r="N67" s="18" t="str"/>
      <x:c r="O67" s="17"/>
      <x:c r="P67" s="18" t="str">
        <x:v>未升级</x:v>
      </x:c>
      <x:c r="Q67" s="18" t="str">
        <x:v>待判断</x:v>
      </x:c>
      <x:c r="R67" s="18" t="str">
        <x:v>待判断</x:v>
      </x:c>
      <x:c r="S67" s="18" t="str">
        <x:v>待判断</x:v>
      </x:c>
      <x:c r="T67" s="19"/>
      <x:c r="U67" s="18" t="str"/>
      <x:c r="V67" s="18" t="str">
        <x:v>Open</x:v>
      </x:c>
      <x:c r="W67" s="18" t="str"/>
      <x:c r="X67" s="19"/>
    </x:row>
    <x:row r="68">
      <x:c r="A68" s="13" t="str">
        <x:v>ISS-0063</x:v>
      </x:c>
      <x:c r="B68" s="19"/>
      <x:c r="C68" s="18" t="str"/>
      <x:c r="D68" s="18" t="str"/>
      <x:c r="E68" s="18" t="str"/>
      <x:c r="F68" s="21" t="n">
        <x:v>0</x:v>
      </x:c>
      <x:c r="G68" s="18" t="str">
        <x:v>黄色</x:v>
      </x:c>
      <x:c r="H68" s="18" t="str"/>
      <x:c r="I68" s="18" t="str"/>
      <x:c r="J68" s="18" t="str"/>
      <x:c r="K68" s="18" t="str"/>
      <x:c r="L68" s="18" t="str"/>
      <x:c r="M68" s="18" t="str"/>
      <x:c r="N68" s="18" t="str"/>
      <x:c r="O68" s="17"/>
      <x:c r="P68" s="18" t="str">
        <x:v>未升级</x:v>
      </x:c>
      <x:c r="Q68" s="18" t="str">
        <x:v>待判断</x:v>
      </x:c>
      <x:c r="R68" s="18" t="str">
        <x:v>待判断</x:v>
      </x:c>
      <x:c r="S68" s="18" t="str">
        <x:v>待判断</x:v>
      </x:c>
      <x:c r="T68" s="19"/>
      <x:c r="U68" s="18" t="str"/>
      <x:c r="V68" s="18" t="str">
        <x:v>Open</x:v>
      </x:c>
      <x:c r="W68" s="18" t="str"/>
      <x:c r="X68" s="19"/>
    </x:row>
    <x:row r="69">
      <x:c r="A69" s="13" t="str">
        <x:v>ISS-0064</x:v>
      </x:c>
      <x:c r="B69" s="19"/>
      <x:c r="C69" s="18" t="str"/>
      <x:c r="D69" s="18" t="str"/>
      <x:c r="E69" s="18" t="str"/>
      <x:c r="F69" s="21" t="n">
        <x:v>0</x:v>
      </x:c>
      <x:c r="G69" s="18" t="str">
        <x:v>黄色</x:v>
      </x:c>
      <x:c r="H69" s="18" t="str"/>
      <x:c r="I69" s="18" t="str"/>
      <x:c r="J69" s="18" t="str"/>
      <x:c r="K69" s="18" t="str"/>
      <x:c r="L69" s="18" t="str"/>
      <x:c r="M69" s="18" t="str"/>
      <x:c r="N69" s="18" t="str"/>
      <x:c r="O69" s="17"/>
      <x:c r="P69" s="18" t="str">
        <x:v>未升级</x:v>
      </x:c>
      <x:c r="Q69" s="18" t="str">
        <x:v>待判断</x:v>
      </x:c>
      <x:c r="R69" s="18" t="str">
        <x:v>待判断</x:v>
      </x:c>
      <x:c r="S69" s="18" t="str">
        <x:v>待判断</x:v>
      </x:c>
      <x:c r="T69" s="19"/>
      <x:c r="U69" s="18" t="str"/>
      <x:c r="V69" s="18" t="str">
        <x:v>Open</x:v>
      </x:c>
      <x:c r="W69" s="18" t="str"/>
      <x:c r="X69" s="19"/>
    </x:row>
    <x:row r="70">
      <x:c r="A70" s="13" t="str">
        <x:v>ISS-0065</x:v>
      </x:c>
      <x:c r="B70" s="19"/>
      <x:c r="C70" s="18" t="str"/>
      <x:c r="D70" s="18" t="str"/>
      <x:c r="E70" s="18" t="str"/>
      <x:c r="F70" s="21" t="n">
        <x:v>0</x:v>
      </x:c>
      <x:c r="G70" s="18" t="str">
        <x:v>黄色</x:v>
      </x:c>
      <x:c r="H70" s="18" t="str"/>
      <x:c r="I70" s="18" t="str"/>
      <x:c r="J70" s="18" t="str"/>
      <x:c r="K70" s="18" t="str"/>
      <x:c r="L70" s="18" t="str"/>
      <x:c r="M70" s="18" t="str"/>
      <x:c r="N70" s="18" t="str"/>
      <x:c r="O70" s="17"/>
      <x:c r="P70" s="18" t="str">
        <x:v>未升级</x:v>
      </x:c>
      <x:c r="Q70" s="18" t="str">
        <x:v>待判断</x:v>
      </x:c>
      <x:c r="R70" s="18" t="str">
        <x:v>待判断</x:v>
      </x:c>
      <x:c r="S70" s="18" t="str">
        <x:v>待判断</x:v>
      </x:c>
      <x:c r="T70" s="19"/>
      <x:c r="U70" s="18" t="str"/>
      <x:c r="V70" s="18" t="str">
        <x:v>Open</x:v>
      </x:c>
      <x:c r="W70" s="18" t="str"/>
      <x:c r="X70" s="19"/>
    </x:row>
    <x:row r="71">
      <x:c r="A71" s="13" t="str">
        <x:v>ISS-0066</x:v>
      </x:c>
      <x:c r="B71" s="19"/>
      <x:c r="C71" s="18" t="str"/>
      <x:c r="D71" s="18" t="str"/>
      <x:c r="E71" s="18" t="str"/>
      <x:c r="F71" s="21" t="n">
        <x:v>0</x:v>
      </x:c>
      <x:c r="G71" s="18" t="str">
        <x:v>黄色</x:v>
      </x:c>
      <x:c r="H71" s="18" t="str"/>
      <x:c r="I71" s="18" t="str"/>
      <x:c r="J71" s="18" t="str"/>
      <x:c r="K71" s="18" t="str"/>
      <x:c r="L71" s="18" t="str"/>
      <x:c r="M71" s="18" t="str"/>
      <x:c r="N71" s="18" t="str"/>
      <x:c r="O71" s="17"/>
      <x:c r="P71" s="18" t="str">
        <x:v>未升级</x:v>
      </x:c>
      <x:c r="Q71" s="18" t="str">
        <x:v>待判断</x:v>
      </x:c>
      <x:c r="R71" s="18" t="str">
        <x:v>待判断</x:v>
      </x:c>
      <x:c r="S71" s="18" t="str">
        <x:v>待判断</x:v>
      </x:c>
      <x:c r="T71" s="19"/>
      <x:c r="U71" s="18" t="str"/>
      <x:c r="V71" s="18" t="str">
        <x:v>Open</x:v>
      </x:c>
      <x:c r="W71" s="18" t="str"/>
      <x:c r="X71" s="19"/>
    </x:row>
    <x:row r="72">
      <x:c r="A72" s="13" t="str">
        <x:v>ISS-0067</x:v>
      </x:c>
      <x:c r="B72" s="19"/>
      <x:c r="C72" s="18" t="str"/>
      <x:c r="D72" s="18" t="str"/>
      <x:c r="E72" s="18" t="str"/>
      <x:c r="F72" s="21" t="n">
        <x:v>0</x:v>
      </x:c>
      <x:c r="G72" s="18" t="str">
        <x:v>黄色</x:v>
      </x:c>
      <x:c r="H72" s="18" t="str"/>
      <x:c r="I72" s="18" t="str"/>
      <x:c r="J72" s="18" t="str"/>
      <x:c r="K72" s="18" t="str"/>
      <x:c r="L72" s="18" t="str"/>
      <x:c r="M72" s="18" t="str"/>
      <x:c r="N72" s="18" t="str"/>
      <x:c r="O72" s="17"/>
      <x:c r="P72" s="18" t="str">
        <x:v>未升级</x:v>
      </x:c>
      <x:c r="Q72" s="18" t="str">
        <x:v>待判断</x:v>
      </x:c>
      <x:c r="R72" s="18" t="str">
        <x:v>待判断</x:v>
      </x:c>
      <x:c r="S72" s="18" t="str">
        <x:v>待判断</x:v>
      </x:c>
      <x:c r="T72" s="19"/>
      <x:c r="U72" s="18" t="str"/>
      <x:c r="V72" s="18" t="str">
        <x:v>Open</x:v>
      </x:c>
      <x:c r="W72" s="18" t="str"/>
      <x:c r="X72" s="19"/>
    </x:row>
    <x:row r="73">
      <x:c r="A73" s="13" t="str">
        <x:v>ISS-0068</x:v>
      </x:c>
      <x:c r="B73" s="19"/>
      <x:c r="C73" s="18" t="str"/>
      <x:c r="D73" s="18" t="str"/>
      <x:c r="E73" s="18" t="str"/>
      <x:c r="F73" s="21" t="n">
        <x:v>0</x:v>
      </x:c>
      <x:c r="G73" s="18" t="str">
        <x:v>黄色</x:v>
      </x:c>
      <x:c r="H73" s="18" t="str"/>
      <x:c r="I73" s="18" t="str"/>
      <x:c r="J73" s="18" t="str"/>
      <x:c r="K73" s="18" t="str"/>
      <x:c r="L73" s="18" t="str"/>
      <x:c r="M73" s="18" t="str"/>
      <x:c r="N73" s="18" t="str"/>
      <x:c r="O73" s="17"/>
      <x:c r="P73" s="18" t="str">
        <x:v>未升级</x:v>
      </x:c>
      <x:c r="Q73" s="18" t="str">
        <x:v>待判断</x:v>
      </x:c>
      <x:c r="R73" s="18" t="str">
        <x:v>待判断</x:v>
      </x:c>
      <x:c r="S73" s="18" t="str">
        <x:v>待判断</x:v>
      </x:c>
      <x:c r="T73" s="19"/>
      <x:c r="U73" s="18" t="str"/>
      <x:c r="V73" s="18" t="str">
        <x:v>Open</x:v>
      </x:c>
      <x:c r="W73" s="18" t="str"/>
      <x:c r="X73" s="19"/>
    </x:row>
    <x:row r="74">
      <x:c r="A74" s="13" t="str">
        <x:v>ISS-0069</x:v>
      </x:c>
      <x:c r="B74" s="19"/>
      <x:c r="C74" s="18" t="str"/>
      <x:c r="D74" s="18" t="str"/>
      <x:c r="E74" s="18" t="str"/>
      <x:c r="F74" s="21" t="n">
        <x:v>0</x:v>
      </x:c>
      <x:c r="G74" s="18" t="str">
        <x:v>黄色</x:v>
      </x:c>
      <x:c r="H74" s="18" t="str"/>
      <x:c r="I74" s="18" t="str"/>
      <x:c r="J74" s="18" t="str"/>
      <x:c r="K74" s="18" t="str"/>
      <x:c r="L74" s="18" t="str"/>
      <x:c r="M74" s="18" t="str"/>
      <x:c r="N74" s="18" t="str"/>
      <x:c r="O74" s="17"/>
      <x:c r="P74" s="18" t="str">
        <x:v>未升级</x:v>
      </x:c>
      <x:c r="Q74" s="18" t="str">
        <x:v>待判断</x:v>
      </x:c>
      <x:c r="R74" s="18" t="str">
        <x:v>待判断</x:v>
      </x:c>
      <x:c r="S74" s="18" t="str">
        <x:v>待判断</x:v>
      </x:c>
      <x:c r="T74" s="19"/>
      <x:c r="U74" s="18" t="str"/>
      <x:c r="V74" s="18" t="str">
        <x:v>Open</x:v>
      </x:c>
      <x:c r="W74" s="18" t="str"/>
      <x:c r="X74" s="19"/>
    </x:row>
    <x:row r="75">
      <x:c r="A75" s="13" t="str">
        <x:v>ISS-0070</x:v>
      </x:c>
      <x:c r="B75" s="19"/>
      <x:c r="C75" s="18" t="str"/>
      <x:c r="D75" s="18" t="str"/>
      <x:c r="E75" s="18" t="str"/>
      <x:c r="F75" s="21" t="n">
        <x:v>0</x:v>
      </x:c>
      <x:c r="G75" s="18" t="str">
        <x:v>黄色</x:v>
      </x:c>
      <x:c r="H75" s="18" t="str"/>
      <x:c r="I75" s="18" t="str"/>
      <x:c r="J75" s="18" t="str"/>
      <x:c r="K75" s="18" t="str"/>
      <x:c r="L75" s="18" t="str"/>
      <x:c r="M75" s="18" t="str"/>
      <x:c r="N75" s="18" t="str"/>
      <x:c r="O75" s="17"/>
      <x:c r="P75" s="18" t="str">
        <x:v>未升级</x:v>
      </x:c>
      <x:c r="Q75" s="18" t="str">
        <x:v>待判断</x:v>
      </x:c>
      <x:c r="R75" s="18" t="str">
        <x:v>待判断</x:v>
      </x:c>
      <x:c r="S75" s="18" t="str">
        <x:v>待判断</x:v>
      </x:c>
      <x:c r="T75" s="19"/>
      <x:c r="U75" s="18" t="str"/>
      <x:c r="V75" s="18" t="str">
        <x:v>Open</x:v>
      </x:c>
      <x:c r="W75" s="18" t="str"/>
      <x:c r="X75" s="19"/>
    </x:row>
    <x:row r="76">
      <x:c r="A76" s="13" t="str">
        <x:v>ISS-0071</x:v>
      </x:c>
      <x:c r="B76" s="19"/>
      <x:c r="C76" s="18" t="str"/>
      <x:c r="D76" s="18" t="str"/>
      <x:c r="E76" s="18" t="str"/>
      <x:c r="F76" s="21" t="n">
        <x:v>0</x:v>
      </x:c>
      <x:c r="G76" s="18" t="str">
        <x:v>黄色</x:v>
      </x:c>
      <x:c r="H76" s="18" t="str"/>
      <x:c r="I76" s="18" t="str"/>
      <x:c r="J76" s="18" t="str"/>
      <x:c r="K76" s="18" t="str"/>
      <x:c r="L76" s="18" t="str"/>
      <x:c r="M76" s="18" t="str"/>
      <x:c r="N76" s="18" t="str"/>
      <x:c r="O76" s="17"/>
      <x:c r="P76" s="18" t="str">
        <x:v>未升级</x:v>
      </x:c>
      <x:c r="Q76" s="18" t="str">
        <x:v>待判断</x:v>
      </x:c>
      <x:c r="R76" s="18" t="str">
        <x:v>待判断</x:v>
      </x:c>
      <x:c r="S76" s="18" t="str">
        <x:v>待判断</x:v>
      </x:c>
      <x:c r="T76" s="19"/>
      <x:c r="U76" s="18" t="str"/>
      <x:c r="V76" s="18" t="str">
        <x:v>Open</x:v>
      </x:c>
      <x:c r="W76" s="18" t="str"/>
      <x:c r="X76" s="19"/>
    </x:row>
    <x:row r="77">
      <x:c r="A77" s="13" t="str">
        <x:v>ISS-0072</x:v>
      </x:c>
      <x:c r="B77" s="19"/>
      <x:c r="C77" s="18" t="str"/>
      <x:c r="D77" s="18" t="str"/>
      <x:c r="E77" s="18" t="str"/>
      <x:c r="F77" s="21" t="n">
        <x:v>0</x:v>
      </x:c>
      <x:c r="G77" s="18" t="str">
        <x:v>黄色</x:v>
      </x:c>
      <x:c r="H77" s="18" t="str"/>
      <x:c r="I77" s="18" t="str"/>
      <x:c r="J77" s="18" t="str"/>
      <x:c r="K77" s="18" t="str"/>
      <x:c r="L77" s="18" t="str"/>
      <x:c r="M77" s="18" t="str"/>
      <x:c r="N77" s="18" t="str"/>
      <x:c r="O77" s="17"/>
      <x:c r="P77" s="18" t="str">
        <x:v>未升级</x:v>
      </x:c>
      <x:c r="Q77" s="18" t="str">
        <x:v>待判断</x:v>
      </x:c>
      <x:c r="R77" s="18" t="str">
        <x:v>待判断</x:v>
      </x:c>
      <x:c r="S77" s="18" t="str">
        <x:v>待判断</x:v>
      </x:c>
      <x:c r="T77" s="19"/>
      <x:c r="U77" s="18" t="str"/>
      <x:c r="V77" s="18" t="str">
        <x:v>Open</x:v>
      </x:c>
      <x:c r="W77" s="18" t="str"/>
      <x:c r="X77" s="19"/>
    </x:row>
    <x:row r="78">
      <x:c r="A78" s="13" t="str">
        <x:v>ISS-0073</x:v>
      </x:c>
      <x:c r="B78" s="19"/>
      <x:c r="C78" s="18" t="str"/>
      <x:c r="D78" s="18" t="str"/>
      <x:c r="E78" s="18" t="str"/>
      <x:c r="F78" s="21" t="n">
        <x:v>0</x:v>
      </x:c>
      <x:c r="G78" s="18" t="str">
        <x:v>黄色</x:v>
      </x:c>
      <x:c r="H78" s="18" t="str"/>
      <x:c r="I78" s="18" t="str"/>
      <x:c r="J78" s="18" t="str"/>
      <x:c r="K78" s="18" t="str"/>
      <x:c r="L78" s="18" t="str"/>
      <x:c r="M78" s="18" t="str"/>
      <x:c r="N78" s="18" t="str"/>
      <x:c r="O78" s="17"/>
      <x:c r="P78" s="18" t="str">
        <x:v>未升级</x:v>
      </x:c>
      <x:c r="Q78" s="18" t="str">
        <x:v>待判断</x:v>
      </x:c>
      <x:c r="R78" s="18" t="str">
        <x:v>待判断</x:v>
      </x:c>
      <x:c r="S78" s="18" t="str">
        <x:v>待判断</x:v>
      </x:c>
      <x:c r="T78" s="19"/>
      <x:c r="U78" s="18" t="str"/>
      <x:c r="V78" s="18" t="str">
        <x:v>Open</x:v>
      </x:c>
      <x:c r="W78" s="18" t="str"/>
      <x:c r="X78" s="19"/>
    </x:row>
    <x:row r="79">
      <x:c r="A79" s="13" t="str">
        <x:v>ISS-0074</x:v>
      </x:c>
      <x:c r="B79" s="19"/>
      <x:c r="C79" s="18" t="str"/>
      <x:c r="D79" s="18" t="str"/>
      <x:c r="E79" s="18" t="str"/>
      <x:c r="F79" s="21" t="n">
        <x:v>0</x:v>
      </x:c>
      <x:c r="G79" s="18" t="str">
        <x:v>黄色</x:v>
      </x:c>
      <x:c r="H79" s="18" t="str"/>
      <x:c r="I79" s="18" t="str"/>
      <x:c r="J79" s="18" t="str"/>
      <x:c r="K79" s="18" t="str"/>
      <x:c r="L79" s="18" t="str"/>
      <x:c r="M79" s="18" t="str"/>
      <x:c r="N79" s="18" t="str"/>
      <x:c r="O79" s="17"/>
      <x:c r="P79" s="18" t="str">
        <x:v>未升级</x:v>
      </x:c>
      <x:c r="Q79" s="18" t="str">
        <x:v>待判断</x:v>
      </x:c>
      <x:c r="R79" s="18" t="str">
        <x:v>待判断</x:v>
      </x:c>
      <x:c r="S79" s="18" t="str">
        <x:v>待判断</x:v>
      </x:c>
      <x:c r="T79" s="19"/>
      <x:c r="U79" s="18" t="str"/>
      <x:c r="V79" s="18" t="str">
        <x:v>Open</x:v>
      </x:c>
      <x:c r="W79" s="18" t="str"/>
      <x:c r="X79" s="19"/>
    </x:row>
    <x:row r="80">
      <x:c r="A80" s="13" t="str">
        <x:v>ISS-0075</x:v>
      </x:c>
      <x:c r="B80" s="19"/>
      <x:c r="C80" s="18" t="str"/>
      <x:c r="D80" s="18" t="str"/>
      <x:c r="E80" s="18" t="str"/>
      <x:c r="F80" s="21" t="n">
        <x:v>0</x:v>
      </x:c>
      <x:c r="G80" s="18" t="str">
        <x:v>黄色</x:v>
      </x:c>
      <x:c r="H80" s="18" t="str"/>
      <x:c r="I80" s="18" t="str"/>
      <x:c r="J80" s="18" t="str"/>
      <x:c r="K80" s="18" t="str"/>
      <x:c r="L80" s="18" t="str"/>
      <x:c r="M80" s="18" t="str"/>
      <x:c r="N80" s="18" t="str"/>
      <x:c r="O80" s="17"/>
      <x:c r="P80" s="18" t="str">
        <x:v>未升级</x:v>
      </x:c>
      <x:c r="Q80" s="18" t="str">
        <x:v>待判断</x:v>
      </x:c>
      <x:c r="R80" s="18" t="str">
        <x:v>待判断</x:v>
      </x:c>
      <x:c r="S80" s="18" t="str">
        <x:v>待判断</x:v>
      </x:c>
      <x:c r="T80" s="19"/>
      <x:c r="U80" s="18" t="str"/>
      <x:c r="V80" s="18" t="str">
        <x:v>Open</x:v>
      </x:c>
      <x:c r="W80" s="18" t="str"/>
      <x:c r="X80" s="19"/>
    </x:row>
    <x:row r="81">
      <x:c r="A81" s="13" t="str">
        <x:v>ISS-0076</x:v>
      </x:c>
      <x:c r="B81" s="19"/>
      <x:c r="C81" s="18" t="str"/>
      <x:c r="D81" s="18" t="str"/>
      <x:c r="E81" s="18" t="str"/>
      <x:c r="F81" s="21" t="n">
        <x:v>0</x:v>
      </x:c>
      <x:c r="G81" s="18" t="str">
        <x:v>黄色</x:v>
      </x:c>
      <x:c r="H81" s="18" t="str"/>
      <x:c r="I81" s="18" t="str"/>
      <x:c r="J81" s="18" t="str"/>
      <x:c r="K81" s="18" t="str"/>
      <x:c r="L81" s="18" t="str"/>
      <x:c r="M81" s="18" t="str"/>
      <x:c r="N81" s="18" t="str"/>
      <x:c r="O81" s="17"/>
      <x:c r="P81" s="18" t="str">
        <x:v>未升级</x:v>
      </x:c>
      <x:c r="Q81" s="18" t="str">
        <x:v>待判断</x:v>
      </x:c>
      <x:c r="R81" s="18" t="str">
        <x:v>待判断</x:v>
      </x:c>
      <x:c r="S81" s="18" t="str">
        <x:v>待判断</x:v>
      </x:c>
      <x:c r="T81" s="19"/>
      <x:c r="U81" s="18" t="str"/>
      <x:c r="V81" s="18" t="str">
        <x:v>Open</x:v>
      </x:c>
      <x:c r="W81" s="18" t="str"/>
      <x:c r="X81" s="19"/>
    </x:row>
    <x:row r="82">
      <x:c r="A82" s="13" t="str">
        <x:v>ISS-0077</x:v>
      </x:c>
      <x:c r="B82" s="19"/>
      <x:c r="C82" s="18" t="str"/>
      <x:c r="D82" s="18" t="str"/>
      <x:c r="E82" s="18" t="str"/>
      <x:c r="F82" s="21" t="n">
        <x:v>0</x:v>
      </x:c>
      <x:c r="G82" s="18" t="str">
        <x:v>黄色</x:v>
      </x:c>
      <x:c r="H82" s="18" t="str"/>
      <x:c r="I82" s="18" t="str"/>
      <x:c r="J82" s="18" t="str"/>
      <x:c r="K82" s="18" t="str"/>
      <x:c r="L82" s="18" t="str"/>
      <x:c r="M82" s="18" t="str"/>
      <x:c r="N82" s="18" t="str"/>
      <x:c r="O82" s="17"/>
      <x:c r="P82" s="18" t="str">
        <x:v>未升级</x:v>
      </x:c>
      <x:c r="Q82" s="18" t="str">
        <x:v>待判断</x:v>
      </x:c>
      <x:c r="R82" s="18" t="str">
        <x:v>待判断</x:v>
      </x:c>
      <x:c r="S82" s="18" t="str">
        <x:v>待判断</x:v>
      </x:c>
      <x:c r="T82" s="19"/>
      <x:c r="U82" s="18" t="str"/>
      <x:c r="V82" s="18" t="str">
        <x:v>Open</x:v>
      </x:c>
      <x:c r="W82" s="18" t="str"/>
      <x:c r="X82" s="19"/>
    </x:row>
    <x:row r="83">
      <x:c r="A83" s="13" t="str">
        <x:v>ISS-0078</x:v>
      </x:c>
      <x:c r="B83" s="19"/>
      <x:c r="C83" s="18" t="str"/>
      <x:c r="D83" s="18" t="str"/>
      <x:c r="E83" s="18" t="str"/>
      <x:c r="F83" s="21" t="n">
        <x:v>0</x:v>
      </x:c>
      <x:c r="G83" s="18" t="str">
        <x:v>黄色</x:v>
      </x:c>
      <x:c r="H83" s="18" t="str"/>
      <x:c r="I83" s="18" t="str"/>
      <x:c r="J83" s="18" t="str"/>
      <x:c r="K83" s="18" t="str"/>
      <x:c r="L83" s="18" t="str"/>
      <x:c r="M83" s="18" t="str"/>
      <x:c r="N83" s="18" t="str"/>
      <x:c r="O83" s="17"/>
      <x:c r="P83" s="18" t="str">
        <x:v>未升级</x:v>
      </x:c>
      <x:c r="Q83" s="18" t="str">
        <x:v>待判断</x:v>
      </x:c>
      <x:c r="R83" s="18" t="str">
        <x:v>待判断</x:v>
      </x:c>
      <x:c r="S83" s="18" t="str">
        <x:v>待判断</x:v>
      </x:c>
      <x:c r="T83" s="19"/>
      <x:c r="U83" s="18" t="str"/>
      <x:c r="V83" s="18" t="str">
        <x:v>Open</x:v>
      </x:c>
      <x:c r="W83" s="18" t="str"/>
      <x:c r="X83" s="19"/>
    </x:row>
    <x:row r="84">
      <x:c r="A84" s="13" t="str">
        <x:v>ISS-0079</x:v>
      </x:c>
      <x:c r="B84" s="19"/>
      <x:c r="C84" s="18" t="str"/>
      <x:c r="D84" s="18" t="str"/>
      <x:c r="E84" s="18" t="str"/>
      <x:c r="F84" s="21" t="n">
        <x:v>0</x:v>
      </x:c>
      <x:c r="G84" s="18" t="str">
        <x:v>黄色</x:v>
      </x:c>
      <x:c r="H84" s="18" t="str"/>
      <x:c r="I84" s="18" t="str"/>
      <x:c r="J84" s="18" t="str"/>
      <x:c r="K84" s="18" t="str"/>
      <x:c r="L84" s="18" t="str"/>
      <x:c r="M84" s="18" t="str"/>
      <x:c r="N84" s="18" t="str"/>
      <x:c r="O84" s="17"/>
      <x:c r="P84" s="18" t="str">
        <x:v>未升级</x:v>
      </x:c>
      <x:c r="Q84" s="18" t="str">
        <x:v>待判断</x:v>
      </x:c>
      <x:c r="R84" s="18" t="str">
        <x:v>待判断</x:v>
      </x:c>
      <x:c r="S84" s="18" t="str">
        <x:v>待判断</x:v>
      </x:c>
      <x:c r="T84" s="19"/>
      <x:c r="U84" s="18" t="str"/>
      <x:c r="V84" s="18" t="str">
        <x:v>Open</x:v>
      </x:c>
      <x:c r="W84" s="18" t="str"/>
      <x:c r="X84" s="19"/>
    </x:row>
    <x:row r="85">
      <x:c r="A85" s="13" t="str">
        <x:v>ISS-0080</x:v>
      </x:c>
      <x:c r="B85" s="19"/>
      <x:c r="C85" s="18" t="str"/>
      <x:c r="D85" s="18" t="str"/>
      <x:c r="E85" s="18" t="str"/>
      <x:c r="F85" s="21" t="n">
        <x:v>0</x:v>
      </x:c>
      <x:c r="G85" s="18" t="str">
        <x:v>黄色</x:v>
      </x:c>
      <x:c r="H85" s="18" t="str"/>
      <x:c r="I85" s="18" t="str"/>
      <x:c r="J85" s="18" t="str"/>
      <x:c r="K85" s="18" t="str"/>
      <x:c r="L85" s="18" t="str"/>
      <x:c r="M85" s="18" t="str"/>
      <x:c r="N85" s="18" t="str"/>
      <x:c r="O85" s="17"/>
      <x:c r="P85" s="18" t="str">
        <x:v>未升级</x:v>
      </x:c>
      <x:c r="Q85" s="18" t="str">
        <x:v>待判断</x:v>
      </x:c>
      <x:c r="R85" s="18" t="str">
        <x:v>待判断</x:v>
      </x:c>
      <x:c r="S85" s="18" t="str">
        <x:v>待判断</x:v>
      </x:c>
      <x:c r="T85" s="19"/>
      <x:c r="U85" s="18" t="str"/>
      <x:c r="V85" s="18" t="str">
        <x:v>Open</x:v>
      </x:c>
      <x:c r="W85" s="18" t="str"/>
      <x:c r="X85" s="19"/>
    </x:row>
  </x:sheetData>
  <x:mergeCells>
    <x:mergeCell ref="A1:X1"/>
    <x:mergeCell ref="A2:X2"/>
  </x:mergeCells>
  <x:dataValidations count="2">
    <x:dataValidation type="list" sqref="G6:G85">
      <x:formula1>"蓝色,黄色,橙色,红色"</x:formula1>
    </x:dataValidation>
    <x:dataValidation type="list" sqref="V6:V85">
      <x:formula1>"Open,In Progress,Pending,Resolved,Closed"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f1665bc654d6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  <x:col min="9" max="9" width="11" hidden="0" customWidth="1"/>
    <x:col min="10" max="10" width="14" hidden="0" customWidth="1"/>
    <x:col min="11" max="11" width="13" hidden="0" customWidth="1"/>
    <x:col min="12" max="12" width="38" hidden="0" customWidth="1"/>
  </x:cols>
  <x:sheetData>
    <x:row r="1" ht="30" customHeight="1">
      <x:c r="A1" s="1" t="str">
        <x:v>Action Plan</x:v>
      </x:c>
    </x:row>
    <x:row r="2" ht="25" customHeight="1">
      <x:c r="A2" s="3" t="str">
        <x:v>临时措施用于止损，永久措施用于消除根因。</x:v>
      </x:c>
    </x:row>
    <x:row r="5" ht="36" customHeight="1">
      <x:c r="A5" s="9" t="str">
        <x:v>行动编号</x:v>
      </x:c>
      <x:c r="B5" s="9" t="str">
        <x:v>关联Issue</x:v>
      </x:c>
      <x:c r="C5" s="9" t="str">
        <x:v>行动事项</x:v>
      </x:c>
      <x:c r="D5" s="9" t="str">
        <x:v>类型</x:v>
      </x:c>
      <x:c r="E5" s="9" t="str">
        <x:v>Owner</x:v>
      </x:c>
      <x:c r="F5" s="9" t="str">
        <x:v>开始日</x:v>
      </x:c>
      <x:c r="G5" s="9" t="str">
        <x:v>截止日</x:v>
      </x:c>
      <x:c r="H5" s="9" t="str">
        <x:v>完成标准</x:v>
      </x:c>
      <x:c r="I5" s="9" t="str">
        <x:v>状态</x:v>
      </x:c>
      <x:c r="J5" s="9" t="str">
        <x:v>实际完成日</x:v>
      </x:c>
      <x:c r="K5" s="9" t="str">
        <x:v>复核人</x:v>
      </x:c>
      <x:c r="L5" s="9" t="str">
        <x:v>证据</x:v>
      </x:c>
    </x:row>
    <x:row r="6">
      <x:c r="A6" s="13" t="str">
        <x:v>ACT-0001</x:v>
      </x:c>
      <x:c r="B6" s="18" t="str"/>
      <x:c r="C6" s="18" t="str"/>
      <x:c r="D6" s="18" t="str">
        <x:v>永久/临时</x:v>
      </x:c>
      <x:c r="E6" s="18" t="str"/>
      <x:c r="F6" s="19"/>
      <x:c r="G6" s="19"/>
      <x:c r="H6" s="18" t="str"/>
      <x:c r="I6" s="18" t="str">
        <x:v>未开始</x:v>
      </x:c>
      <x:c r="J6" s="19"/>
      <x:c r="K6" s="18" t="str"/>
      <x:c r="L6" s="18" t="str"/>
    </x:row>
    <x:row r="7">
      <x:c r="A7" s="13" t="str">
        <x:v>ACT-0002</x:v>
      </x:c>
      <x:c r="B7" s="18" t="str"/>
      <x:c r="C7" s="18" t="str"/>
      <x:c r="D7" s="18" t="str">
        <x:v>永久/临时</x:v>
      </x:c>
      <x:c r="E7" s="18" t="str"/>
      <x:c r="F7" s="19"/>
      <x:c r="G7" s="19"/>
      <x:c r="H7" s="18" t="str"/>
      <x:c r="I7" s="18" t="str">
        <x:v>未开始</x:v>
      </x:c>
      <x:c r="J7" s="19"/>
      <x:c r="K7" s="18" t="str"/>
      <x:c r="L7" s="18" t="str"/>
    </x:row>
    <x:row r="8">
      <x:c r="A8" s="13" t="str">
        <x:v>ACT-0003</x:v>
      </x:c>
      <x:c r="B8" s="18" t="str"/>
      <x:c r="C8" s="18" t="str"/>
      <x:c r="D8" s="18" t="str">
        <x:v>永久/临时</x:v>
      </x:c>
      <x:c r="E8" s="18" t="str"/>
      <x:c r="F8" s="19"/>
      <x:c r="G8" s="19"/>
      <x:c r="H8" s="18" t="str"/>
      <x:c r="I8" s="18" t="str">
        <x:v>未开始</x:v>
      </x:c>
      <x:c r="J8" s="19"/>
      <x:c r="K8" s="18" t="str"/>
      <x:c r="L8" s="18" t="str"/>
    </x:row>
    <x:row r="9">
      <x:c r="A9" s="13" t="str">
        <x:v>ACT-0004</x:v>
      </x:c>
      <x:c r="B9" s="18" t="str"/>
      <x:c r="C9" s="18" t="str"/>
      <x:c r="D9" s="18" t="str">
        <x:v>永久/临时</x:v>
      </x:c>
      <x:c r="E9" s="18" t="str"/>
      <x:c r="F9" s="19"/>
      <x:c r="G9" s="19"/>
      <x:c r="H9" s="18" t="str"/>
      <x:c r="I9" s="18" t="str">
        <x:v>未开始</x:v>
      </x:c>
      <x:c r="J9" s="19"/>
      <x:c r="K9" s="18" t="str"/>
      <x:c r="L9" s="18" t="str"/>
    </x:row>
    <x:row r="10">
      <x:c r="A10" s="13" t="str">
        <x:v>ACT-0005</x:v>
      </x:c>
      <x:c r="B10" s="18" t="str"/>
      <x:c r="C10" s="18" t="str"/>
      <x:c r="D10" s="18" t="str">
        <x:v>永久/临时</x:v>
      </x:c>
      <x:c r="E10" s="18" t="str"/>
      <x:c r="F10" s="19"/>
      <x:c r="G10" s="19"/>
      <x:c r="H10" s="18" t="str"/>
      <x:c r="I10" s="18" t="str">
        <x:v>未开始</x:v>
      </x:c>
      <x:c r="J10" s="19"/>
      <x:c r="K10" s="18" t="str"/>
      <x:c r="L10" s="18" t="str"/>
    </x:row>
    <x:row r="11">
      <x:c r="A11" s="13" t="str">
        <x:v>ACT-0006</x:v>
      </x:c>
      <x:c r="B11" s="18" t="str"/>
      <x:c r="C11" s="18" t="str"/>
      <x:c r="D11" s="18" t="str">
        <x:v>永久/临时</x:v>
      </x:c>
      <x:c r="E11" s="18" t="str"/>
      <x:c r="F11" s="19"/>
      <x:c r="G11" s="19"/>
      <x:c r="H11" s="18" t="str"/>
      <x:c r="I11" s="18" t="str">
        <x:v>未开始</x:v>
      </x:c>
      <x:c r="J11" s="19"/>
      <x:c r="K11" s="18" t="str"/>
      <x:c r="L11" s="18" t="str"/>
    </x:row>
    <x:row r="12">
      <x:c r="A12" s="13" t="str">
        <x:v>ACT-0007</x:v>
      </x:c>
      <x:c r="B12" s="18" t="str"/>
      <x:c r="C12" s="18" t="str"/>
      <x:c r="D12" s="18" t="str">
        <x:v>永久/临时</x:v>
      </x:c>
      <x:c r="E12" s="18" t="str"/>
      <x:c r="F12" s="19"/>
      <x:c r="G12" s="19"/>
      <x:c r="H12" s="18" t="str"/>
      <x:c r="I12" s="18" t="str">
        <x:v>未开始</x:v>
      </x:c>
      <x:c r="J12" s="19"/>
      <x:c r="K12" s="18" t="str"/>
      <x:c r="L12" s="18" t="str"/>
    </x:row>
    <x:row r="13">
      <x:c r="A13" s="13" t="str">
        <x:v>ACT-0008</x:v>
      </x:c>
      <x:c r="B13" s="18" t="str"/>
      <x:c r="C13" s="18" t="str"/>
      <x:c r="D13" s="18" t="str">
        <x:v>永久/临时</x:v>
      </x:c>
      <x:c r="E13" s="18" t="str"/>
      <x:c r="F13" s="19"/>
      <x:c r="G13" s="19"/>
      <x:c r="H13" s="18" t="str"/>
      <x:c r="I13" s="18" t="str">
        <x:v>未开始</x:v>
      </x:c>
      <x:c r="J13" s="19"/>
      <x:c r="K13" s="18" t="str"/>
      <x:c r="L13" s="18" t="str"/>
    </x:row>
    <x:row r="14">
      <x:c r="A14" s="13" t="str">
        <x:v>ACT-0009</x:v>
      </x:c>
      <x:c r="B14" s="18" t="str"/>
      <x:c r="C14" s="18" t="str"/>
      <x:c r="D14" s="18" t="str">
        <x:v>永久/临时</x:v>
      </x:c>
      <x:c r="E14" s="18" t="str"/>
      <x:c r="F14" s="19"/>
      <x:c r="G14" s="19"/>
      <x:c r="H14" s="18" t="str"/>
      <x:c r="I14" s="18" t="str">
        <x:v>未开始</x:v>
      </x:c>
      <x:c r="J14" s="19"/>
      <x:c r="K14" s="18" t="str"/>
      <x:c r="L14" s="18" t="str"/>
    </x:row>
    <x:row r="15">
      <x:c r="A15" s="13" t="str">
        <x:v>ACT-0010</x:v>
      </x:c>
      <x:c r="B15" s="18" t="str"/>
      <x:c r="C15" s="18" t="str"/>
      <x:c r="D15" s="18" t="str">
        <x:v>永久/临时</x:v>
      </x:c>
      <x:c r="E15" s="18" t="str"/>
      <x:c r="F15" s="19"/>
      <x:c r="G15" s="19"/>
      <x:c r="H15" s="18" t="str"/>
      <x:c r="I15" s="18" t="str">
        <x:v>未开始</x:v>
      </x:c>
      <x:c r="J15" s="19"/>
      <x:c r="K15" s="18" t="str"/>
      <x:c r="L15" s="18" t="str"/>
    </x:row>
    <x:row r="16">
      <x:c r="A16" s="13" t="str">
        <x:v>ACT-0011</x:v>
      </x:c>
      <x:c r="B16" s="18" t="str"/>
      <x:c r="C16" s="18" t="str"/>
      <x:c r="D16" s="18" t="str">
        <x:v>永久/临时</x:v>
      </x:c>
      <x:c r="E16" s="18" t="str"/>
      <x:c r="F16" s="19"/>
      <x:c r="G16" s="19"/>
      <x:c r="H16" s="18" t="str"/>
      <x:c r="I16" s="18" t="str">
        <x:v>未开始</x:v>
      </x:c>
      <x:c r="J16" s="19"/>
      <x:c r="K16" s="18" t="str"/>
      <x:c r="L16" s="18" t="str"/>
    </x:row>
    <x:row r="17">
      <x:c r="A17" s="13" t="str">
        <x:v>ACT-0012</x:v>
      </x:c>
      <x:c r="B17" s="18" t="str"/>
      <x:c r="C17" s="18" t="str"/>
      <x:c r="D17" s="18" t="str">
        <x:v>永久/临时</x:v>
      </x:c>
      <x:c r="E17" s="18" t="str"/>
      <x:c r="F17" s="19"/>
      <x:c r="G17" s="19"/>
      <x:c r="H17" s="18" t="str"/>
      <x:c r="I17" s="18" t="str">
        <x:v>未开始</x:v>
      </x:c>
      <x:c r="J17" s="19"/>
      <x:c r="K17" s="18" t="str"/>
      <x:c r="L17" s="18" t="str"/>
    </x:row>
    <x:row r="18">
      <x:c r="A18" s="13" t="str">
        <x:v>ACT-0013</x:v>
      </x:c>
      <x:c r="B18" s="18" t="str"/>
      <x:c r="C18" s="18" t="str"/>
      <x:c r="D18" s="18" t="str">
        <x:v>永久/临时</x:v>
      </x:c>
      <x:c r="E18" s="18" t="str"/>
      <x:c r="F18" s="19"/>
      <x:c r="G18" s="19"/>
      <x:c r="H18" s="18" t="str"/>
      <x:c r="I18" s="18" t="str">
        <x:v>未开始</x:v>
      </x:c>
      <x:c r="J18" s="19"/>
      <x:c r="K18" s="18" t="str"/>
      <x:c r="L18" s="18" t="str"/>
    </x:row>
    <x:row r="19">
      <x:c r="A19" s="13" t="str">
        <x:v>ACT-0014</x:v>
      </x:c>
      <x:c r="B19" s="18" t="str"/>
      <x:c r="C19" s="18" t="str"/>
      <x:c r="D19" s="18" t="str">
        <x:v>永久/临时</x:v>
      </x:c>
      <x:c r="E19" s="18" t="str"/>
      <x:c r="F19" s="19"/>
      <x:c r="G19" s="19"/>
      <x:c r="H19" s="18" t="str"/>
      <x:c r="I19" s="18" t="str">
        <x:v>未开始</x:v>
      </x:c>
      <x:c r="J19" s="19"/>
      <x:c r="K19" s="18" t="str"/>
      <x:c r="L19" s="18" t="str"/>
    </x:row>
    <x:row r="20">
      <x:c r="A20" s="13" t="str">
        <x:v>ACT-0015</x:v>
      </x:c>
      <x:c r="B20" s="18" t="str"/>
      <x:c r="C20" s="18" t="str"/>
      <x:c r="D20" s="18" t="str">
        <x:v>永久/临时</x:v>
      </x:c>
      <x:c r="E20" s="18" t="str"/>
      <x:c r="F20" s="19"/>
      <x:c r="G20" s="19"/>
      <x:c r="H20" s="18" t="str"/>
      <x:c r="I20" s="18" t="str">
        <x:v>未开始</x:v>
      </x:c>
      <x:c r="J20" s="19"/>
      <x:c r="K20" s="18" t="str"/>
      <x:c r="L20" s="18" t="str"/>
    </x:row>
    <x:row r="21">
      <x:c r="A21" s="13" t="str">
        <x:v>ACT-0016</x:v>
      </x:c>
      <x:c r="B21" s="18" t="str"/>
      <x:c r="C21" s="18" t="str"/>
      <x:c r="D21" s="18" t="str">
        <x:v>永久/临时</x:v>
      </x:c>
      <x:c r="E21" s="18" t="str"/>
      <x:c r="F21" s="19"/>
      <x:c r="G21" s="19"/>
      <x:c r="H21" s="18" t="str"/>
      <x:c r="I21" s="18" t="str">
        <x:v>未开始</x:v>
      </x:c>
      <x:c r="J21" s="19"/>
      <x:c r="K21" s="18" t="str"/>
      <x:c r="L21" s="18" t="str"/>
    </x:row>
    <x:row r="22">
      <x:c r="A22" s="13" t="str">
        <x:v>ACT-0017</x:v>
      </x:c>
      <x:c r="B22" s="18" t="str"/>
      <x:c r="C22" s="18" t="str"/>
      <x:c r="D22" s="18" t="str">
        <x:v>永久/临时</x:v>
      </x:c>
      <x:c r="E22" s="18" t="str"/>
      <x:c r="F22" s="19"/>
      <x:c r="G22" s="19"/>
      <x:c r="H22" s="18" t="str"/>
      <x:c r="I22" s="18" t="str">
        <x:v>未开始</x:v>
      </x:c>
      <x:c r="J22" s="19"/>
      <x:c r="K22" s="18" t="str"/>
      <x:c r="L22" s="18" t="str"/>
    </x:row>
    <x:row r="23">
      <x:c r="A23" s="13" t="str">
        <x:v>ACT-0018</x:v>
      </x:c>
      <x:c r="B23" s="18" t="str"/>
      <x:c r="C23" s="18" t="str"/>
      <x:c r="D23" s="18" t="str">
        <x:v>永久/临时</x:v>
      </x:c>
      <x:c r="E23" s="18" t="str"/>
      <x:c r="F23" s="19"/>
      <x:c r="G23" s="19"/>
      <x:c r="H23" s="18" t="str"/>
      <x:c r="I23" s="18" t="str">
        <x:v>未开始</x:v>
      </x:c>
      <x:c r="J23" s="19"/>
      <x:c r="K23" s="18" t="str"/>
      <x:c r="L23" s="18" t="str"/>
    </x:row>
    <x:row r="24">
      <x:c r="A24" s="13" t="str">
        <x:v>ACT-0019</x:v>
      </x:c>
      <x:c r="B24" s="18" t="str"/>
      <x:c r="C24" s="18" t="str"/>
      <x:c r="D24" s="18" t="str">
        <x:v>永久/临时</x:v>
      </x:c>
      <x:c r="E24" s="18" t="str"/>
      <x:c r="F24" s="19"/>
      <x:c r="G24" s="19"/>
      <x:c r="H24" s="18" t="str"/>
      <x:c r="I24" s="18" t="str">
        <x:v>未开始</x:v>
      </x:c>
      <x:c r="J24" s="19"/>
      <x:c r="K24" s="18" t="str"/>
      <x:c r="L24" s="18" t="str"/>
    </x:row>
    <x:row r="25">
      <x:c r="A25" s="13" t="str">
        <x:v>ACT-0020</x:v>
      </x:c>
      <x:c r="B25" s="18" t="str"/>
      <x:c r="C25" s="18" t="str"/>
      <x:c r="D25" s="18" t="str">
        <x:v>永久/临时</x:v>
      </x:c>
      <x:c r="E25" s="18" t="str"/>
      <x:c r="F25" s="19"/>
      <x:c r="G25" s="19"/>
      <x:c r="H25" s="18" t="str"/>
      <x:c r="I25" s="18" t="str">
        <x:v>未开始</x:v>
      </x:c>
      <x:c r="J25" s="19"/>
      <x:c r="K25" s="18" t="str"/>
      <x:c r="L25" s="18" t="str"/>
    </x:row>
    <x:row r="26">
      <x:c r="A26" s="13" t="str">
        <x:v>ACT-0021</x:v>
      </x:c>
      <x:c r="B26" s="18" t="str"/>
      <x:c r="C26" s="18" t="str"/>
      <x:c r="D26" s="18" t="str">
        <x:v>永久/临时</x:v>
      </x:c>
      <x:c r="E26" s="18" t="str"/>
      <x:c r="F26" s="19"/>
      <x:c r="G26" s="19"/>
      <x:c r="H26" s="18" t="str"/>
      <x:c r="I26" s="18" t="str">
        <x:v>未开始</x:v>
      </x:c>
      <x:c r="J26" s="19"/>
      <x:c r="K26" s="18" t="str"/>
      <x:c r="L26" s="18" t="str"/>
    </x:row>
    <x:row r="27">
      <x:c r="A27" s="13" t="str">
        <x:v>ACT-0022</x:v>
      </x:c>
      <x:c r="B27" s="18" t="str"/>
      <x:c r="C27" s="18" t="str"/>
      <x:c r="D27" s="18" t="str">
        <x:v>永久/临时</x:v>
      </x:c>
      <x:c r="E27" s="18" t="str"/>
      <x:c r="F27" s="19"/>
      <x:c r="G27" s="19"/>
      <x:c r="H27" s="18" t="str"/>
      <x:c r="I27" s="18" t="str">
        <x:v>未开始</x:v>
      </x:c>
      <x:c r="J27" s="19"/>
      <x:c r="K27" s="18" t="str"/>
      <x:c r="L27" s="18" t="str"/>
    </x:row>
    <x:row r="28">
      <x:c r="A28" s="13" t="str">
        <x:v>ACT-0023</x:v>
      </x:c>
      <x:c r="B28" s="18" t="str"/>
      <x:c r="C28" s="18" t="str"/>
      <x:c r="D28" s="18" t="str">
        <x:v>永久/临时</x:v>
      </x:c>
      <x:c r="E28" s="18" t="str"/>
      <x:c r="F28" s="19"/>
      <x:c r="G28" s="19"/>
      <x:c r="H28" s="18" t="str"/>
      <x:c r="I28" s="18" t="str">
        <x:v>未开始</x:v>
      </x:c>
      <x:c r="J28" s="19"/>
      <x:c r="K28" s="18" t="str"/>
      <x:c r="L28" s="18" t="str"/>
    </x:row>
    <x:row r="29">
      <x:c r="A29" s="13" t="str">
        <x:v>ACT-0024</x:v>
      </x:c>
      <x:c r="B29" s="18" t="str"/>
      <x:c r="C29" s="18" t="str"/>
      <x:c r="D29" s="18" t="str">
        <x:v>永久/临时</x:v>
      </x:c>
      <x:c r="E29" s="18" t="str"/>
      <x:c r="F29" s="19"/>
      <x:c r="G29" s="19"/>
      <x:c r="H29" s="18" t="str"/>
      <x:c r="I29" s="18" t="str">
        <x:v>未开始</x:v>
      </x:c>
      <x:c r="J29" s="19"/>
      <x:c r="K29" s="18" t="str"/>
      <x:c r="L29" s="18" t="str"/>
    </x:row>
    <x:row r="30">
      <x:c r="A30" s="13" t="str">
        <x:v>ACT-0025</x:v>
      </x:c>
      <x:c r="B30" s="18" t="str"/>
      <x:c r="C30" s="18" t="str"/>
      <x:c r="D30" s="18" t="str">
        <x:v>永久/临时</x:v>
      </x:c>
      <x:c r="E30" s="18" t="str"/>
      <x:c r="F30" s="19"/>
      <x:c r="G30" s="19"/>
      <x:c r="H30" s="18" t="str"/>
      <x:c r="I30" s="18" t="str">
        <x:v>未开始</x:v>
      </x:c>
      <x:c r="J30" s="19"/>
      <x:c r="K30" s="18" t="str"/>
      <x:c r="L30" s="18" t="str"/>
    </x:row>
    <x:row r="31">
      <x:c r="A31" s="13" t="str">
        <x:v>ACT-0026</x:v>
      </x:c>
      <x:c r="B31" s="18" t="str"/>
      <x:c r="C31" s="18" t="str"/>
      <x:c r="D31" s="18" t="str">
        <x:v>永久/临时</x:v>
      </x:c>
      <x:c r="E31" s="18" t="str"/>
      <x:c r="F31" s="19"/>
      <x:c r="G31" s="19"/>
      <x:c r="H31" s="18" t="str"/>
      <x:c r="I31" s="18" t="str">
        <x:v>未开始</x:v>
      </x:c>
      <x:c r="J31" s="19"/>
      <x:c r="K31" s="18" t="str"/>
      <x:c r="L31" s="18" t="str"/>
    </x:row>
    <x:row r="32">
      <x:c r="A32" s="13" t="str">
        <x:v>ACT-0027</x:v>
      </x:c>
      <x:c r="B32" s="18" t="str"/>
      <x:c r="C32" s="18" t="str"/>
      <x:c r="D32" s="18" t="str">
        <x:v>永久/临时</x:v>
      </x:c>
      <x:c r="E32" s="18" t="str"/>
      <x:c r="F32" s="19"/>
      <x:c r="G32" s="19"/>
      <x:c r="H32" s="18" t="str"/>
      <x:c r="I32" s="18" t="str">
        <x:v>未开始</x:v>
      </x:c>
      <x:c r="J32" s="19"/>
      <x:c r="K32" s="18" t="str"/>
      <x:c r="L32" s="18" t="str"/>
    </x:row>
    <x:row r="33">
      <x:c r="A33" s="13" t="str">
        <x:v>ACT-0028</x:v>
      </x:c>
      <x:c r="B33" s="18" t="str"/>
      <x:c r="C33" s="18" t="str"/>
      <x:c r="D33" s="18" t="str">
        <x:v>永久/临时</x:v>
      </x:c>
      <x:c r="E33" s="18" t="str"/>
      <x:c r="F33" s="19"/>
      <x:c r="G33" s="19"/>
      <x:c r="H33" s="18" t="str"/>
      <x:c r="I33" s="18" t="str">
        <x:v>未开始</x:v>
      </x:c>
      <x:c r="J33" s="19"/>
      <x:c r="K33" s="18" t="str"/>
      <x:c r="L33" s="18" t="str"/>
    </x:row>
    <x:row r="34">
      <x:c r="A34" s="13" t="str">
        <x:v>ACT-0029</x:v>
      </x:c>
      <x:c r="B34" s="18" t="str"/>
      <x:c r="C34" s="18" t="str"/>
      <x:c r="D34" s="18" t="str">
        <x:v>永久/临时</x:v>
      </x:c>
      <x:c r="E34" s="18" t="str"/>
      <x:c r="F34" s="19"/>
      <x:c r="G34" s="19"/>
      <x:c r="H34" s="18" t="str"/>
      <x:c r="I34" s="18" t="str">
        <x:v>未开始</x:v>
      </x:c>
      <x:c r="J34" s="19"/>
      <x:c r="K34" s="18" t="str"/>
      <x:c r="L34" s="18" t="str"/>
    </x:row>
    <x:row r="35">
      <x:c r="A35" s="13" t="str">
        <x:v>ACT-0030</x:v>
      </x:c>
      <x:c r="B35" s="18" t="str"/>
      <x:c r="C35" s="18" t="str"/>
      <x:c r="D35" s="18" t="str">
        <x:v>永久/临时</x:v>
      </x:c>
      <x:c r="E35" s="18" t="str"/>
      <x:c r="F35" s="19"/>
      <x:c r="G35" s="19"/>
      <x:c r="H35" s="18" t="str"/>
      <x:c r="I35" s="18" t="str">
        <x:v>未开始</x:v>
      </x:c>
      <x:c r="J35" s="19"/>
      <x:c r="K35" s="18" t="str"/>
      <x:c r="L35" s="18" t="str"/>
    </x:row>
    <x:row r="36">
      <x:c r="A36" s="13" t="str">
        <x:v>ACT-0031</x:v>
      </x:c>
      <x:c r="B36" s="18" t="str"/>
      <x:c r="C36" s="18" t="str"/>
      <x:c r="D36" s="18" t="str">
        <x:v>永久/临时</x:v>
      </x:c>
      <x:c r="E36" s="18" t="str"/>
      <x:c r="F36" s="19"/>
      <x:c r="G36" s="19"/>
      <x:c r="H36" s="18" t="str"/>
      <x:c r="I36" s="18" t="str">
        <x:v>未开始</x:v>
      </x:c>
      <x:c r="J36" s="19"/>
      <x:c r="K36" s="18" t="str"/>
      <x:c r="L36" s="18" t="str"/>
    </x:row>
    <x:row r="37">
      <x:c r="A37" s="13" t="str">
        <x:v>ACT-0032</x:v>
      </x:c>
      <x:c r="B37" s="18" t="str"/>
      <x:c r="C37" s="18" t="str"/>
      <x:c r="D37" s="18" t="str">
        <x:v>永久/临时</x:v>
      </x:c>
      <x:c r="E37" s="18" t="str"/>
      <x:c r="F37" s="19"/>
      <x:c r="G37" s="19"/>
      <x:c r="H37" s="18" t="str"/>
      <x:c r="I37" s="18" t="str">
        <x:v>未开始</x:v>
      </x:c>
      <x:c r="J37" s="19"/>
      <x:c r="K37" s="18" t="str"/>
      <x:c r="L37" s="18" t="str"/>
    </x:row>
    <x:row r="38">
      <x:c r="A38" s="13" t="str">
        <x:v>ACT-0033</x:v>
      </x:c>
      <x:c r="B38" s="18" t="str"/>
      <x:c r="C38" s="18" t="str"/>
      <x:c r="D38" s="18" t="str">
        <x:v>永久/临时</x:v>
      </x:c>
      <x:c r="E38" s="18" t="str"/>
      <x:c r="F38" s="19"/>
      <x:c r="G38" s="19"/>
      <x:c r="H38" s="18" t="str"/>
      <x:c r="I38" s="18" t="str">
        <x:v>未开始</x:v>
      </x:c>
      <x:c r="J38" s="19"/>
      <x:c r="K38" s="18" t="str"/>
      <x:c r="L38" s="18" t="str"/>
    </x:row>
    <x:row r="39">
      <x:c r="A39" s="13" t="str">
        <x:v>ACT-0034</x:v>
      </x:c>
      <x:c r="B39" s="18" t="str"/>
      <x:c r="C39" s="18" t="str"/>
      <x:c r="D39" s="18" t="str">
        <x:v>永久/临时</x:v>
      </x:c>
      <x:c r="E39" s="18" t="str"/>
      <x:c r="F39" s="19"/>
      <x:c r="G39" s="19"/>
      <x:c r="H39" s="18" t="str"/>
      <x:c r="I39" s="18" t="str">
        <x:v>未开始</x:v>
      </x:c>
      <x:c r="J39" s="19"/>
      <x:c r="K39" s="18" t="str"/>
      <x:c r="L39" s="18" t="str"/>
    </x:row>
    <x:row r="40">
      <x:c r="A40" s="13" t="str">
        <x:v>ACT-0035</x:v>
      </x:c>
      <x:c r="B40" s="18" t="str"/>
      <x:c r="C40" s="18" t="str"/>
      <x:c r="D40" s="18" t="str">
        <x:v>永久/临时</x:v>
      </x:c>
      <x:c r="E40" s="18" t="str"/>
      <x:c r="F40" s="19"/>
      <x:c r="G40" s="19"/>
      <x:c r="H40" s="18" t="str"/>
      <x:c r="I40" s="18" t="str">
        <x:v>未开始</x:v>
      </x:c>
      <x:c r="J40" s="19"/>
      <x:c r="K40" s="18" t="str"/>
      <x:c r="L40" s="18" t="str"/>
    </x:row>
    <x:row r="41">
      <x:c r="A41" s="13" t="str">
        <x:v>ACT-0036</x:v>
      </x:c>
      <x:c r="B41" s="18" t="str"/>
      <x:c r="C41" s="18" t="str"/>
      <x:c r="D41" s="18" t="str">
        <x:v>永久/临时</x:v>
      </x:c>
      <x:c r="E41" s="18" t="str"/>
      <x:c r="F41" s="19"/>
      <x:c r="G41" s="19"/>
      <x:c r="H41" s="18" t="str"/>
      <x:c r="I41" s="18" t="str">
        <x:v>未开始</x:v>
      </x:c>
      <x:c r="J41" s="19"/>
      <x:c r="K41" s="18" t="str"/>
      <x:c r="L41" s="18" t="str"/>
    </x:row>
    <x:row r="42">
      <x:c r="A42" s="13" t="str">
        <x:v>ACT-0037</x:v>
      </x:c>
      <x:c r="B42" s="18" t="str"/>
      <x:c r="C42" s="18" t="str"/>
      <x:c r="D42" s="18" t="str">
        <x:v>永久/临时</x:v>
      </x:c>
      <x:c r="E42" s="18" t="str"/>
      <x:c r="F42" s="19"/>
      <x:c r="G42" s="19"/>
      <x:c r="H42" s="18" t="str"/>
      <x:c r="I42" s="18" t="str">
        <x:v>未开始</x:v>
      </x:c>
      <x:c r="J42" s="19"/>
      <x:c r="K42" s="18" t="str"/>
      <x:c r="L42" s="18" t="str"/>
    </x:row>
    <x:row r="43">
      <x:c r="A43" s="13" t="str">
        <x:v>ACT-0038</x:v>
      </x:c>
      <x:c r="B43" s="18" t="str"/>
      <x:c r="C43" s="18" t="str"/>
      <x:c r="D43" s="18" t="str">
        <x:v>永久/临时</x:v>
      </x:c>
      <x:c r="E43" s="18" t="str"/>
      <x:c r="F43" s="19"/>
      <x:c r="G43" s="19"/>
      <x:c r="H43" s="18" t="str"/>
      <x:c r="I43" s="18" t="str">
        <x:v>未开始</x:v>
      </x:c>
      <x:c r="J43" s="19"/>
      <x:c r="K43" s="18" t="str"/>
      <x:c r="L43" s="18" t="str"/>
    </x:row>
    <x:row r="44">
      <x:c r="A44" s="13" t="str">
        <x:v>ACT-0039</x:v>
      </x:c>
      <x:c r="B44" s="18" t="str"/>
      <x:c r="C44" s="18" t="str"/>
      <x:c r="D44" s="18" t="str">
        <x:v>永久/临时</x:v>
      </x:c>
      <x:c r="E44" s="18" t="str"/>
      <x:c r="F44" s="19"/>
      <x:c r="G44" s="19"/>
      <x:c r="H44" s="18" t="str"/>
      <x:c r="I44" s="18" t="str">
        <x:v>未开始</x:v>
      </x:c>
      <x:c r="J44" s="19"/>
      <x:c r="K44" s="18" t="str"/>
      <x:c r="L44" s="18" t="str"/>
    </x:row>
    <x:row r="45">
      <x:c r="A45" s="13" t="str">
        <x:v>ACT-0040</x:v>
      </x:c>
      <x:c r="B45" s="18" t="str"/>
      <x:c r="C45" s="18" t="str"/>
      <x:c r="D45" s="18" t="str">
        <x:v>永久/临时</x:v>
      </x:c>
      <x:c r="E45" s="18" t="str"/>
      <x:c r="F45" s="19"/>
      <x:c r="G45" s="19"/>
      <x:c r="H45" s="18" t="str"/>
      <x:c r="I45" s="18" t="str">
        <x:v>未开始</x:v>
      </x:c>
      <x:c r="J45" s="19"/>
      <x:c r="K45" s="18" t="str"/>
      <x:c r="L45" s="18" t="str"/>
    </x:row>
    <x:row r="46">
      <x:c r="A46" s="13" t="str">
        <x:v>ACT-0041</x:v>
      </x:c>
      <x:c r="B46" s="18" t="str"/>
      <x:c r="C46" s="18" t="str"/>
      <x:c r="D46" s="18" t="str">
        <x:v>永久/临时</x:v>
      </x:c>
      <x:c r="E46" s="18" t="str"/>
      <x:c r="F46" s="19"/>
      <x:c r="G46" s="19"/>
      <x:c r="H46" s="18" t="str"/>
      <x:c r="I46" s="18" t="str">
        <x:v>未开始</x:v>
      </x:c>
      <x:c r="J46" s="19"/>
      <x:c r="K46" s="18" t="str"/>
      <x:c r="L46" s="18" t="str"/>
    </x:row>
    <x:row r="47">
      <x:c r="A47" s="13" t="str">
        <x:v>ACT-0042</x:v>
      </x:c>
      <x:c r="B47" s="18" t="str"/>
      <x:c r="C47" s="18" t="str"/>
      <x:c r="D47" s="18" t="str">
        <x:v>永久/临时</x:v>
      </x:c>
      <x:c r="E47" s="18" t="str"/>
      <x:c r="F47" s="19"/>
      <x:c r="G47" s="19"/>
      <x:c r="H47" s="18" t="str"/>
      <x:c r="I47" s="18" t="str">
        <x:v>未开始</x:v>
      </x:c>
      <x:c r="J47" s="19"/>
      <x:c r="K47" s="18" t="str"/>
      <x:c r="L47" s="18" t="str"/>
    </x:row>
    <x:row r="48">
      <x:c r="A48" s="13" t="str">
        <x:v>ACT-0043</x:v>
      </x:c>
      <x:c r="B48" s="18" t="str"/>
      <x:c r="C48" s="18" t="str"/>
      <x:c r="D48" s="18" t="str">
        <x:v>永久/临时</x:v>
      </x:c>
      <x:c r="E48" s="18" t="str"/>
      <x:c r="F48" s="19"/>
      <x:c r="G48" s="19"/>
      <x:c r="H48" s="18" t="str"/>
      <x:c r="I48" s="18" t="str">
        <x:v>未开始</x:v>
      </x:c>
      <x:c r="J48" s="19"/>
      <x:c r="K48" s="18" t="str"/>
      <x:c r="L48" s="18" t="str"/>
    </x:row>
    <x:row r="49">
      <x:c r="A49" s="13" t="str">
        <x:v>ACT-0044</x:v>
      </x:c>
      <x:c r="B49" s="18" t="str"/>
      <x:c r="C49" s="18" t="str"/>
      <x:c r="D49" s="18" t="str">
        <x:v>永久/临时</x:v>
      </x:c>
      <x:c r="E49" s="18" t="str"/>
      <x:c r="F49" s="19"/>
      <x:c r="G49" s="19"/>
      <x:c r="H49" s="18" t="str"/>
      <x:c r="I49" s="18" t="str">
        <x:v>未开始</x:v>
      </x:c>
      <x:c r="J49" s="19"/>
      <x:c r="K49" s="18" t="str"/>
      <x:c r="L49" s="18" t="str"/>
    </x:row>
    <x:row r="50">
      <x:c r="A50" s="13" t="str">
        <x:v>ACT-0045</x:v>
      </x:c>
      <x:c r="B50" s="18" t="str"/>
      <x:c r="C50" s="18" t="str"/>
      <x:c r="D50" s="18" t="str">
        <x:v>永久/临时</x:v>
      </x:c>
      <x:c r="E50" s="18" t="str"/>
      <x:c r="F50" s="19"/>
      <x:c r="G50" s="19"/>
      <x:c r="H50" s="18" t="str"/>
      <x:c r="I50" s="18" t="str">
        <x:v>未开始</x:v>
      </x:c>
      <x:c r="J50" s="19"/>
      <x:c r="K50" s="18" t="str"/>
      <x:c r="L50" s="18" t="str"/>
    </x:row>
    <x:row r="51">
      <x:c r="A51" s="13" t="str">
        <x:v>ACT-0046</x:v>
      </x:c>
      <x:c r="B51" s="18" t="str"/>
      <x:c r="C51" s="18" t="str"/>
      <x:c r="D51" s="18" t="str">
        <x:v>永久/临时</x:v>
      </x:c>
      <x:c r="E51" s="18" t="str"/>
      <x:c r="F51" s="19"/>
      <x:c r="G51" s="19"/>
      <x:c r="H51" s="18" t="str"/>
      <x:c r="I51" s="18" t="str">
        <x:v>未开始</x:v>
      </x:c>
      <x:c r="J51" s="19"/>
      <x:c r="K51" s="18" t="str"/>
      <x:c r="L51" s="18" t="str"/>
    </x:row>
    <x:row r="52">
      <x:c r="A52" s="13" t="str">
        <x:v>ACT-0047</x:v>
      </x:c>
      <x:c r="B52" s="18" t="str"/>
      <x:c r="C52" s="18" t="str"/>
      <x:c r="D52" s="18" t="str">
        <x:v>永久/临时</x:v>
      </x:c>
      <x:c r="E52" s="18" t="str"/>
      <x:c r="F52" s="19"/>
      <x:c r="G52" s="19"/>
      <x:c r="H52" s="18" t="str"/>
      <x:c r="I52" s="18" t="str">
        <x:v>未开始</x:v>
      </x:c>
      <x:c r="J52" s="19"/>
      <x:c r="K52" s="18" t="str"/>
      <x:c r="L52" s="18" t="str"/>
    </x:row>
    <x:row r="53">
      <x:c r="A53" s="13" t="str">
        <x:v>ACT-0048</x:v>
      </x:c>
      <x:c r="B53" s="18" t="str"/>
      <x:c r="C53" s="18" t="str"/>
      <x:c r="D53" s="18" t="str">
        <x:v>永久/临时</x:v>
      </x:c>
      <x:c r="E53" s="18" t="str"/>
      <x:c r="F53" s="19"/>
      <x:c r="G53" s="19"/>
      <x:c r="H53" s="18" t="str"/>
      <x:c r="I53" s="18" t="str">
        <x:v>未开始</x:v>
      </x:c>
      <x:c r="J53" s="19"/>
      <x:c r="K53" s="18" t="str"/>
      <x:c r="L53" s="18" t="str"/>
    </x:row>
    <x:row r="54">
      <x:c r="A54" s="13" t="str">
        <x:v>ACT-0049</x:v>
      </x:c>
      <x:c r="B54" s="18" t="str"/>
      <x:c r="C54" s="18" t="str"/>
      <x:c r="D54" s="18" t="str">
        <x:v>永久/临时</x:v>
      </x:c>
      <x:c r="E54" s="18" t="str"/>
      <x:c r="F54" s="19"/>
      <x:c r="G54" s="19"/>
      <x:c r="H54" s="18" t="str"/>
      <x:c r="I54" s="18" t="str">
        <x:v>未开始</x:v>
      </x:c>
      <x:c r="J54" s="19"/>
      <x:c r="K54" s="18" t="str"/>
      <x:c r="L54" s="18" t="str"/>
    </x:row>
    <x:row r="55">
      <x:c r="A55" s="13" t="str">
        <x:v>ACT-0050</x:v>
      </x:c>
      <x:c r="B55" s="18" t="str"/>
      <x:c r="C55" s="18" t="str"/>
      <x:c r="D55" s="18" t="str">
        <x:v>永久/临时</x:v>
      </x:c>
      <x:c r="E55" s="18" t="str"/>
      <x:c r="F55" s="19"/>
      <x:c r="G55" s="19"/>
      <x:c r="H55" s="18" t="str"/>
      <x:c r="I55" s="18" t="str">
        <x:v>未开始</x:v>
      </x:c>
      <x:c r="J55" s="19"/>
      <x:c r="K55" s="18" t="str"/>
      <x:c r="L55" s="18" t="str"/>
    </x:row>
    <x:row r="56">
      <x:c r="A56" s="13" t="str">
        <x:v>ACT-0051</x:v>
      </x:c>
      <x:c r="B56" s="18" t="str"/>
      <x:c r="C56" s="18" t="str"/>
      <x:c r="D56" s="18" t="str">
        <x:v>永久/临时</x:v>
      </x:c>
      <x:c r="E56" s="18" t="str"/>
      <x:c r="F56" s="19"/>
      <x:c r="G56" s="19"/>
      <x:c r="H56" s="18" t="str"/>
      <x:c r="I56" s="18" t="str">
        <x:v>未开始</x:v>
      </x:c>
      <x:c r="J56" s="19"/>
      <x:c r="K56" s="18" t="str"/>
      <x:c r="L56" s="18" t="str"/>
    </x:row>
    <x:row r="57">
      <x:c r="A57" s="13" t="str">
        <x:v>ACT-0052</x:v>
      </x:c>
      <x:c r="B57" s="18" t="str"/>
      <x:c r="C57" s="18" t="str"/>
      <x:c r="D57" s="18" t="str">
        <x:v>永久/临时</x:v>
      </x:c>
      <x:c r="E57" s="18" t="str"/>
      <x:c r="F57" s="19"/>
      <x:c r="G57" s="19"/>
      <x:c r="H57" s="18" t="str"/>
      <x:c r="I57" s="18" t="str">
        <x:v>未开始</x:v>
      </x:c>
      <x:c r="J57" s="19"/>
      <x:c r="K57" s="18" t="str"/>
      <x:c r="L57" s="18" t="str"/>
    </x:row>
    <x:row r="58">
      <x:c r="A58" s="13" t="str">
        <x:v>ACT-0053</x:v>
      </x:c>
      <x:c r="B58" s="18" t="str"/>
      <x:c r="C58" s="18" t="str"/>
      <x:c r="D58" s="18" t="str">
        <x:v>永久/临时</x:v>
      </x:c>
      <x:c r="E58" s="18" t="str"/>
      <x:c r="F58" s="19"/>
      <x:c r="G58" s="19"/>
      <x:c r="H58" s="18" t="str"/>
      <x:c r="I58" s="18" t="str">
        <x:v>未开始</x:v>
      </x:c>
      <x:c r="J58" s="19"/>
      <x:c r="K58" s="18" t="str"/>
      <x:c r="L58" s="18" t="str"/>
    </x:row>
    <x:row r="59">
      <x:c r="A59" s="13" t="str">
        <x:v>ACT-0054</x:v>
      </x:c>
      <x:c r="B59" s="18" t="str"/>
      <x:c r="C59" s="18" t="str"/>
      <x:c r="D59" s="18" t="str">
        <x:v>永久/临时</x:v>
      </x:c>
      <x:c r="E59" s="18" t="str"/>
      <x:c r="F59" s="19"/>
      <x:c r="G59" s="19"/>
      <x:c r="H59" s="18" t="str"/>
      <x:c r="I59" s="18" t="str">
        <x:v>未开始</x:v>
      </x:c>
      <x:c r="J59" s="19"/>
      <x:c r="K59" s="18" t="str"/>
      <x:c r="L59" s="18" t="str"/>
    </x:row>
    <x:row r="60">
      <x:c r="A60" s="13" t="str">
        <x:v>ACT-0055</x:v>
      </x:c>
      <x:c r="B60" s="18" t="str"/>
      <x:c r="C60" s="18" t="str"/>
      <x:c r="D60" s="18" t="str">
        <x:v>永久/临时</x:v>
      </x:c>
      <x:c r="E60" s="18" t="str"/>
      <x:c r="F60" s="19"/>
      <x:c r="G60" s="19"/>
      <x:c r="H60" s="18" t="str"/>
      <x:c r="I60" s="18" t="str">
        <x:v>未开始</x:v>
      </x:c>
      <x:c r="J60" s="19"/>
      <x:c r="K60" s="18" t="str"/>
      <x:c r="L60" s="18" t="str"/>
    </x:row>
    <x:row r="61">
      <x:c r="A61" s="13" t="str">
        <x:v>ACT-0056</x:v>
      </x:c>
      <x:c r="B61" s="18" t="str"/>
      <x:c r="C61" s="18" t="str"/>
      <x:c r="D61" s="18" t="str">
        <x:v>永久/临时</x:v>
      </x:c>
      <x:c r="E61" s="18" t="str"/>
      <x:c r="F61" s="19"/>
      <x:c r="G61" s="19"/>
      <x:c r="H61" s="18" t="str"/>
      <x:c r="I61" s="18" t="str">
        <x:v>未开始</x:v>
      </x:c>
      <x:c r="J61" s="19"/>
      <x:c r="K61" s="18" t="str"/>
      <x:c r="L61" s="18" t="str"/>
    </x:row>
    <x:row r="62">
      <x:c r="A62" s="13" t="str">
        <x:v>ACT-0057</x:v>
      </x:c>
      <x:c r="B62" s="18" t="str"/>
      <x:c r="C62" s="18" t="str"/>
      <x:c r="D62" s="18" t="str">
        <x:v>永久/临时</x:v>
      </x:c>
      <x:c r="E62" s="18" t="str"/>
      <x:c r="F62" s="19"/>
      <x:c r="G62" s="19"/>
      <x:c r="H62" s="18" t="str"/>
      <x:c r="I62" s="18" t="str">
        <x:v>未开始</x:v>
      </x:c>
      <x:c r="J62" s="19"/>
      <x:c r="K62" s="18" t="str"/>
      <x:c r="L62" s="18" t="str"/>
    </x:row>
    <x:row r="63">
      <x:c r="A63" s="13" t="str">
        <x:v>ACT-0058</x:v>
      </x:c>
      <x:c r="B63" s="18" t="str"/>
      <x:c r="C63" s="18" t="str"/>
      <x:c r="D63" s="18" t="str">
        <x:v>永久/临时</x:v>
      </x:c>
      <x:c r="E63" s="18" t="str"/>
      <x:c r="F63" s="19"/>
      <x:c r="G63" s="19"/>
      <x:c r="H63" s="18" t="str"/>
      <x:c r="I63" s="18" t="str">
        <x:v>未开始</x:v>
      </x:c>
      <x:c r="J63" s="19"/>
      <x:c r="K63" s="18" t="str"/>
      <x:c r="L63" s="18" t="str"/>
    </x:row>
    <x:row r="64">
      <x:c r="A64" s="13" t="str">
        <x:v>ACT-0059</x:v>
      </x:c>
      <x:c r="B64" s="18" t="str"/>
      <x:c r="C64" s="18" t="str"/>
      <x:c r="D64" s="18" t="str">
        <x:v>永久/临时</x:v>
      </x:c>
      <x:c r="E64" s="18" t="str"/>
      <x:c r="F64" s="19"/>
      <x:c r="G64" s="19"/>
      <x:c r="H64" s="18" t="str"/>
      <x:c r="I64" s="18" t="str">
        <x:v>未开始</x:v>
      </x:c>
      <x:c r="J64" s="19"/>
      <x:c r="K64" s="18" t="str"/>
      <x:c r="L64" s="18" t="str"/>
    </x:row>
    <x:row r="65">
      <x:c r="A65" s="13" t="str">
        <x:v>ACT-0060</x:v>
      </x:c>
      <x:c r="B65" s="18" t="str"/>
      <x:c r="C65" s="18" t="str"/>
      <x:c r="D65" s="18" t="str">
        <x:v>永久/临时</x:v>
      </x:c>
      <x:c r="E65" s="18" t="str"/>
      <x:c r="F65" s="19"/>
      <x:c r="G65" s="19"/>
      <x:c r="H65" s="18" t="str"/>
      <x:c r="I65" s="18" t="str">
        <x:v>未开始</x:v>
      </x:c>
      <x:c r="J65" s="19"/>
      <x:c r="K65" s="18" t="str"/>
      <x:c r="L65" s="18" t="str"/>
    </x:row>
  </x:sheetData>
  <x:mergeCells>
    <x:mergeCell ref="A1:L1"/>
    <x:mergeCell ref="A2:L2"/>
  </x:mergeCells>
  <x:conditionalFormatting sqref="I6:I65">
    <x:cfRule type="containsText" dxfId="15" priority="1" operator="containsText" text="已完成"/>
    <x:cfRule type="containsText" dxfId="16" priority="2" operator="containsText" text="逾期"/>
    <x:cfRule type="containsText" dxfId="17" priority="3" operator="containsText" text="未开始"/>
  </x:conditionalFormatting>
  <x:dataValidations count="1">
    <x:dataValidation type="list" sqref="I6:I6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9d00e96724468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6" hidden="0" customWidth="1"/>
    <x:col min="5" max="5" width="14" hidden="0" customWidth="1"/>
    <x:col min="6" max="6" width="30" hidden="0" customWidth="1"/>
    <x:col min="7" max="7" width="16" hidden="0" customWidth="1"/>
    <x:col min="8" max="8" width="16" hidden="0" customWidth="1"/>
    <x:col min="9" max="9" width="32" hidden="0" customWidth="1"/>
    <x:col min="10" max="10" width="18" hidden="0" customWidth="1"/>
    <x:col min="11" max="11" width="11" hidden="0" customWidth="1"/>
    <x:col min="12" max="12" width="14" hidden="0" customWidth="1"/>
    <x:col min="13" max="13" width="42" hidden="0" customWidth="1"/>
  </x:cols>
  <x:sheetData>
    <x:row r="1" ht="30" customHeight="1">
      <x:c r="A1" s="1" t="str">
        <x:v>月结资料催收表</x:v>
      </x:c>
    </x:row>
    <x:row r="2" ht="25" customHeight="1">
      <x:c r="A2" s="3" t="str">
        <x:v>写清资料、金额范围、准确截止、影响和升级路径。</x:v>
      </x:c>
    </x:row>
    <x:row r="5" ht="36" customHeight="1">
      <x:c r="A5" s="9" t="str">
        <x:v>编号</x:v>
      </x:c>
      <x:c r="B5" s="9" t="str">
        <x:v>资料/事项</x:v>
      </x:c>
      <x:c r="C5" s="9" t="str">
        <x:v>期间</x:v>
      </x:c>
      <x:c r="D5" s="9" t="str">
        <x:v>提供部门</x:v>
      </x:c>
      <x:c r="E5" s="9" t="str">
        <x:v>责任人</x:v>
      </x:c>
      <x:c r="F5" s="9" t="str">
        <x:v>首次提醒</x:v>
      </x:c>
      <x:c r="G5" s="9" t="str">
        <x:v>要求时间</x:v>
      </x:c>
      <x:c r="H5" s="9" t="str">
        <x:v>最后催收</x:v>
      </x:c>
      <x:c r="I5" s="9" t="str">
        <x:v>影响</x:v>
      </x:c>
      <x:c r="J5" s="9" t="str">
        <x:v>升级对象</x:v>
      </x:c>
      <x:c r="K5" s="9" t="str">
        <x:v>状态</x:v>
      </x:c>
      <x:c r="L5" s="9" t="str">
        <x:v>收到日</x:v>
      </x:c>
      <x:c r="M5" s="9" t="str">
        <x:v>证据路径</x:v>
      </x:c>
    </x:row>
    <x:row r="6">
      <x:c r="A6" s="13" t="str">
        <x:v>REQ-001</x:v>
      </x:c>
      <x:c r="B6" s="18" t="str"/>
      <x:c r="C6" s="18" t="str"/>
      <x:c r="D6" s="18" t="str"/>
      <x:c r="E6" s="18" t="str"/>
      <x:c r="F6" s="18" t="str"/>
      <x:c r="G6" s="17"/>
      <x:c r="H6" s="17"/>
      <x:c r="I6" s="18" t="str"/>
      <x:c r="J6" s="18" t="str"/>
      <x:c r="K6" s="18" t="str">
        <x:v>未开始</x:v>
      </x:c>
      <x:c r="L6" s="19"/>
      <x:c r="M6" s="18" t="str"/>
    </x:row>
    <x:row r="7">
      <x:c r="A7" s="13" t="str">
        <x:v>REQ-002</x:v>
      </x:c>
      <x:c r="B7" s="18" t="str"/>
      <x:c r="C7" s="18" t="str"/>
      <x:c r="D7" s="18" t="str"/>
      <x:c r="E7" s="18" t="str"/>
      <x:c r="F7" s="18" t="str"/>
      <x:c r="G7" s="17"/>
      <x:c r="H7" s="17"/>
      <x:c r="I7" s="18" t="str"/>
      <x:c r="J7" s="18" t="str"/>
      <x:c r="K7" s="18" t="str">
        <x:v>未开始</x:v>
      </x:c>
      <x:c r="L7" s="19"/>
      <x:c r="M7" s="18" t="str"/>
    </x:row>
    <x:row r="8">
      <x:c r="A8" s="13" t="str">
        <x:v>REQ-003</x:v>
      </x:c>
      <x:c r="B8" s="18" t="str"/>
      <x:c r="C8" s="18" t="str"/>
      <x:c r="D8" s="18" t="str"/>
      <x:c r="E8" s="18" t="str"/>
      <x:c r="F8" s="18" t="str"/>
      <x:c r="G8" s="17"/>
      <x:c r="H8" s="17"/>
      <x:c r="I8" s="18" t="str"/>
      <x:c r="J8" s="18" t="str"/>
      <x:c r="K8" s="18" t="str">
        <x:v>未开始</x:v>
      </x:c>
      <x:c r="L8" s="19"/>
      <x:c r="M8" s="18" t="str"/>
    </x:row>
    <x:row r="9">
      <x:c r="A9" s="13" t="str">
        <x:v>REQ-004</x:v>
      </x:c>
      <x:c r="B9" s="18" t="str"/>
      <x:c r="C9" s="18" t="str"/>
      <x:c r="D9" s="18" t="str"/>
      <x:c r="E9" s="18" t="str"/>
      <x:c r="F9" s="18" t="str"/>
      <x:c r="G9" s="17"/>
      <x:c r="H9" s="17"/>
      <x:c r="I9" s="18" t="str"/>
      <x:c r="J9" s="18" t="str"/>
      <x:c r="K9" s="18" t="str">
        <x:v>未开始</x:v>
      </x:c>
      <x:c r="L9" s="19"/>
      <x:c r="M9" s="18" t="str"/>
    </x:row>
    <x:row r="10">
      <x:c r="A10" s="13" t="str">
        <x:v>REQ-005</x:v>
      </x:c>
      <x:c r="B10" s="18" t="str"/>
      <x:c r="C10" s="18" t="str"/>
      <x:c r="D10" s="18" t="str"/>
      <x:c r="E10" s="18" t="str"/>
      <x:c r="F10" s="18" t="str"/>
      <x:c r="G10" s="17"/>
      <x:c r="H10" s="17"/>
      <x:c r="I10" s="18" t="str"/>
      <x:c r="J10" s="18" t="str"/>
      <x:c r="K10" s="18" t="str">
        <x:v>未开始</x:v>
      </x:c>
      <x:c r="L10" s="19"/>
      <x:c r="M10" s="18" t="str"/>
    </x:row>
    <x:row r="11">
      <x:c r="A11" s="13" t="str">
        <x:v>REQ-006</x:v>
      </x:c>
      <x:c r="B11" s="18" t="str"/>
      <x:c r="C11" s="18" t="str"/>
      <x:c r="D11" s="18" t="str"/>
      <x:c r="E11" s="18" t="str"/>
      <x:c r="F11" s="18" t="str"/>
      <x:c r="G11" s="17"/>
      <x:c r="H11" s="17"/>
      <x:c r="I11" s="18" t="str"/>
      <x:c r="J11" s="18" t="str"/>
      <x:c r="K11" s="18" t="str">
        <x:v>未开始</x:v>
      </x:c>
      <x:c r="L11" s="19"/>
      <x:c r="M11" s="18" t="str"/>
    </x:row>
    <x:row r="12">
      <x:c r="A12" s="13" t="str">
        <x:v>REQ-007</x:v>
      </x:c>
      <x:c r="B12" s="18" t="str"/>
      <x:c r="C12" s="18" t="str"/>
      <x:c r="D12" s="18" t="str"/>
      <x:c r="E12" s="18" t="str"/>
      <x:c r="F12" s="18" t="str"/>
      <x:c r="G12" s="17"/>
      <x:c r="H12" s="17"/>
      <x:c r="I12" s="18" t="str"/>
      <x:c r="J12" s="18" t="str"/>
      <x:c r="K12" s="18" t="str">
        <x:v>未开始</x:v>
      </x:c>
      <x:c r="L12" s="19"/>
      <x:c r="M12" s="18" t="str"/>
    </x:row>
    <x:row r="13">
      <x:c r="A13" s="13" t="str">
        <x:v>REQ-008</x:v>
      </x:c>
      <x:c r="B13" s="18" t="str"/>
      <x:c r="C13" s="18" t="str"/>
      <x:c r="D13" s="18" t="str"/>
      <x:c r="E13" s="18" t="str"/>
      <x:c r="F13" s="18" t="str"/>
      <x:c r="G13" s="17"/>
      <x:c r="H13" s="17"/>
      <x:c r="I13" s="18" t="str"/>
      <x:c r="J13" s="18" t="str"/>
      <x:c r="K13" s="18" t="str">
        <x:v>未开始</x:v>
      </x:c>
      <x:c r="L13" s="19"/>
      <x:c r="M13" s="18" t="str"/>
    </x:row>
    <x:row r="14">
      <x:c r="A14" s="13" t="str">
        <x:v>REQ-009</x:v>
      </x:c>
      <x:c r="B14" s="18" t="str"/>
      <x:c r="C14" s="18" t="str"/>
      <x:c r="D14" s="18" t="str"/>
      <x:c r="E14" s="18" t="str"/>
      <x:c r="F14" s="18" t="str"/>
      <x:c r="G14" s="17"/>
      <x:c r="H14" s="17"/>
      <x:c r="I14" s="18" t="str"/>
      <x:c r="J14" s="18" t="str"/>
      <x:c r="K14" s="18" t="str">
        <x:v>未开始</x:v>
      </x:c>
      <x:c r="L14" s="19"/>
      <x:c r="M14" s="18" t="str"/>
    </x:row>
    <x:row r="15">
      <x:c r="A15" s="13" t="str">
        <x:v>REQ-010</x:v>
      </x:c>
      <x:c r="B15" s="18" t="str"/>
      <x:c r="C15" s="18" t="str"/>
      <x:c r="D15" s="18" t="str"/>
      <x:c r="E15" s="18" t="str"/>
      <x:c r="F15" s="18" t="str"/>
      <x:c r="G15" s="17"/>
      <x:c r="H15" s="17"/>
      <x:c r="I15" s="18" t="str"/>
      <x:c r="J15" s="18" t="str"/>
      <x:c r="K15" s="18" t="str">
        <x:v>未开始</x:v>
      </x:c>
      <x:c r="L15" s="19"/>
      <x:c r="M15" s="18" t="str"/>
    </x:row>
    <x:row r="16">
      <x:c r="A16" s="13" t="str">
        <x:v>REQ-011</x:v>
      </x:c>
      <x:c r="B16" s="18" t="str"/>
      <x:c r="C16" s="18" t="str"/>
      <x:c r="D16" s="18" t="str"/>
      <x:c r="E16" s="18" t="str"/>
      <x:c r="F16" s="18" t="str"/>
      <x:c r="G16" s="17"/>
      <x:c r="H16" s="17"/>
      <x:c r="I16" s="18" t="str"/>
      <x:c r="J16" s="18" t="str"/>
      <x:c r="K16" s="18" t="str">
        <x:v>未开始</x:v>
      </x:c>
      <x:c r="L16" s="19"/>
      <x:c r="M16" s="18" t="str"/>
    </x:row>
    <x:row r="17">
      <x:c r="A17" s="13" t="str">
        <x:v>REQ-012</x:v>
      </x:c>
      <x:c r="B17" s="18" t="str"/>
      <x:c r="C17" s="18" t="str"/>
      <x:c r="D17" s="18" t="str"/>
      <x:c r="E17" s="18" t="str"/>
      <x:c r="F17" s="18" t="str"/>
      <x:c r="G17" s="17"/>
      <x:c r="H17" s="17"/>
      <x:c r="I17" s="18" t="str"/>
      <x:c r="J17" s="18" t="str"/>
      <x:c r="K17" s="18" t="str">
        <x:v>未开始</x:v>
      </x:c>
      <x:c r="L17" s="19"/>
      <x:c r="M17" s="18" t="str"/>
    </x:row>
    <x:row r="18">
      <x:c r="A18" s="13" t="str">
        <x:v>REQ-013</x:v>
      </x:c>
      <x:c r="B18" s="18" t="str"/>
      <x:c r="C18" s="18" t="str"/>
      <x:c r="D18" s="18" t="str"/>
      <x:c r="E18" s="18" t="str"/>
      <x:c r="F18" s="18" t="str"/>
      <x:c r="G18" s="17"/>
      <x:c r="H18" s="17"/>
      <x:c r="I18" s="18" t="str"/>
      <x:c r="J18" s="18" t="str"/>
      <x:c r="K18" s="18" t="str">
        <x:v>未开始</x:v>
      </x:c>
      <x:c r="L18" s="19"/>
      <x:c r="M18" s="18" t="str"/>
    </x:row>
    <x:row r="19">
      <x:c r="A19" s="13" t="str">
        <x:v>REQ-014</x:v>
      </x:c>
      <x:c r="B19" s="18" t="str"/>
      <x:c r="C19" s="18" t="str"/>
      <x:c r="D19" s="18" t="str"/>
      <x:c r="E19" s="18" t="str"/>
      <x:c r="F19" s="18" t="str"/>
      <x:c r="G19" s="17"/>
      <x:c r="H19" s="17"/>
      <x:c r="I19" s="18" t="str"/>
      <x:c r="J19" s="18" t="str"/>
      <x:c r="K19" s="18" t="str">
        <x:v>未开始</x:v>
      </x:c>
      <x:c r="L19" s="19"/>
      <x:c r="M19" s="18" t="str"/>
    </x:row>
    <x:row r="20">
      <x:c r="A20" s="13" t="str">
        <x:v>REQ-015</x:v>
      </x:c>
      <x:c r="B20" s="18" t="str"/>
      <x:c r="C20" s="18" t="str"/>
      <x:c r="D20" s="18" t="str"/>
      <x:c r="E20" s="18" t="str"/>
      <x:c r="F20" s="18" t="str"/>
      <x:c r="G20" s="17"/>
      <x:c r="H20" s="17"/>
      <x:c r="I20" s="18" t="str"/>
      <x:c r="J20" s="18" t="str"/>
      <x:c r="K20" s="18" t="str">
        <x:v>未开始</x:v>
      </x:c>
      <x:c r="L20" s="19"/>
      <x:c r="M20" s="18" t="str"/>
    </x:row>
    <x:row r="21">
      <x:c r="A21" s="13" t="str">
        <x:v>REQ-016</x:v>
      </x:c>
      <x:c r="B21" s="18" t="str"/>
      <x:c r="C21" s="18" t="str"/>
      <x:c r="D21" s="18" t="str"/>
      <x:c r="E21" s="18" t="str"/>
      <x:c r="F21" s="18" t="str"/>
      <x:c r="G21" s="17"/>
      <x:c r="H21" s="17"/>
      <x:c r="I21" s="18" t="str"/>
      <x:c r="J21" s="18" t="str"/>
      <x:c r="K21" s="18" t="str">
        <x:v>未开始</x:v>
      </x:c>
      <x:c r="L21" s="19"/>
      <x:c r="M21" s="18" t="str"/>
    </x:row>
    <x:row r="22">
      <x:c r="A22" s="13" t="str">
        <x:v>REQ-017</x:v>
      </x:c>
      <x:c r="B22" s="18" t="str"/>
      <x:c r="C22" s="18" t="str"/>
      <x:c r="D22" s="18" t="str"/>
      <x:c r="E22" s="18" t="str"/>
      <x:c r="F22" s="18" t="str"/>
      <x:c r="G22" s="17"/>
      <x:c r="H22" s="17"/>
      <x:c r="I22" s="18" t="str"/>
      <x:c r="J22" s="18" t="str"/>
      <x:c r="K22" s="18" t="str">
        <x:v>未开始</x:v>
      </x:c>
      <x:c r="L22" s="19"/>
      <x:c r="M22" s="18" t="str"/>
    </x:row>
    <x:row r="23">
      <x:c r="A23" s="13" t="str">
        <x:v>REQ-018</x:v>
      </x:c>
      <x:c r="B23" s="18" t="str"/>
      <x:c r="C23" s="18" t="str"/>
      <x:c r="D23" s="18" t="str"/>
      <x:c r="E23" s="18" t="str"/>
      <x:c r="F23" s="18" t="str"/>
      <x:c r="G23" s="17"/>
      <x:c r="H23" s="17"/>
      <x:c r="I23" s="18" t="str"/>
      <x:c r="J23" s="18" t="str"/>
      <x:c r="K23" s="18" t="str">
        <x:v>未开始</x:v>
      </x:c>
      <x:c r="L23" s="19"/>
      <x:c r="M23" s="18" t="str"/>
    </x:row>
    <x:row r="24">
      <x:c r="A24" s="13" t="str">
        <x:v>REQ-019</x:v>
      </x:c>
      <x:c r="B24" s="18" t="str"/>
      <x:c r="C24" s="18" t="str"/>
      <x:c r="D24" s="18" t="str"/>
      <x:c r="E24" s="18" t="str"/>
      <x:c r="F24" s="18" t="str"/>
      <x:c r="G24" s="17"/>
      <x:c r="H24" s="17"/>
      <x:c r="I24" s="18" t="str"/>
      <x:c r="J24" s="18" t="str"/>
      <x:c r="K24" s="18" t="str">
        <x:v>未开始</x:v>
      </x:c>
      <x:c r="L24" s="19"/>
      <x:c r="M24" s="18" t="str"/>
    </x:row>
    <x:row r="25">
      <x:c r="A25" s="13" t="str">
        <x:v>REQ-020</x:v>
      </x:c>
      <x:c r="B25" s="18" t="str"/>
      <x:c r="C25" s="18" t="str"/>
      <x:c r="D25" s="18" t="str"/>
      <x:c r="E25" s="18" t="str"/>
      <x:c r="F25" s="18" t="str"/>
      <x:c r="G25" s="17"/>
      <x:c r="H25" s="17"/>
      <x:c r="I25" s="18" t="str"/>
      <x:c r="J25" s="18" t="str"/>
      <x:c r="K25" s="18" t="str">
        <x:v>未开始</x:v>
      </x:c>
      <x:c r="L25" s="19"/>
      <x:c r="M25" s="18" t="str"/>
    </x:row>
    <x:row r="26">
      <x:c r="A26" s="13" t="str">
        <x:v>REQ-021</x:v>
      </x:c>
      <x:c r="B26" s="18" t="str"/>
      <x:c r="C26" s="18" t="str"/>
      <x:c r="D26" s="18" t="str"/>
      <x:c r="E26" s="18" t="str"/>
      <x:c r="F26" s="18" t="str"/>
      <x:c r="G26" s="17"/>
      <x:c r="H26" s="17"/>
      <x:c r="I26" s="18" t="str"/>
      <x:c r="J26" s="18" t="str"/>
      <x:c r="K26" s="18" t="str">
        <x:v>未开始</x:v>
      </x:c>
      <x:c r="L26" s="19"/>
      <x:c r="M26" s="18" t="str"/>
    </x:row>
    <x:row r="27">
      <x:c r="A27" s="13" t="str">
        <x:v>REQ-022</x:v>
      </x:c>
      <x:c r="B27" s="18" t="str"/>
      <x:c r="C27" s="18" t="str"/>
      <x:c r="D27" s="18" t="str"/>
      <x:c r="E27" s="18" t="str"/>
      <x:c r="F27" s="18" t="str"/>
      <x:c r="G27" s="17"/>
      <x:c r="H27" s="17"/>
      <x:c r="I27" s="18" t="str"/>
      <x:c r="J27" s="18" t="str"/>
      <x:c r="K27" s="18" t="str">
        <x:v>未开始</x:v>
      </x:c>
      <x:c r="L27" s="19"/>
      <x:c r="M27" s="18" t="str"/>
    </x:row>
    <x:row r="28">
      <x:c r="A28" s="13" t="str">
        <x:v>REQ-023</x:v>
      </x:c>
      <x:c r="B28" s="18" t="str"/>
      <x:c r="C28" s="18" t="str"/>
      <x:c r="D28" s="18" t="str"/>
      <x:c r="E28" s="18" t="str"/>
      <x:c r="F28" s="18" t="str"/>
      <x:c r="G28" s="17"/>
      <x:c r="H28" s="17"/>
      <x:c r="I28" s="18" t="str"/>
      <x:c r="J28" s="18" t="str"/>
      <x:c r="K28" s="18" t="str">
        <x:v>未开始</x:v>
      </x:c>
      <x:c r="L28" s="19"/>
      <x:c r="M28" s="18" t="str"/>
    </x:row>
    <x:row r="29">
      <x:c r="A29" s="13" t="str">
        <x:v>REQ-024</x:v>
      </x:c>
      <x:c r="B29" s="18" t="str"/>
      <x:c r="C29" s="18" t="str"/>
      <x:c r="D29" s="18" t="str"/>
      <x:c r="E29" s="18" t="str"/>
      <x:c r="F29" s="18" t="str"/>
      <x:c r="G29" s="17"/>
      <x:c r="H29" s="17"/>
      <x:c r="I29" s="18" t="str"/>
      <x:c r="J29" s="18" t="str"/>
      <x:c r="K29" s="18" t="str">
        <x:v>未开始</x:v>
      </x:c>
      <x:c r="L29" s="19"/>
      <x:c r="M29" s="18" t="str"/>
    </x:row>
    <x:row r="30">
      <x:c r="A30" s="13" t="str">
        <x:v>REQ-025</x:v>
      </x:c>
      <x:c r="B30" s="18" t="str"/>
      <x:c r="C30" s="18" t="str"/>
      <x:c r="D30" s="18" t="str"/>
      <x:c r="E30" s="18" t="str"/>
      <x:c r="F30" s="18" t="str"/>
      <x:c r="G30" s="17"/>
      <x:c r="H30" s="17"/>
      <x:c r="I30" s="18" t="str"/>
      <x:c r="J30" s="18" t="str"/>
      <x:c r="K30" s="18" t="str">
        <x:v>未开始</x:v>
      </x:c>
      <x:c r="L30" s="19"/>
      <x:c r="M30" s="18" t="str"/>
    </x:row>
    <x:row r="31">
      <x:c r="A31" s="13" t="str">
        <x:v>REQ-026</x:v>
      </x:c>
      <x:c r="B31" s="18" t="str"/>
      <x:c r="C31" s="18" t="str"/>
      <x:c r="D31" s="18" t="str"/>
      <x:c r="E31" s="18" t="str"/>
      <x:c r="F31" s="18" t="str"/>
      <x:c r="G31" s="17"/>
      <x:c r="H31" s="17"/>
      <x:c r="I31" s="18" t="str"/>
      <x:c r="J31" s="18" t="str"/>
      <x:c r="K31" s="18" t="str">
        <x:v>未开始</x:v>
      </x:c>
      <x:c r="L31" s="19"/>
      <x:c r="M31" s="18" t="str"/>
    </x:row>
    <x:row r="32">
      <x:c r="A32" s="13" t="str">
        <x:v>REQ-027</x:v>
      </x:c>
      <x:c r="B32" s="18" t="str"/>
      <x:c r="C32" s="18" t="str"/>
      <x:c r="D32" s="18" t="str"/>
      <x:c r="E32" s="18" t="str"/>
      <x:c r="F32" s="18" t="str"/>
      <x:c r="G32" s="17"/>
      <x:c r="H32" s="17"/>
      <x:c r="I32" s="18" t="str"/>
      <x:c r="J32" s="18" t="str"/>
      <x:c r="K32" s="18" t="str">
        <x:v>未开始</x:v>
      </x:c>
      <x:c r="L32" s="19"/>
      <x:c r="M32" s="18" t="str"/>
    </x:row>
    <x:row r="33">
      <x:c r="A33" s="13" t="str">
        <x:v>REQ-028</x:v>
      </x:c>
      <x:c r="B33" s="18" t="str"/>
      <x:c r="C33" s="18" t="str"/>
      <x:c r="D33" s="18" t="str"/>
      <x:c r="E33" s="18" t="str"/>
      <x:c r="F33" s="18" t="str"/>
      <x:c r="G33" s="17"/>
      <x:c r="H33" s="17"/>
      <x:c r="I33" s="18" t="str"/>
      <x:c r="J33" s="18" t="str"/>
      <x:c r="K33" s="18" t="str">
        <x:v>未开始</x:v>
      </x:c>
      <x:c r="L33" s="19"/>
      <x:c r="M33" s="18" t="str"/>
    </x:row>
    <x:row r="34">
      <x:c r="A34" s="13" t="str">
        <x:v>REQ-029</x:v>
      </x:c>
      <x:c r="B34" s="18" t="str"/>
      <x:c r="C34" s="18" t="str"/>
      <x:c r="D34" s="18" t="str"/>
      <x:c r="E34" s="18" t="str"/>
      <x:c r="F34" s="18" t="str"/>
      <x:c r="G34" s="17"/>
      <x:c r="H34" s="17"/>
      <x:c r="I34" s="18" t="str"/>
      <x:c r="J34" s="18" t="str"/>
      <x:c r="K34" s="18" t="str">
        <x:v>未开始</x:v>
      </x:c>
      <x:c r="L34" s="19"/>
      <x:c r="M34" s="18" t="str"/>
    </x:row>
    <x:row r="35">
      <x:c r="A35" s="13" t="str">
        <x:v>REQ-030</x:v>
      </x:c>
      <x:c r="B35" s="18" t="str"/>
      <x:c r="C35" s="18" t="str"/>
      <x:c r="D35" s="18" t="str"/>
      <x:c r="E35" s="18" t="str"/>
      <x:c r="F35" s="18" t="str"/>
      <x:c r="G35" s="17"/>
      <x:c r="H35" s="17"/>
      <x:c r="I35" s="18" t="str"/>
      <x:c r="J35" s="18" t="str"/>
      <x:c r="K35" s="18" t="str">
        <x:v>未开始</x:v>
      </x:c>
      <x:c r="L35" s="19"/>
      <x:c r="M35" s="18" t="str"/>
    </x:row>
    <x:row r="36">
      <x:c r="A36" s="13" t="str">
        <x:v>REQ-031</x:v>
      </x:c>
      <x:c r="B36" s="18" t="str"/>
      <x:c r="C36" s="18" t="str"/>
      <x:c r="D36" s="18" t="str"/>
      <x:c r="E36" s="18" t="str"/>
      <x:c r="F36" s="18" t="str"/>
      <x:c r="G36" s="17"/>
      <x:c r="H36" s="17"/>
      <x:c r="I36" s="18" t="str"/>
      <x:c r="J36" s="18" t="str"/>
      <x:c r="K36" s="18" t="str">
        <x:v>未开始</x:v>
      </x:c>
      <x:c r="L36" s="19"/>
      <x:c r="M36" s="18" t="str"/>
    </x:row>
    <x:row r="37">
      <x:c r="A37" s="13" t="str">
        <x:v>REQ-032</x:v>
      </x:c>
      <x:c r="B37" s="18" t="str"/>
      <x:c r="C37" s="18" t="str"/>
      <x:c r="D37" s="18" t="str"/>
      <x:c r="E37" s="18" t="str"/>
      <x:c r="F37" s="18" t="str"/>
      <x:c r="G37" s="17"/>
      <x:c r="H37" s="17"/>
      <x:c r="I37" s="18" t="str"/>
      <x:c r="J37" s="18" t="str"/>
      <x:c r="K37" s="18" t="str">
        <x:v>未开始</x:v>
      </x:c>
      <x:c r="L37" s="19"/>
      <x:c r="M37" s="18" t="str"/>
    </x:row>
    <x:row r="38">
      <x:c r="A38" s="13" t="str">
        <x:v>REQ-033</x:v>
      </x:c>
      <x:c r="B38" s="18" t="str"/>
      <x:c r="C38" s="18" t="str"/>
      <x:c r="D38" s="18" t="str"/>
      <x:c r="E38" s="18" t="str"/>
      <x:c r="F38" s="18" t="str"/>
      <x:c r="G38" s="17"/>
      <x:c r="H38" s="17"/>
      <x:c r="I38" s="18" t="str"/>
      <x:c r="J38" s="18" t="str"/>
      <x:c r="K38" s="18" t="str">
        <x:v>未开始</x:v>
      </x:c>
      <x:c r="L38" s="19"/>
      <x:c r="M38" s="18" t="str"/>
    </x:row>
    <x:row r="39">
      <x:c r="A39" s="13" t="str">
        <x:v>REQ-034</x:v>
      </x:c>
      <x:c r="B39" s="18" t="str"/>
      <x:c r="C39" s="18" t="str"/>
      <x:c r="D39" s="18" t="str"/>
      <x:c r="E39" s="18" t="str"/>
      <x:c r="F39" s="18" t="str"/>
      <x:c r="G39" s="17"/>
      <x:c r="H39" s="17"/>
      <x:c r="I39" s="18" t="str"/>
      <x:c r="J39" s="18" t="str"/>
      <x:c r="K39" s="18" t="str">
        <x:v>未开始</x:v>
      </x:c>
      <x:c r="L39" s="19"/>
      <x:c r="M39" s="18" t="str"/>
    </x:row>
    <x:row r="40">
      <x:c r="A40" s="13" t="str">
        <x:v>REQ-035</x:v>
      </x:c>
      <x:c r="B40" s="18" t="str"/>
      <x:c r="C40" s="18" t="str"/>
      <x:c r="D40" s="18" t="str"/>
      <x:c r="E40" s="18" t="str"/>
      <x:c r="F40" s="18" t="str"/>
      <x:c r="G40" s="17"/>
      <x:c r="H40" s="17"/>
      <x:c r="I40" s="18" t="str"/>
      <x:c r="J40" s="18" t="str"/>
      <x:c r="K40" s="18" t="str">
        <x:v>未开始</x:v>
      </x:c>
      <x:c r="L40" s="19"/>
      <x:c r="M40" s="18" t="str"/>
    </x:row>
    <x:row r="41">
      <x:c r="A41" s="13" t="str">
        <x:v>REQ-036</x:v>
      </x:c>
      <x:c r="B41" s="18" t="str"/>
      <x:c r="C41" s="18" t="str"/>
      <x:c r="D41" s="18" t="str"/>
      <x:c r="E41" s="18" t="str"/>
      <x:c r="F41" s="18" t="str"/>
      <x:c r="G41" s="17"/>
      <x:c r="H41" s="17"/>
      <x:c r="I41" s="18" t="str"/>
      <x:c r="J41" s="18" t="str"/>
      <x:c r="K41" s="18" t="str">
        <x:v>未开始</x:v>
      </x:c>
      <x:c r="L41" s="19"/>
      <x:c r="M41" s="18" t="str"/>
    </x:row>
    <x:row r="42">
      <x:c r="A42" s="13" t="str">
        <x:v>REQ-037</x:v>
      </x:c>
      <x:c r="B42" s="18" t="str"/>
      <x:c r="C42" s="18" t="str"/>
      <x:c r="D42" s="18" t="str"/>
      <x:c r="E42" s="18" t="str"/>
      <x:c r="F42" s="18" t="str"/>
      <x:c r="G42" s="17"/>
      <x:c r="H42" s="17"/>
      <x:c r="I42" s="18" t="str"/>
      <x:c r="J42" s="18" t="str"/>
      <x:c r="K42" s="18" t="str">
        <x:v>未开始</x:v>
      </x:c>
      <x:c r="L42" s="19"/>
      <x:c r="M42" s="18" t="str"/>
    </x:row>
    <x:row r="43">
      <x:c r="A43" s="13" t="str">
        <x:v>REQ-038</x:v>
      </x:c>
      <x:c r="B43" s="18" t="str"/>
      <x:c r="C43" s="18" t="str"/>
      <x:c r="D43" s="18" t="str"/>
      <x:c r="E43" s="18" t="str"/>
      <x:c r="F43" s="18" t="str"/>
      <x:c r="G43" s="17"/>
      <x:c r="H43" s="17"/>
      <x:c r="I43" s="18" t="str"/>
      <x:c r="J43" s="18" t="str"/>
      <x:c r="K43" s="18" t="str">
        <x:v>未开始</x:v>
      </x:c>
      <x:c r="L43" s="19"/>
      <x:c r="M43" s="18" t="str"/>
    </x:row>
    <x:row r="44">
      <x:c r="A44" s="13" t="str">
        <x:v>REQ-039</x:v>
      </x:c>
      <x:c r="B44" s="18" t="str"/>
      <x:c r="C44" s="18" t="str"/>
      <x:c r="D44" s="18" t="str"/>
      <x:c r="E44" s="18" t="str"/>
      <x:c r="F44" s="18" t="str"/>
      <x:c r="G44" s="17"/>
      <x:c r="H44" s="17"/>
      <x:c r="I44" s="18" t="str"/>
      <x:c r="J44" s="18" t="str"/>
      <x:c r="K44" s="18" t="str">
        <x:v>未开始</x:v>
      </x:c>
      <x:c r="L44" s="19"/>
      <x:c r="M44" s="18" t="str"/>
    </x:row>
    <x:row r="45">
      <x:c r="A45" s="13" t="str">
        <x:v>REQ-040</x:v>
      </x:c>
      <x:c r="B45" s="18" t="str"/>
      <x:c r="C45" s="18" t="str"/>
      <x:c r="D45" s="18" t="str"/>
      <x:c r="E45" s="18" t="str"/>
      <x:c r="F45" s="18" t="str"/>
      <x:c r="G45" s="17"/>
      <x:c r="H45" s="17"/>
      <x:c r="I45" s="18" t="str"/>
      <x:c r="J45" s="18" t="str"/>
      <x:c r="K45" s="18" t="str">
        <x:v>未开始</x:v>
      </x:c>
      <x:c r="L45" s="19"/>
      <x:c r="M45" s="18" t="str"/>
    </x:row>
    <x:row r="46">
      <x:c r="A46" s="13" t="str">
        <x:v>REQ-041</x:v>
      </x:c>
      <x:c r="B46" s="18" t="str"/>
      <x:c r="C46" s="18" t="str"/>
      <x:c r="D46" s="18" t="str"/>
      <x:c r="E46" s="18" t="str"/>
      <x:c r="F46" s="18" t="str"/>
      <x:c r="G46" s="17"/>
      <x:c r="H46" s="17"/>
      <x:c r="I46" s="18" t="str"/>
      <x:c r="J46" s="18" t="str"/>
      <x:c r="K46" s="18" t="str">
        <x:v>未开始</x:v>
      </x:c>
      <x:c r="L46" s="19"/>
      <x:c r="M46" s="18" t="str"/>
    </x:row>
    <x:row r="47">
      <x:c r="A47" s="13" t="str">
        <x:v>REQ-042</x:v>
      </x:c>
      <x:c r="B47" s="18" t="str"/>
      <x:c r="C47" s="18" t="str"/>
      <x:c r="D47" s="18" t="str"/>
      <x:c r="E47" s="18" t="str"/>
      <x:c r="F47" s="18" t="str"/>
      <x:c r="G47" s="17"/>
      <x:c r="H47" s="17"/>
      <x:c r="I47" s="18" t="str"/>
      <x:c r="J47" s="18" t="str"/>
      <x:c r="K47" s="18" t="str">
        <x:v>未开始</x:v>
      </x:c>
      <x:c r="L47" s="19"/>
      <x:c r="M47" s="18" t="str"/>
    </x:row>
    <x:row r="48">
      <x:c r="A48" s="13" t="str">
        <x:v>REQ-043</x:v>
      </x:c>
      <x:c r="B48" s="18" t="str"/>
      <x:c r="C48" s="18" t="str"/>
      <x:c r="D48" s="18" t="str"/>
      <x:c r="E48" s="18" t="str"/>
      <x:c r="F48" s="18" t="str"/>
      <x:c r="G48" s="17"/>
      <x:c r="H48" s="17"/>
      <x:c r="I48" s="18" t="str"/>
      <x:c r="J48" s="18" t="str"/>
      <x:c r="K48" s="18" t="str">
        <x:v>未开始</x:v>
      </x:c>
      <x:c r="L48" s="19"/>
      <x:c r="M48" s="18" t="str"/>
    </x:row>
    <x:row r="49">
      <x:c r="A49" s="13" t="str">
        <x:v>REQ-044</x:v>
      </x:c>
      <x:c r="B49" s="18" t="str"/>
      <x:c r="C49" s="18" t="str"/>
      <x:c r="D49" s="18" t="str"/>
      <x:c r="E49" s="18" t="str"/>
      <x:c r="F49" s="18" t="str"/>
      <x:c r="G49" s="17"/>
      <x:c r="H49" s="17"/>
      <x:c r="I49" s="18" t="str"/>
      <x:c r="J49" s="18" t="str"/>
      <x:c r="K49" s="18" t="str">
        <x:v>未开始</x:v>
      </x:c>
      <x:c r="L49" s="19"/>
      <x:c r="M49" s="18" t="str"/>
    </x:row>
    <x:row r="50">
      <x:c r="A50" s="13" t="str">
        <x:v>REQ-045</x:v>
      </x:c>
      <x:c r="B50" s="18" t="str"/>
      <x:c r="C50" s="18" t="str"/>
      <x:c r="D50" s="18" t="str"/>
      <x:c r="E50" s="18" t="str"/>
      <x:c r="F50" s="18" t="str"/>
      <x:c r="G50" s="17"/>
      <x:c r="H50" s="17"/>
      <x:c r="I50" s="18" t="str"/>
      <x:c r="J50" s="18" t="str"/>
      <x:c r="K50" s="18" t="str">
        <x:v>未开始</x:v>
      </x:c>
      <x:c r="L50" s="19"/>
      <x:c r="M50" s="18" t="str"/>
    </x:row>
    <x:row r="51">
      <x:c r="A51" s="13" t="str">
        <x:v>REQ-046</x:v>
      </x:c>
      <x:c r="B51" s="18" t="str"/>
      <x:c r="C51" s="18" t="str"/>
      <x:c r="D51" s="18" t="str"/>
      <x:c r="E51" s="18" t="str"/>
      <x:c r="F51" s="18" t="str"/>
      <x:c r="G51" s="17"/>
      <x:c r="H51" s="17"/>
      <x:c r="I51" s="18" t="str"/>
      <x:c r="J51" s="18" t="str"/>
      <x:c r="K51" s="18" t="str">
        <x:v>未开始</x:v>
      </x:c>
      <x:c r="L51" s="19"/>
      <x:c r="M51" s="18" t="str"/>
    </x:row>
    <x:row r="52">
      <x:c r="A52" s="13" t="str">
        <x:v>REQ-047</x:v>
      </x:c>
      <x:c r="B52" s="18" t="str"/>
      <x:c r="C52" s="18" t="str"/>
      <x:c r="D52" s="18" t="str"/>
      <x:c r="E52" s="18" t="str"/>
      <x:c r="F52" s="18" t="str"/>
      <x:c r="G52" s="17"/>
      <x:c r="H52" s="17"/>
      <x:c r="I52" s="18" t="str"/>
      <x:c r="J52" s="18" t="str"/>
      <x:c r="K52" s="18" t="str">
        <x:v>未开始</x:v>
      </x:c>
      <x:c r="L52" s="19"/>
      <x:c r="M52" s="18" t="str"/>
    </x:row>
    <x:row r="53">
      <x:c r="A53" s="13" t="str">
        <x:v>REQ-048</x:v>
      </x:c>
      <x:c r="B53" s="18" t="str"/>
      <x:c r="C53" s="18" t="str"/>
      <x:c r="D53" s="18" t="str"/>
      <x:c r="E53" s="18" t="str"/>
      <x:c r="F53" s="18" t="str"/>
      <x:c r="G53" s="17"/>
      <x:c r="H53" s="17"/>
      <x:c r="I53" s="18" t="str"/>
      <x:c r="J53" s="18" t="str"/>
      <x:c r="K53" s="18" t="str">
        <x:v>未开始</x:v>
      </x:c>
      <x:c r="L53" s="19"/>
      <x:c r="M53" s="18" t="str"/>
    </x:row>
    <x:row r="54">
      <x:c r="A54" s="13" t="str">
        <x:v>REQ-049</x:v>
      </x:c>
      <x:c r="B54" s="18" t="str"/>
      <x:c r="C54" s="18" t="str"/>
      <x:c r="D54" s="18" t="str"/>
      <x:c r="E54" s="18" t="str"/>
      <x:c r="F54" s="18" t="str"/>
      <x:c r="G54" s="17"/>
      <x:c r="H54" s="17"/>
      <x:c r="I54" s="18" t="str"/>
      <x:c r="J54" s="18" t="str"/>
      <x:c r="K54" s="18" t="str">
        <x:v>未开始</x:v>
      </x:c>
      <x:c r="L54" s="19"/>
      <x:c r="M54" s="18" t="str"/>
    </x:row>
    <x:row r="55">
      <x:c r="A55" s="13" t="str">
        <x:v>REQ-050</x:v>
      </x:c>
      <x:c r="B55" s="18" t="str"/>
      <x:c r="C55" s="18" t="str"/>
      <x:c r="D55" s="18" t="str"/>
      <x:c r="E55" s="18" t="str"/>
      <x:c r="F55" s="18" t="str"/>
      <x:c r="G55" s="17"/>
      <x:c r="H55" s="17"/>
      <x:c r="I55" s="18" t="str"/>
      <x:c r="J55" s="18" t="str"/>
      <x:c r="K55" s="18" t="str">
        <x:v>未开始</x:v>
      </x:c>
      <x:c r="L55" s="19"/>
      <x:c r="M55" s="18" t="str"/>
    </x:row>
    <x:row r="56">
      <x:c r="A56" s="13" t="str">
        <x:v>REQ-051</x:v>
      </x:c>
      <x:c r="B56" s="18" t="str"/>
      <x:c r="C56" s="18" t="str"/>
      <x:c r="D56" s="18" t="str"/>
      <x:c r="E56" s="18" t="str"/>
      <x:c r="F56" s="18" t="str"/>
      <x:c r="G56" s="17"/>
      <x:c r="H56" s="17"/>
      <x:c r="I56" s="18" t="str"/>
      <x:c r="J56" s="18" t="str"/>
      <x:c r="K56" s="18" t="str">
        <x:v>未开始</x:v>
      </x:c>
      <x:c r="L56" s="19"/>
      <x:c r="M56" s="18" t="str"/>
    </x:row>
    <x:row r="57">
      <x:c r="A57" s="13" t="str">
        <x:v>REQ-052</x:v>
      </x:c>
      <x:c r="B57" s="18" t="str"/>
      <x:c r="C57" s="18" t="str"/>
      <x:c r="D57" s="18" t="str"/>
      <x:c r="E57" s="18" t="str"/>
      <x:c r="F57" s="18" t="str"/>
      <x:c r="G57" s="17"/>
      <x:c r="H57" s="17"/>
      <x:c r="I57" s="18" t="str"/>
      <x:c r="J57" s="18" t="str"/>
      <x:c r="K57" s="18" t="str">
        <x:v>未开始</x:v>
      </x:c>
      <x:c r="L57" s="19"/>
      <x:c r="M57" s="18" t="str"/>
    </x:row>
    <x:row r="58">
      <x:c r="A58" s="13" t="str">
        <x:v>REQ-053</x:v>
      </x:c>
      <x:c r="B58" s="18" t="str"/>
      <x:c r="C58" s="18" t="str"/>
      <x:c r="D58" s="18" t="str"/>
      <x:c r="E58" s="18" t="str"/>
      <x:c r="F58" s="18" t="str"/>
      <x:c r="G58" s="17"/>
      <x:c r="H58" s="17"/>
      <x:c r="I58" s="18" t="str"/>
      <x:c r="J58" s="18" t="str"/>
      <x:c r="K58" s="18" t="str">
        <x:v>未开始</x:v>
      </x:c>
      <x:c r="L58" s="19"/>
      <x:c r="M58" s="18" t="str"/>
    </x:row>
    <x:row r="59">
      <x:c r="A59" s="13" t="str">
        <x:v>REQ-054</x:v>
      </x:c>
      <x:c r="B59" s="18" t="str"/>
      <x:c r="C59" s="18" t="str"/>
      <x:c r="D59" s="18" t="str"/>
      <x:c r="E59" s="18" t="str"/>
      <x:c r="F59" s="18" t="str"/>
      <x:c r="G59" s="17"/>
      <x:c r="H59" s="17"/>
      <x:c r="I59" s="18" t="str"/>
      <x:c r="J59" s="18" t="str"/>
      <x:c r="K59" s="18" t="str">
        <x:v>未开始</x:v>
      </x:c>
      <x:c r="L59" s="19"/>
      <x:c r="M59" s="18" t="str"/>
    </x:row>
    <x:row r="60">
      <x:c r="A60" s="13" t="str">
        <x:v>REQ-055</x:v>
      </x:c>
      <x:c r="B60" s="18" t="str"/>
      <x:c r="C60" s="18" t="str"/>
      <x:c r="D60" s="18" t="str"/>
      <x:c r="E60" s="18" t="str"/>
      <x:c r="F60" s="18" t="str"/>
      <x:c r="G60" s="17"/>
      <x:c r="H60" s="17"/>
      <x:c r="I60" s="18" t="str"/>
      <x:c r="J60" s="18" t="str"/>
      <x:c r="K60" s="18" t="str">
        <x:v>未开始</x:v>
      </x:c>
      <x:c r="L60" s="19"/>
      <x:c r="M60" s="18" t="str"/>
    </x:row>
    <x:row r="61">
      <x:c r="A61" s="13" t="str">
        <x:v>REQ-056</x:v>
      </x:c>
      <x:c r="B61" s="18" t="str"/>
      <x:c r="C61" s="18" t="str"/>
      <x:c r="D61" s="18" t="str"/>
      <x:c r="E61" s="18" t="str"/>
      <x:c r="F61" s="18" t="str"/>
      <x:c r="G61" s="17"/>
      <x:c r="H61" s="17"/>
      <x:c r="I61" s="18" t="str"/>
      <x:c r="J61" s="18" t="str"/>
      <x:c r="K61" s="18" t="str">
        <x:v>未开始</x:v>
      </x:c>
      <x:c r="L61" s="19"/>
      <x:c r="M61" s="18" t="str"/>
    </x:row>
    <x:row r="62">
      <x:c r="A62" s="13" t="str">
        <x:v>REQ-057</x:v>
      </x:c>
      <x:c r="B62" s="18" t="str"/>
      <x:c r="C62" s="18" t="str"/>
      <x:c r="D62" s="18" t="str"/>
      <x:c r="E62" s="18" t="str"/>
      <x:c r="F62" s="18" t="str"/>
      <x:c r="G62" s="17"/>
      <x:c r="H62" s="17"/>
      <x:c r="I62" s="18" t="str"/>
      <x:c r="J62" s="18" t="str"/>
      <x:c r="K62" s="18" t="str">
        <x:v>未开始</x:v>
      </x:c>
      <x:c r="L62" s="19"/>
      <x:c r="M62" s="18" t="str"/>
    </x:row>
    <x:row r="63">
      <x:c r="A63" s="13" t="str">
        <x:v>REQ-058</x:v>
      </x:c>
      <x:c r="B63" s="18" t="str"/>
      <x:c r="C63" s="18" t="str"/>
      <x:c r="D63" s="18" t="str"/>
      <x:c r="E63" s="18" t="str"/>
      <x:c r="F63" s="18" t="str"/>
      <x:c r="G63" s="17"/>
      <x:c r="H63" s="17"/>
      <x:c r="I63" s="18" t="str"/>
      <x:c r="J63" s="18" t="str"/>
      <x:c r="K63" s="18" t="str">
        <x:v>未开始</x:v>
      </x:c>
      <x:c r="L63" s="19"/>
      <x:c r="M63" s="18" t="str"/>
    </x:row>
    <x:row r="64">
      <x:c r="A64" s="13" t="str">
        <x:v>REQ-059</x:v>
      </x:c>
      <x:c r="B64" s="18" t="str"/>
      <x:c r="C64" s="18" t="str"/>
      <x:c r="D64" s="18" t="str"/>
      <x:c r="E64" s="18" t="str"/>
      <x:c r="F64" s="18" t="str"/>
      <x:c r="G64" s="17"/>
      <x:c r="H64" s="17"/>
      <x:c r="I64" s="18" t="str"/>
      <x:c r="J64" s="18" t="str"/>
      <x:c r="K64" s="18" t="str">
        <x:v>未开始</x:v>
      </x:c>
      <x:c r="L64" s="19"/>
      <x:c r="M64" s="18" t="str"/>
    </x:row>
    <x:row r="65">
      <x:c r="A65" s="13" t="str">
        <x:v>REQ-060</x:v>
      </x:c>
      <x:c r="B65" s="18" t="str"/>
      <x:c r="C65" s="18" t="str"/>
      <x:c r="D65" s="18" t="str"/>
      <x:c r="E65" s="18" t="str"/>
      <x:c r="F65" s="18" t="str"/>
      <x:c r="G65" s="17"/>
      <x:c r="H65" s="17"/>
      <x:c r="I65" s="18" t="str"/>
      <x:c r="J65" s="18" t="str"/>
      <x:c r="K65" s="18" t="str">
        <x:v>未开始</x:v>
      </x:c>
      <x:c r="L65" s="19"/>
      <x:c r="M65" s="18" t="str"/>
    </x:row>
  </x:sheetData>
  <x:mergeCells>
    <x:mergeCell ref="A1:M1"/>
    <x:mergeCell ref="A2:M2"/>
  </x:mergeCells>
  <x:conditionalFormatting sqref="K6:K65">
    <x:cfRule type="containsText" dxfId="18" priority="1" operator="containsText" text="已完成"/>
    <x:cfRule type="containsText" dxfId="19" priority="2" operator="containsText" text="逾期"/>
    <x:cfRule type="containsText" dxfId="20" priority="3" operator="containsText" text="未开始"/>
  </x:conditionalFormatting>
  <x:dataValidations count="1">
    <x:dataValidation type="list" sqref="K6:K6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57d92584e4ea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</x:cols>
  <x:sheetData>
    <x:row r="1" ht="30" customHeight="1">
      <x:c r="A1" s="1" t="str">
        <x:v>财务问题升级矩阵</x:v>
      </x:c>
    </x:row>
    <x:row r="2" ht="25" customHeight="1">
      <x:c r="A2" s="3" t="str">
        <x:v>按金额、时间、法律税务、报表、现金和持续拖延综合判断。</x:v>
      </x:c>
    </x:row>
    <x:row r="5" ht="36" customHeight="1">
      <x:c r="A5" s="9" t="str">
        <x:v>维度</x:v>
      </x:c>
      <x:c r="B5" s="9" t="str">
        <x:v>一般</x:v>
      </x:c>
      <x:c r="C5" s="9" t="str">
        <x:v>重要</x:v>
      </x:c>
      <x:c r="D5" s="9" t="str">
        <x:v>重大/紧急</x:v>
      </x:c>
      <x:c r="E5" s="9" t="str">
        <x:v>业务负责人</x:v>
      </x:c>
      <x:c r="F5" s="9" t="str">
        <x:v>财务主管</x:v>
      </x:c>
      <x:c r="G5" s="9" t="str">
        <x:v>财务经理</x:v>
      </x:c>
      <x:c r="H5" s="9" t="str">
        <x:v>CFO/总经理</x:v>
      </x:c>
      <x:c r="I5" s="9" t="str">
        <x:v>法务/外部专家</x:v>
      </x:c>
    </x:row>
    <x:row r="6">
      <x:c r="A6" s="13" t="str">
        <x:v>金额</x:v>
      </x:c>
      <x:c r="B6" s="13" t="str">
        <x:v>低于部门阈值</x:v>
      </x:c>
      <x:c r="C6" s="13" t="str">
        <x:v>超过主管阈值</x:v>
      </x:c>
      <x:c r="D6" s="13" t="str">
        <x:v>超过CFO阈值或资金安全</x:v>
      </x:c>
      <x:c r="E6" s="13" t="str">
        <x:v>R</x:v>
      </x:c>
      <x:c r="F6" s="13" t="str">
        <x:v>A</x:v>
      </x:c>
      <x:c r="G6" s="13" t="str">
        <x:v>C/A</x:v>
      </x:c>
      <x:c r="H6" s="13" t="str">
        <x:v>I/A</x:v>
      </x:c>
      <x:c r="I6" s="13" t="str">
        <x:v>C</x:v>
      </x:c>
    </x:row>
    <x:row r="7">
      <x:c r="A7" s="13" t="str">
        <x:v>时间</x:v>
      </x:c>
      <x:c r="B7" s="13" t="str">
        <x:v>不影响关键路径</x:v>
      </x:c>
      <x:c r="C7" s="13" t="str">
        <x:v>可能影响月结</x:v>
      </x:c>
      <x:c r="D7" s="13" t="str">
        <x:v>影响申报/出表/付款</x:v>
      </x:c>
      <x:c r="E7" s="13" t="str">
        <x:v>R</x:v>
      </x:c>
      <x:c r="F7" s="13" t="str">
        <x:v>A</x:v>
      </x:c>
      <x:c r="G7" s="13" t="str">
        <x:v>A</x:v>
      </x:c>
      <x:c r="H7" s="13" t="str">
        <x:v>I</x:v>
      </x:c>
      <x:c r="I7" s="13" t="str">
        <x:v>C</x:v>
      </x:c>
    </x:row>
    <x:row r="8">
      <x:c r="A8" s="13" t="str">
        <x:v>法律税务</x:v>
      </x:c>
      <x:c r="B8" s="13" t="str">
        <x:v>一般资料瑕疵</x:v>
      </x:c>
      <x:c r="C8" s="13" t="str">
        <x:v>可能补税处罚</x:v>
      </x:c>
      <x:c r="D8" s="13" t="str">
        <x:v>涉嫌违法或故意虚假</x:v>
      </x:c>
      <x:c r="E8" s="13" t="str">
        <x:v>C</x:v>
      </x:c>
      <x:c r="F8" s="13" t="str">
        <x:v>A</x:v>
      </x:c>
      <x:c r="G8" s="13" t="str">
        <x:v>A</x:v>
      </x:c>
      <x:c r="H8" s="13" t="str">
        <x:v>A</x:v>
      </x:c>
      <x:c r="I8" s="13" t="str">
        <x:v>C/A</x:v>
      </x:c>
    </x:row>
    <x:row r="9">
      <x:c r="A9" s="13" t="str">
        <x:v>报表</x:v>
      </x:c>
      <x:c r="B9" s="13" t="str">
        <x:v>不重大可量化</x:v>
      </x:c>
      <x:c r="C9" s="13" t="str">
        <x:v>重大可修复</x:v>
      </x:c>
      <x:c r="D9" s="13" t="str">
        <x:v>重大且无法可靠量化</x:v>
      </x:c>
      <x:c r="E9" s="13" t="str">
        <x:v>C</x:v>
      </x:c>
      <x:c r="F9" s="13" t="str">
        <x:v>A</x:v>
      </x:c>
      <x:c r="G9" s="13" t="str">
        <x:v>A</x:v>
      </x:c>
      <x:c r="H9" s="13" t="str">
        <x:v>A</x:v>
      </x:c>
      <x:c r="I9" s="13" t="str">
        <x:v>C</x:v>
      </x:c>
    </x:row>
    <x:row r="10">
      <x:c r="A10" s="13" t="str">
        <x:v>现金</x:v>
      </x:c>
      <x:c r="B10" s="13" t="str">
        <x:v>常规已授权</x:v>
      </x:c>
      <x:c r="C10" s="13" t="str">
        <x:v>大额/异常</x:v>
      </x:c>
      <x:c r="D10" s="13" t="str">
        <x:v>被骗、冻结、陌生账户</x:v>
      </x:c>
      <x:c r="E10" s="13" t="str">
        <x:v>R</x:v>
      </x:c>
      <x:c r="F10" s="13" t="str">
        <x:v>A</x:v>
      </x:c>
      <x:c r="G10" s="13" t="str">
        <x:v>A</x:v>
      </x:c>
      <x:c r="H10" s="13" t="str">
        <x:v>A</x:v>
      </x:c>
      <x:c r="I10" s="13" t="str">
        <x:v>C</x:v>
      </x:c>
    </x:row>
    <x:row r="11">
      <x:c r="A11" s="13" t="str">
        <x:v>持续拖延</x:v>
      </x:c>
      <x:c r="B11" s="13" t="str">
        <x:v>首次</x:v>
      </x:c>
      <x:c r="C11" s="13" t="str">
        <x:v>连续两次</x:v>
      </x:c>
      <x:c r="D11" s="13" t="str">
        <x:v>部门负责人仍不处理</x:v>
      </x:c>
      <x:c r="E11" s="13" t="str">
        <x:v>R</x:v>
      </x:c>
      <x:c r="F11" s="13" t="str">
        <x:v>A</x:v>
      </x:c>
      <x:c r="G11" s="13" t="str">
        <x:v>A</x:v>
      </x:c>
      <x:c r="H11" s="13" t="str">
        <x:v>I/A</x:v>
      </x:c>
      <x:c r="I11" s="13" t="str">
        <x:v>-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9e2ed41589849b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  <x:col min="10" max="10" width="28" hidden="0" customWidth="1"/>
  </x:cols>
  <x:sheetData>
    <x:row r="1" ht="30" customHeight="1">
      <x:c r="A1" s="1" t="str">
        <x:v>财务审批权限矩阵</x:v>
      </x:c>
    </x:row>
    <x:row r="2" ht="25" customHeight="1">
      <x:c r="A2" s="3" t="str">
        <x:v>金额区间为企业自定义示例，不能当作统一行业标准。</x:v>
      </x:c>
    </x:row>
    <x:row r="5" ht="36" customHeight="1">
      <x:c r="A5" s="9" t="str">
        <x:v>业务类型</x:v>
      </x:c>
      <x:c r="B5" s="9" t="str">
        <x:v>低金额示例</x:v>
      </x:c>
      <x:c r="C5" s="9" t="str">
        <x:v>中金额示例</x:v>
      </x:c>
      <x:c r="D5" s="9" t="str">
        <x:v>高金额示例</x:v>
      </x:c>
      <x:c r="E5" s="9" t="str">
        <x:v>异常/高风险</x:v>
      </x:c>
      <x:c r="F5" s="9" t="str">
        <x:v>申请</x:v>
      </x:c>
      <x:c r="G5" s="9" t="str">
        <x:v>部门审批</x:v>
      </x:c>
      <x:c r="H5" s="9" t="str">
        <x:v>财务复核</x:v>
      </x:c>
      <x:c r="I5" s="9" t="str">
        <x:v>最终批准</x:v>
      </x:c>
      <x:c r="J5" s="9" t="str">
        <x:v>系统控制</x:v>
      </x:c>
    </x:row>
    <x:row r="6">
      <x:c r="A6" s="13" t="str">
        <x:v>普通办公费</x:v>
      </x:c>
      <x:c r="B6" s="13" t="str">
        <x:v>部门主管</x:v>
      </x:c>
      <x:c r="C6" s="13" t="str">
        <x:v>部门负责人</x:v>
      </x:c>
      <x:c r="D6" s="13" t="str">
        <x:v>总经理</x:v>
      </x:c>
      <x:c r="E6" s="13" t="str">
        <x:v>异常用途提高层级</x:v>
      </x:c>
      <x:c r="F6" s="13" t="str">
        <x:v>员工</x:v>
      </x:c>
      <x:c r="G6" s="13" t="str">
        <x:v>部门</x:v>
      </x:c>
      <x:c r="H6" s="13" t="str">
        <x:v>AP抽查</x:v>
      </x:c>
      <x:c r="I6" s="13" t="str">
        <x:v>按额度</x:v>
      </x:c>
      <x:c r="J6" s="13" t="str">
        <x:v>预算+发票</x:v>
      </x:c>
    </x:row>
    <x:row r="7">
      <x:c r="A7" s="13" t="str">
        <x:v>资本性支出</x:v>
      </x:c>
      <x:c r="B7" s="13" t="str">
        <x:v>部门负责人</x:v>
      </x:c>
      <x:c r="C7" s="13" t="str">
        <x:v>财务经理</x:v>
      </x:c>
      <x:c r="D7" s="13" t="str">
        <x:v>CFO/总经理</x:v>
      </x:c>
      <x:c r="E7" s="13" t="str">
        <x:v>未预算需例外</x:v>
      </x:c>
      <x:c r="F7" s="13" t="str">
        <x:v>使用部门</x:v>
      </x:c>
      <x:c r="G7" s="13" t="str">
        <x:v>部门负责人</x:v>
      </x:c>
      <x:c r="H7" s="13" t="str">
        <x:v>资产/总账</x:v>
      </x:c>
      <x:c r="I7" s="13" t="str">
        <x:v>按额度</x:v>
      </x:c>
      <x:c r="J7" s="13" t="str">
        <x:v>预算+验收</x:v>
      </x:c>
    </x:row>
    <x:row r="8">
      <x:c r="A8" s="13" t="str">
        <x:v>预付款</x:v>
      </x:c>
      <x:c r="B8" s="13" t="str">
        <x:v>采购负责人</x:v>
      </x:c>
      <x:c r="C8" s="13" t="str">
        <x:v>财务经理</x:v>
      </x:c>
      <x:c r="D8" s="13" t="str">
        <x:v>CFO</x:v>
      </x:c>
      <x:c r="E8" s="13" t="str">
        <x:v>陌生供应商强化</x:v>
      </x:c>
      <x:c r="F8" s="13" t="str">
        <x:v>采购</x:v>
      </x:c>
      <x:c r="G8" s="13" t="str">
        <x:v>采购负责人</x:v>
      </x:c>
      <x:c r="H8" s="13" t="str">
        <x:v>AP/资金</x:v>
      </x:c>
      <x:c r="I8" s="13" t="str">
        <x:v>按额度</x:v>
      </x:c>
      <x:c r="J8" s="13" t="str">
        <x:v>合同+账户核验</x:v>
      </x:c>
    </x:row>
    <x:row r="9">
      <x:c r="A9" s="13" t="str">
        <x:v>关联方</x:v>
      </x:c>
      <x:c r="B9" s="13" t="str">
        <x:v>不因金额降低</x:v>
      </x:c>
      <x:c r="C9" s="13" t="str">
        <x:v>财务经理</x:v>
      </x:c>
      <x:c r="D9" s="13" t="str">
        <x:v>CFO/治理层</x:v>
      </x:c>
      <x:c r="E9" s="13" t="str">
        <x:v>全部识别披露</x:v>
      </x:c>
      <x:c r="F9" s="13" t="str">
        <x:v>业务</x:v>
      </x:c>
      <x:c r="G9" s="13" t="str">
        <x:v>部门负责人</x:v>
      </x:c>
      <x:c r="H9" s="13" t="str">
        <x:v>总账/税务</x:v>
      </x:c>
      <x:c r="I9" s="13" t="str">
        <x:v>治理层规则</x:v>
      </x:c>
      <x:c r="J9" s="13" t="str">
        <x:v>关联方标记</x:v>
      </x:c>
    </x:row>
    <x:row r="10">
      <x:c r="A10" s="13" t="str">
        <x:v>异常付款</x:v>
      </x:c>
      <x:c r="B10" s="13" t="str">
        <x:v>例外审批</x:v>
      </x:c>
      <x:c r="C10" s="13" t="str">
        <x:v>财务经理</x:v>
      </x:c>
      <x:c r="D10" s="13" t="str">
        <x:v>CFO</x:v>
      </x:c>
      <x:c r="E10" s="13" t="str">
        <x:v>涉嫌违法拒绝</x:v>
      </x:c>
      <x:c r="F10" s="13" t="str">
        <x:v>业务</x:v>
      </x:c>
      <x:c r="G10" s="13" t="str">
        <x:v>部门负责人</x:v>
      </x:c>
      <x:c r="H10" s="13" t="str">
        <x:v>主管</x:v>
      </x:c>
      <x:c r="I10" s="13" t="str">
        <x:v>CFO</x:v>
      </x:c>
      <x:c r="J10" s="13" t="str">
        <x:v>限时例外</x:v>
      </x:c>
    </x:row>
    <x:row r="11">
      <x:c r="A11" s="13" t="str">
        <x:v>资产处置</x:v>
      </x:c>
      <x:c r="B11" s="13" t="str">
        <x:v>资产负责人</x:v>
      </x:c>
      <x:c r="C11" s="13" t="str">
        <x:v>财务经理</x:v>
      </x:c>
      <x:c r="D11" s="13" t="str">
        <x:v>总经理</x:v>
      </x:c>
      <x:c r="E11" s="13" t="str">
        <x:v>关联方/低价强化</x:v>
      </x:c>
      <x:c r="F11" s="13" t="str">
        <x:v>使用部门</x:v>
      </x:c>
      <x:c r="G11" s="13" t="str">
        <x:v>归口部门</x:v>
      </x:c>
      <x:c r="H11" s="13" t="str">
        <x:v>资产会计</x:v>
      </x:c>
      <x:c r="I11" s="13" t="str">
        <x:v>按额度</x:v>
      </x:c>
      <x:c r="J11" s="13" t="str">
        <x:v>评估+处置审批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475155202c8482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36" hidden="0" customWidth="1"/>
    <x:col min="11" max="11" width="14" hidden="0" customWidth="1"/>
    <x:col min="12" max="12" width="11" hidden="0" customWidth="1"/>
  </x:cols>
  <x:sheetData>
    <x:row r="1" ht="30" customHeight="1">
      <x:c r="A1" s="1" t="str">
        <x:v>ERP权限与职责分离矩阵</x:v>
      </x:c>
    </x:row>
    <x:row r="2" ht="25" customHeight="1">
      <x:c r="A2" s="3" t="str">
        <x:v>记录角色冲突和补偿控制；禁止在表中记录密码。</x:v>
      </x:c>
    </x:row>
    <x:row r="5" ht="36" customHeight="1">
      <x:c r="A5" s="9" t="str">
        <x:v>用户/角色</x:v>
      </x:c>
      <x:c r="B5" s="9" t="str">
        <x:v>供应商主数据</x:v>
      </x:c>
      <x:c r="C5" s="9" t="str">
        <x:v>凭证录入</x:v>
      </x:c>
      <x:c r="D5" s="9" t="str">
        <x:v>凭证审核</x:v>
      </x:c>
      <x:c r="E5" s="9" t="str">
        <x:v>付款制单</x:v>
      </x:c>
      <x:c r="F5" s="9" t="str">
        <x:v>银行复核</x:v>
      </x:c>
      <x:c r="G5" s="9" t="str">
        <x:v>反结账</x:v>
      </x:c>
      <x:c r="H5" s="9" t="str">
        <x:v>系统管理</x:v>
      </x:c>
      <x:c r="I5" s="9" t="str">
        <x:v>冲突说明</x:v>
      </x:c>
      <x:c r="J5" s="9" t="str">
        <x:v>补偿控制</x:v>
      </x:c>
      <x:c r="K5" s="9" t="str">
        <x:v>复核人</x:v>
      </x:c>
      <x:c r="L5" s="9" t="str">
        <x:v>状态</x:v>
      </x:c>
    </x:row>
    <x:row r="6">
      <x:c r="A6" s="18" t="str"/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3" t="str">
        <x:v>未开始</x:v>
      </x:c>
    </x:row>
    <x:row r="7">
      <x:c r="A7" s="18" t="str"/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3" t="str">
        <x:v>未开始</x:v>
      </x:c>
    </x:row>
    <x:row r="8">
      <x:c r="A8" s="18" t="str"/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3" t="str">
        <x:v>未开始</x:v>
      </x:c>
    </x:row>
    <x:row r="9">
      <x:c r="A9" s="18" t="str"/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3" t="str">
        <x:v>未开始</x:v>
      </x:c>
    </x:row>
    <x:row r="10">
      <x:c r="A10" s="18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3" t="str">
        <x:v>未开始</x:v>
      </x:c>
    </x:row>
    <x:row r="11">
      <x:c r="A11" s="18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3" t="str">
        <x:v>未开始</x:v>
      </x:c>
    </x:row>
    <x:row r="12">
      <x:c r="A12" s="18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3" t="str">
        <x:v>未开始</x:v>
      </x:c>
    </x:row>
    <x:row r="13">
      <x:c r="A13" s="18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3" t="str">
        <x:v>未开始</x:v>
      </x:c>
    </x:row>
    <x:row r="14">
      <x:c r="A14" s="18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3" t="str">
        <x:v>未开始</x:v>
      </x:c>
    </x:row>
    <x:row r="15">
      <x:c r="A15" s="18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3" t="str">
        <x:v>未开始</x:v>
      </x:c>
    </x:row>
    <x:row r="16">
      <x:c r="A16" s="18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3" t="str">
        <x:v>未开始</x:v>
      </x:c>
    </x:row>
    <x:row r="17">
      <x:c r="A17" s="18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3" t="str">
        <x:v>未开始</x:v>
      </x:c>
    </x:row>
    <x:row r="18">
      <x:c r="A18" s="18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3" t="str">
        <x:v>未开始</x:v>
      </x:c>
    </x:row>
    <x:row r="19">
      <x:c r="A19" s="18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3" t="str">
        <x:v>未开始</x:v>
      </x:c>
    </x:row>
    <x:row r="20">
      <x:c r="A20" s="18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3" t="str">
        <x:v>未开始</x:v>
      </x:c>
    </x:row>
    <x:row r="21">
      <x:c r="A21" s="18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3" t="str">
        <x:v>未开始</x:v>
      </x:c>
    </x:row>
    <x:row r="22">
      <x:c r="A22" s="18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3" t="str">
        <x:v>未开始</x:v>
      </x:c>
    </x:row>
    <x:row r="23">
      <x:c r="A23" s="18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3" t="str">
        <x:v>未开始</x:v>
      </x:c>
    </x:row>
    <x:row r="24">
      <x:c r="A24" s="18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3" t="str">
        <x:v>未开始</x:v>
      </x:c>
    </x:row>
    <x:row r="25">
      <x:c r="A25" s="18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3" t="str">
        <x:v>未开始</x:v>
      </x:c>
    </x:row>
    <x:row r="26">
      <x:c r="A26" s="18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3" t="str">
        <x:v>未开始</x:v>
      </x:c>
    </x:row>
    <x:row r="27">
      <x:c r="A27" s="18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3" t="str">
        <x:v>未开始</x:v>
      </x:c>
    </x:row>
    <x:row r="28">
      <x:c r="A28" s="18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3" t="str">
        <x:v>未开始</x:v>
      </x:c>
    </x:row>
    <x:row r="29">
      <x:c r="A29" s="18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3" t="str">
        <x:v>未开始</x:v>
      </x:c>
    </x:row>
    <x:row r="30">
      <x:c r="A30" s="18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3" t="str">
        <x:v>未开始</x:v>
      </x:c>
    </x:row>
    <x:row r="31">
      <x:c r="A31" s="18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3" t="str">
        <x:v>未开始</x:v>
      </x:c>
    </x:row>
    <x:row r="32">
      <x:c r="A32" s="18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3" t="str">
        <x:v>未开始</x:v>
      </x:c>
    </x:row>
    <x:row r="33">
      <x:c r="A33" s="18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3" t="str">
        <x:v>未开始</x:v>
      </x:c>
    </x:row>
    <x:row r="34">
      <x:c r="A34" s="18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3" t="str">
        <x:v>未开始</x:v>
      </x:c>
    </x:row>
    <x:row r="35">
      <x:c r="A35" s="18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3" t="str">
        <x:v>未开始</x:v>
      </x:c>
    </x:row>
    <x:row r="36">
      <x:c r="A36" s="18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3" t="str">
        <x:v>未开始</x:v>
      </x:c>
    </x:row>
    <x:row r="37">
      <x:c r="A37" s="18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3" t="str">
        <x:v>未开始</x:v>
      </x:c>
    </x:row>
    <x:row r="38">
      <x:c r="A38" s="18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3" t="str">
        <x:v>未开始</x:v>
      </x:c>
    </x:row>
    <x:row r="39">
      <x:c r="A39" s="18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3" t="str">
        <x:v>未开始</x:v>
      </x:c>
    </x:row>
    <x:row r="40">
      <x:c r="A40" s="18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3" t="str">
        <x:v>未开始</x:v>
      </x:c>
    </x:row>
    <x:row r="41">
      <x:c r="A41" s="18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3" t="str">
        <x:v>未开始</x:v>
      </x:c>
    </x:row>
    <x:row r="42">
      <x:c r="A42" s="18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3" t="str">
        <x:v>未开始</x:v>
      </x:c>
    </x:row>
    <x:row r="43">
      <x:c r="A43" s="18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3" t="str">
        <x:v>未开始</x:v>
      </x:c>
    </x:row>
    <x:row r="44">
      <x:c r="A44" s="18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3" t="str">
        <x:v>未开始</x:v>
      </x:c>
    </x:row>
    <x:row r="45">
      <x:c r="A45" s="18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21" priority="1" operator="containsText" text="已完成"/>
    <x:cfRule type="containsText" dxfId="22" priority="2" operator="containsText" text="逾期"/>
    <x:cfRule type="containsText" dxfId="23" priority="3" operator="containsText" text="未开始"/>
  </x:conditionalFormatting>
  <x:dataValidations count="8">
    <x:dataValidation type="list" sqref="B6:B45">
      <x:formula1>"无,查询,录入,审核,管理员"</x:formula1>
    </x:dataValidation>
    <x:dataValidation type="list" sqref="C6:C45">
      <x:formula1>"无,查询,录入,审核,管理员"</x:formula1>
    </x:dataValidation>
    <x:dataValidation type="list" sqref="D6:D45">
      <x:formula1>"无,查询,录入,审核,管理员"</x:formula1>
    </x:dataValidation>
    <x:dataValidation type="list" sqref="E6:E45">
      <x:formula1>"无,查询,录入,审核,管理员"</x:formula1>
    </x:dataValidation>
    <x:dataValidation type="list" sqref="F6:F45">
      <x:formula1>"无,查询,录入,审核,管理员"</x:formula1>
    </x:dataValidation>
    <x:dataValidation type="list" sqref="G6:G45">
      <x:formula1>"无,查询,录入,审核,管理员"</x:formula1>
    </x:dataValidation>
    <x:dataValidation type="list" sqref="H6:H45">
      <x:formula1>"无,查询,录入,审核,管理员"</x:formula1>
    </x:dataValidation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ac16e98b7644a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4" hidden="0" customWidth="1"/>
    <x:col min="4" max="4" width="28" hidden="0" customWidth="1"/>
    <x:col min="5" max="5" width="28" hidden="0" customWidth="1"/>
    <x:col min="6" max="6" width="38" hidden="0" customWidth="1"/>
    <x:col min="7" max="7" width="34" hidden="0" customWidth="1"/>
    <x:col min="8" max="8" width="28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1" hidden="0" customWidth="1"/>
  </x:cols>
  <x:sheetData>
    <x:row r="1" ht="30" customHeight="1">
      <x:c r="A1" s="1" t="str">
        <x:v>重大会计事项跟踪</x:v>
      </x:c>
    </x:row>
    <x:row r="2" ht="25" customHeight="1">
      <x:c r="A2" s="3" t="str">
        <x:v>判断复杂或影响重大时形成Accounting Memo。</x:v>
      </x:c>
    </x:row>
    <x:row r="5" ht="36" customHeight="1">
      <x:c r="A5" s="9" t="str">
        <x:v>事项编号</x:v>
      </x:c>
      <x:c r="B5" s="9" t="str">
        <x:v>事项</x:v>
      </x:c>
      <x:c r="C5" s="9" t="str">
        <x:v>Fact状态</x:v>
      </x:c>
      <x:c r="D5" s="9" t="str">
        <x:v>合同资料</x:v>
      </x:c>
      <x:c r="E5" s="9" t="str">
        <x:v>适用准则</x:v>
      </x:c>
      <x:c r="F5" s="9" t="str">
        <x:v>备选方案</x:v>
      </x:c>
      <x:c r="G5" s="9" t="str">
        <x:v>建议方案</x:v>
      </x:c>
      <x:c r="H5" s="9" t="str">
        <x:v>报表影响</x:v>
      </x:c>
      <x:c r="I5" s="9" t="str">
        <x:v>税务影响</x:v>
      </x:c>
      <x:c r="J5" s="9" t="str">
        <x:v>Owner</x:v>
      </x:c>
      <x:c r="K5" s="9" t="str">
        <x:v>审批人</x:v>
      </x:c>
      <x:c r="L5" s="9" t="str">
        <x:v>截止日</x:v>
      </x:c>
      <x:c r="M5" s="9" t="str">
        <x:v>Memo编号</x:v>
      </x:c>
      <x:c r="N5" s="9" t="str">
        <x:v>状态</x:v>
      </x:c>
    </x:row>
    <x:row r="6">
      <x:c r="A6" s="13" t="str">
        <x:v>MAT-001</x:v>
      </x:c>
      <x:c r="B6" s="18" t="str"/>
      <x:c r="C6" s="18" t="str">
        <x:v>待确认</x:v>
      </x:c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9"/>
      <x:c r="M6" s="18" t="str"/>
      <x:c r="N6" s="13" t="str">
        <x:v>未开始</x:v>
      </x:c>
    </x:row>
    <x:row r="7">
      <x:c r="A7" s="13" t="str">
        <x:v>MAT-002</x:v>
      </x:c>
      <x:c r="B7" s="18" t="str"/>
      <x:c r="C7" s="18" t="str">
        <x:v>待确认</x:v>
      </x:c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9"/>
      <x:c r="M7" s="18" t="str"/>
      <x:c r="N7" s="13" t="str">
        <x:v>未开始</x:v>
      </x:c>
    </x:row>
    <x:row r="8">
      <x:c r="A8" s="13" t="str">
        <x:v>MAT-003</x:v>
      </x:c>
      <x:c r="B8" s="18" t="str"/>
      <x:c r="C8" s="18" t="str">
        <x:v>待确认</x:v>
      </x:c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9"/>
      <x:c r="M8" s="18" t="str"/>
      <x:c r="N8" s="13" t="str">
        <x:v>未开始</x:v>
      </x:c>
    </x:row>
    <x:row r="9">
      <x:c r="A9" s="13" t="str">
        <x:v>MAT-004</x:v>
      </x:c>
      <x:c r="B9" s="18" t="str"/>
      <x:c r="C9" s="18" t="str">
        <x:v>待确认</x:v>
      </x:c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9"/>
      <x:c r="M9" s="18" t="str"/>
      <x:c r="N9" s="13" t="str">
        <x:v>未开始</x:v>
      </x:c>
    </x:row>
    <x:row r="10">
      <x:c r="A10" s="13" t="str">
        <x:v>MAT-005</x:v>
      </x:c>
      <x:c r="B10" s="18" t="str"/>
      <x:c r="C10" s="18" t="str">
        <x:v>待确认</x:v>
      </x:c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9"/>
      <x:c r="M10" s="18" t="str"/>
      <x:c r="N10" s="13" t="str">
        <x:v>未开始</x:v>
      </x:c>
    </x:row>
    <x:row r="11">
      <x:c r="A11" s="13" t="str">
        <x:v>MAT-006</x:v>
      </x:c>
      <x:c r="B11" s="18" t="str"/>
      <x:c r="C11" s="18" t="str">
        <x:v>待确认</x:v>
      </x:c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9"/>
      <x:c r="M11" s="18" t="str"/>
      <x:c r="N11" s="13" t="str">
        <x:v>未开始</x:v>
      </x:c>
    </x:row>
    <x:row r="12">
      <x:c r="A12" s="13" t="str">
        <x:v>MAT-007</x:v>
      </x:c>
      <x:c r="B12" s="18" t="str"/>
      <x:c r="C12" s="18" t="str">
        <x:v>待确认</x:v>
      </x:c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9"/>
      <x:c r="M12" s="18" t="str"/>
      <x:c r="N12" s="13" t="str">
        <x:v>未开始</x:v>
      </x:c>
    </x:row>
    <x:row r="13">
      <x:c r="A13" s="13" t="str">
        <x:v>MAT-008</x:v>
      </x:c>
      <x:c r="B13" s="18" t="str"/>
      <x:c r="C13" s="18" t="str">
        <x:v>待确认</x:v>
      </x:c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9"/>
      <x:c r="M13" s="18" t="str"/>
      <x:c r="N13" s="13" t="str">
        <x:v>未开始</x:v>
      </x:c>
    </x:row>
    <x:row r="14">
      <x:c r="A14" s="13" t="str">
        <x:v>MAT-009</x:v>
      </x:c>
      <x:c r="B14" s="18" t="str"/>
      <x:c r="C14" s="18" t="str">
        <x:v>待确认</x:v>
      </x:c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9"/>
      <x:c r="M14" s="18" t="str"/>
      <x:c r="N14" s="13" t="str">
        <x:v>未开始</x:v>
      </x:c>
    </x:row>
    <x:row r="15">
      <x:c r="A15" s="13" t="str">
        <x:v>MAT-010</x:v>
      </x:c>
      <x:c r="B15" s="18" t="str"/>
      <x:c r="C15" s="18" t="str">
        <x:v>待确认</x:v>
      </x:c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9"/>
      <x:c r="M15" s="18" t="str"/>
      <x:c r="N15" s="13" t="str">
        <x:v>未开始</x:v>
      </x:c>
    </x:row>
    <x:row r="16">
      <x:c r="A16" s="13" t="str">
        <x:v>MAT-011</x:v>
      </x:c>
      <x:c r="B16" s="18" t="str"/>
      <x:c r="C16" s="18" t="str">
        <x:v>待确认</x:v>
      </x:c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9"/>
      <x:c r="M16" s="18" t="str"/>
      <x:c r="N16" s="13" t="str">
        <x:v>未开始</x:v>
      </x:c>
    </x:row>
    <x:row r="17">
      <x:c r="A17" s="13" t="str">
        <x:v>MAT-012</x:v>
      </x:c>
      <x:c r="B17" s="18" t="str"/>
      <x:c r="C17" s="18" t="str">
        <x:v>待确认</x:v>
      </x:c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9"/>
      <x:c r="M17" s="18" t="str"/>
      <x:c r="N17" s="13" t="str">
        <x:v>未开始</x:v>
      </x:c>
    </x:row>
    <x:row r="18">
      <x:c r="A18" s="13" t="str">
        <x:v>MAT-013</x:v>
      </x:c>
      <x:c r="B18" s="18" t="str"/>
      <x:c r="C18" s="18" t="str">
        <x:v>待确认</x:v>
      </x:c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9"/>
      <x:c r="M18" s="18" t="str"/>
      <x:c r="N18" s="13" t="str">
        <x:v>未开始</x:v>
      </x:c>
    </x:row>
    <x:row r="19">
      <x:c r="A19" s="13" t="str">
        <x:v>MAT-014</x:v>
      </x:c>
      <x:c r="B19" s="18" t="str"/>
      <x:c r="C19" s="18" t="str">
        <x:v>待确认</x:v>
      </x:c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9"/>
      <x:c r="M19" s="18" t="str"/>
      <x:c r="N19" s="13" t="str">
        <x:v>未开始</x:v>
      </x:c>
    </x:row>
    <x:row r="20">
      <x:c r="A20" s="13" t="str">
        <x:v>MAT-015</x:v>
      </x:c>
      <x:c r="B20" s="18" t="str"/>
      <x:c r="C20" s="18" t="str">
        <x:v>待确认</x:v>
      </x:c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9"/>
      <x:c r="M20" s="18" t="str"/>
      <x:c r="N20" s="13" t="str">
        <x:v>未开始</x:v>
      </x:c>
    </x:row>
    <x:row r="21">
      <x:c r="A21" s="13" t="str">
        <x:v>MAT-016</x:v>
      </x:c>
      <x:c r="B21" s="18" t="str"/>
      <x:c r="C21" s="18" t="str">
        <x:v>待确认</x:v>
      </x:c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9"/>
      <x:c r="M21" s="18" t="str"/>
      <x:c r="N21" s="13" t="str">
        <x:v>未开始</x:v>
      </x:c>
    </x:row>
    <x:row r="22">
      <x:c r="A22" s="13" t="str">
        <x:v>MAT-017</x:v>
      </x:c>
      <x:c r="B22" s="18" t="str"/>
      <x:c r="C22" s="18" t="str">
        <x:v>待确认</x:v>
      </x:c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9"/>
      <x:c r="M22" s="18" t="str"/>
      <x:c r="N22" s="13" t="str">
        <x:v>未开始</x:v>
      </x:c>
    </x:row>
    <x:row r="23">
      <x:c r="A23" s="13" t="str">
        <x:v>MAT-018</x:v>
      </x:c>
      <x:c r="B23" s="18" t="str"/>
      <x:c r="C23" s="18" t="str">
        <x:v>待确认</x:v>
      </x:c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9"/>
      <x:c r="M23" s="18" t="str"/>
      <x:c r="N23" s="13" t="str">
        <x:v>未开始</x:v>
      </x:c>
    </x:row>
    <x:row r="24">
      <x:c r="A24" s="13" t="str">
        <x:v>MAT-019</x:v>
      </x:c>
      <x:c r="B24" s="18" t="str"/>
      <x:c r="C24" s="18" t="str">
        <x:v>待确认</x:v>
      </x:c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9"/>
      <x:c r="M24" s="18" t="str"/>
      <x:c r="N24" s="13" t="str">
        <x:v>未开始</x:v>
      </x:c>
    </x:row>
    <x:row r="25">
      <x:c r="A25" s="13" t="str">
        <x:v>MAT-020</x:v>
      </x:c>
      <x:c r="B25" s="18" t="str"/>
      <x:c r="C25" s="18" t="str">
        <x:v>待确认</x:v>
      </x:c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9"/>
      <x:c r="M25" s="18" t="str"/>
      <x:c r="N25" s="13" t="str">
        <x:v>未开始</x:v>
      </x:c>
    </x:row>
    <x:row r="26">
      <x:c r="A26" s="13" t="str">
        <x:v>MAT-021</x:v>
      </x:c>
      <x:c r="B26" s="18" t="str"/>
      <x:c r="C26" s="18" t="str">
        <x:v>待确认</x:v>
      </x:c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9"/>
      <x:c r="M26" s="18" t="str"/>
      <x:c r="N26" s="13" t="str">
        <x:v>未开始</x:v>
      </x:c>
    </x:row>
    <x:row r="27">
      <x:c r="A27" s="13" t="str">
        <x:v>MAT-022</x:v>
      </x:c>
      <x:c r="B27" s="18" t="str"/>
      <x:c r="C27" s="18" t="str">
        <x:v>待确认</x:v>
      </x:c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9"/>
      <x:c r="M27" s="18" t="str"/>
      <x:c r="N27" s="13" t="str">
        <x:v>未开始</x:v>
      </x:c>
    </x:row>
    <x:row r="28">
      <x:c r="A28" s="13" t="str">
        <x:v>MAT-023</x:v>
      </x:c>
      <x:c r="B28" s="18" t="str"/>
      <x:c r="C28" s="18" t="str">
        <x:v>待确认</x:v>
      </x:c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9"/>
      <x:c r="M28" s="18" t="str"/>
      <x:c r="N28" s="13" t="str">
        <x:v>未开始</x:v>
      </x:c>
    </x:row>
    <x:row r="29">
      <x:c r="A29" s="13" t="str">
        <x:v>MAT-024</x:v>
      </x:c>
      <x:c r="B29" s="18" t="str"/>
      <x:c r="C29" s="18" t="str">
        <x:v>待确认</x:v>
      </x:c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9"/>
      <x:c r="M29" s="18" t="str"/>
      <x:c r="N29" s="13" t="str">
        <x:v>未开始</x:v>
      </x:c>
    </x:row>
    <x:row r="30">
      <x:c r="A30" s="13" t="str">
        <x:v>MAT-025</x:v>
      </x:c>
      <x:c r="B30" s="18" t="str"/>
      <x:c r="C30" s="18" t="str">
        <x:v>待确认</x:v>
      </x:c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9"/>
      <x:c r="M30" s="18" t="str"/>
      <x:c r="N30" s="13" t="str">
        <x:v>未开始</x:v>
      </x:c>
    </x:row>
    <x:row r="31">
      <x:c r="A31" s="13" t="str">
        <x:v>MAT-026</x:v>
      </x:c>
      <x:c r="B31" s="18" t="str"/>
      <x:c r="C31" s="18" t="str">
        <x:v>待确认</x:v>
      </x:c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9"/>
      <x:c r="M31" s="18" t="str"/>
      <x:c r="N31" s="13" t="str">
        <x:v>未开始</x:v>
      </x:c>
    </x:row>
    <x:row r="32">
      <x:c r="A32" s="13" t="str">
        <x:v>MAT-027</x:v>
      </x:c>
      <x:c r="B32" s="18" t="str"/>
      <x:c r="C32" s="18" t="str">
        <x:v>待确认</x:v>
      </x:c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9"/>
      <x:c r="M32" s="18" t="str"/>
      <x:c r="N32" s="13" t="str">
        <x:v>未开始</x:v>
      </x:c>
    </x:row>
    <x:row r="33">
      <x:c r="A33" s="13" t="str">
        <x:v>MAT-028</x:v>
      </x:c>
      <x:c r="B33" s="18" t="str"/>
      <x:c r="C33" s="18" t="str">
        <x:v>待确认</x:v>
      </x:c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9"/>
      <x:c r="M33" s="18" t="str"/>
      <x:c r="N33" s="13" t="str">
        <x:v>未开始</x:v>
      </x:c>
    </x:row>
    <x:row r="34">
      <x:c r="A34" s="13" t="str">
        <x:v>MAT-029</x:v>
      </x:c>
      <x:c r="B34" s="18" t="str"/>
      <x:c r="C34" s="18" t="str">
        <x:v>待确认</x:v>
      </x:c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9"/>
      <x:c r="M34" s="18" t="str"/>
      <x:c r="N34" s="13" t="str">
        <x:v>未开始</x:v>
      </x:c>
    </x:row>
    <x:row r="35">
      <x:c r="A35" s="13" t="str">
        <x:v>MAT-030</x:v>
      </x:c>
      <x:c r="B35" s="18" t="str"/>
      <x:c r="C35" s="18" t="str">
        <x:v>待确认</x:v>
      </x:c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9"/>
      <x:c r="M35" s="18" t="str"/>
      <x:c r="N35" s="13" t="str">
        <x:v>未开始</x:v>
      </x:c>
    </x:row>
    <x:row r="36">
      <x:c r="A36" s="13" t="str">
        <x:v>MAT-031</x:v>
      </x:c>
      <x:c r="B36" s="18" t="str"/>
      <x:c r="C36" s="18" t="str">
        <x:v>待确认</x:v>
      </x:c>
      <x:c r="D36" s="18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9"/>
      <x:c r="M36" s="18" t="str"/>
      <x:c r="N36" s="13" t="str">
        <x:v>未开始</x:v>
      </x:c>
    </x:row>
    <x:row r="37">
      <x:c r="A37" s="13" t="str">
        <x:v>MAT-032</x:v>
      </x:c>
      <x:c r="B37" s="18" t="str"/>
      <x:c r="C37" s="18" t="str">
        <x:v>待确认</x:v>
      </x:c>
      <x:c r="D37" s="18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9"/>
      <x:c r="M37" s="18" t="str"/>
      <x:c r="N37" s="13" t="str">
        <x:v>未开始</x:v>
      </x:c>
    </x:row>
    <x:row r="38">
      <x:c r="A38" s="13" t="str">
        <x:v>MAT-033</x:v>
      </x:c>
      <x:c r="B38" s="18" t="str"/>
      <x:c r="C38" s="18" t="str">
        <x:v>待确认</x:v>
      </x:c>
      <x:c r="D38" s="18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9"/>
      <x:c r="M38" s="18" t="str"/>
      <x:c r="N38" s="13" t="str">
        <x:v>未开始</x:v>
      </x:c>
    </x:row>
    <x:row r="39">
      <x:c r="A39" s="13" t="str">
        <x:v>MAT-034</x:v>
      </x:c>
      <x:c r="B39" s="18" t="str"/>
      <x:c r="C39" s="18" t="str">
        <x:v>待确认</x:v>
      </x:c>
      <x:c r="D39" s="18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9"/>
      <x:c r="M39" s="18" t="str"/>
      <x:c r="N39" s="13" t="str">
        <x:v>未开始</x:v>
      </x:c>
    </x:row>
    <x:row r="40">
      <x:c r="A40" s="13" t="str">
        <x:v>MAT-035</x:v>
      </x:c>
      <x:c r="B40" s="18" t="str"/>
      <x:c r="C40" s="18" t="str">
        <x:v>待确认</x:v>
      </x:c>
      <x:c r="D40" s="18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9"/>
      <x:c r="M40" s="18" t="str"/>
      <x:c r="N40" s="13" t="str">
        <x:v>未开始</x:v>
      </x:c>
    </x:row>
    <x:row r="41">
      <x:c r="A41" s="13" t="str">
        <x:v>MAT-036</x:v>
      </x:c>
      <x:c r="B41" s="18" t="str"/>
      <x:c r="C41" s="18" t="str">
        <x:v>待确认</x:v>
      </x:c>
      <x:c r="D41" s="18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9"/>
      <x:c r="M41" s="18" t="str"/>
      <x:c r="N41" s="13" t="str">
        <x:v>未开始</x:v>
      </x:c>
    </x:row>
    <x:row r="42">
      <x:c r="A42" s="13" t="str">
        <x:v>MAT-037</x:v>
      </x:c>
      <x:c r="B42" s="18" t="str"/>
      <x:c r="C42" s="18" t="str">
        <x:v>待确认</x:v>
      </x:c>
      <x:c r="D42" s="18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9"/>
      <x:c r="M42" s="18" t="str"/>
      <x:c r="N42" s="13" t="str">
        <x:v>未开始</x:v>
      </x:c>
    </x:row>
    <x:row r="43">
      <x:c r="A43" s="13" t="str">
        <x:v>MAT-038</x:v>
      </x:c>
      <x:c r="B43" s="18" t="str"/>
      <x:c r="C43" s="18" t="str">
        <x:v>待确认</x:v>
      </x:c>
      <x:c r="D43" s="18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9"/>
      <x:c r="M43" s="18" t="str"/>
      <x:c r="N43" s="13" t="str">
        <x:v>未开始</x:v>
      </x:c>
    </x:row>
    <x:row r="44">
      <x:c r="A44" s="13" t="str">
        <x:v>MAT-039</x:v>
      </x:c>
      <x:c r="B44" s="18" t="str"/>
      <x:c r="C44" s="18" t="str">
        <x:v>待确认</x:v>
      </x:c>
      <x:c r="D44" s="18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9"/>
      <x:c r="M44" s="18" t="str"/>
      <x:c r="N44" s="13" t="str">
        <x:v>未开始</x:v>
      </x:c>
    </x:row>
    <x:row r="45">
      <x:c r="A45" s="13" t="str">
        <x:v>MAT-040</x:v>
      </x:c>
      <x:c r="B45" s="18" t="str"/>
      <x:c r="C45" s="18" t="str">
        <x:v>待确认</x:v>
      </x:c>
      <x:c r="D45" s="18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9"/>
      <x:c r="M45" s="18" t="str"/>
      <x:c r="N45" s="13" t="str">
        <x:v>未开始</x:v>
      </x:c>
    </x:row>
  </x:sheetData>
  <x:mergeCells>
    <x:mergeCell ref="A1:N1"/>
    <x:mergeCell ref="A2:N2"/>
  </x:mergeCells>
  <x:conditionalFormatting sqref="N6:N45">
    <x:cfRule type="containsText" dxfId="24" priority="1" operator="containsText" text="已完成"/>
    <x:cfRule type="containsText" dxfId="25" priority="2" operator="containsText" text="逾期"/>
    <x:cfRule type="containsText" dxfId="26" priority="3" operator="containsText" text="未开始"/>
  </x:conditionalFormatting>
  <x:dataValidations count="1">
    <x:dataValidation type="list" sqref="N6:N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45d00281ad41f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36" hidden="0" customWidth="1"/>
    <x:col min="4" max="4" width="28" hidden="0" customWidth="1"/>
    <x:col min="5" max="5" width="28" hidden="0" customWidth="1"/>
    <x:col min="6" max="6" width="44" hidden="0" customWidth="1"/>
    <x:col min="7" max="7" width="38" hidden="0" customWidth="1"/>
    <x:col min="8" max="8" width="34" hidden="0" customWidth="1"/>
    <x:col min="9" max="9" width="28" hidden="0" customWidth="1"/>
    <x:col min="10" max="10" width="28" hidden="0" customWidth="1"/>
    <x:col min="11" max="11" width="13" hidden="0" customWidth="1"/>
    <x:col min="12" max="12" width="13" hidden="0" customWidth="1"/>
    <x:col min="13" max="13" width="13" hidden="0" customWidth="1"/>
    <x:col min="14" max="14" width="11" hidden="0" customWidth="1"/>
    <x:col min="15" max="15" width="46" hidden="0" customWidth="1"/>
  </x:cols>
  <x:sheetData>
    <x:row r="1" ht="30" customHeight="1">
      <x:c r="A1" s="1" t="str">
        <x:v>Accounting Memo清单</x:v>
      </x:c>
    </x:row>
    <x:row r="2" ht="25" customHeight="1">
      <x:c r="A2" s="3" t="str">
        <x:v>Memo记录事实、规则、方案、影响、建议和批准；不是把结论倒写。</x:v>
      </x:c>
    </x:row>
    <x:row r="5" ht="36" customHeight="1">
      <x:c r="A5" s="9" t="str">
        <x:v>Memo编号</x:v>
      </x:c>
      <x:c r="B5" s="9" t="str">
        <x:v>事项背景</x:v>
      </x:c>
      <x:c r="C5" s="9" t="str">
        <x:v>关键事实</x:v>
      </x:c>
      <x:c r="D5" s="9" t="str">
        <x:v>会计问题</x:v>
      </x:c>
      <x:c r="E5" s="9" t="str">
        <x:v>适用准则</x:v>
      </x:c>
      <x:c r="F5" s="9" t="str">
        <x:v>分析</x:v>
      </x:c>
      <x:c r="G5" s="9" t="str">
        <x:v>备选方案</x:v>
      </x:c>
      <x:c r="H5" s="9" t="str">
        <x:v>建议</x:v>
      </x:c>
      <x:c r="I5" s="9" t="str">
        <x:v>报表影响</x:v>
      </x:c>
      <x:c r="J5" s="9" t="str">
        <x:v>税务影响</x:v>
      </x:c>
      <x:c r="K5" s="9" t="str">
        <x:v>编制人</x:v>
      </x:c>
      <x:c r="L5" s="9" t="str">
        <x:v>复核人</x:v>
      </x:c>
      <x:c r="M5" s="9" t="str">
        <x:v>批准人</x:v>
      </x:c>
      <x:c r="N5" s="9" t="str">
        <x:v>状态</x:v>
      </x:c>
      <x:c r="O5" s="9" t="str">
        <x:v>文件路径</x:v>
      </x:c>
    </x:row>
    <x:row r="6">
      <x:c r="A6" s="13" t="str">
        <x:v>MEMO-001</x:v>
      </x:c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>
        <x:v>草稿</x:v>
      </x:c>
      <x:c r="O6" s="18" t="str"/>
    </x:row>
    <x:row r="7">
      <x:c r="A7" s="13" t="str">
        <x:v>MEMO-002</x:v>
      </x:c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>
        <x:v>草稿</x:v>
      </x:c>
      <x:c r="O7" s="18" t="str"/>
    </x:row>
    <x:row r="8">
      <x:c r="A8" s="13" t="str">
        <x:v>MEMO-003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>
        <x:v>草稿</x:v>
      </x:c>
      <x:c r="O8" s="18" t="str"/>
    </x:row>
    <x:row r="9">
      <x:c r="A9" s="13" t="str">
        <x:v>MEMO-004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>
        <x:v>草稿</x:v>
      </x:c>
      <x:c r="O9" s="18" t="str"/>
    </x:row>
    <x:row r="10">
      <x:c r="A10" s="13" t="str">
        <x:v>MEMO-005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>
        <x:v>草稿</x:v>
      </x:c>
      <x:c r="O10" s="18" t="str"/>
    </x:row>
    <x:row r="11">
      <x:c r="A11" s="13" t="str">
        <x:v>MEMO-006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>
        <x:v>草稿</x:v>
      </x:c>
      <x:c r="O11" s="18" t="str"/>
    </x:row>
    <x:row r="12">
      <x:c r="A12" s="13" t="str">
        <x:v>MEMO-007</x:v>
      </x:c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>
        <x:v>草稿</x:v>
      </x:c>
      <x:c r="O12" s="18" t="str"/>
    </x:row>
    <x:row r="13">
      <x:c r="A13" s="13" t="str">
        <x:v>MEMO-008</x:v>
      </x:c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>
        <x:v>草稿</x:v>
      </x:c>
      <x:c r="O13" s="18" t="str"/>
    </x:row>
    <x:row r="14">
      <x:c r="A14" s="13" t="str">
        <x:v>MEMO-009</x:v>
      </x:c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>
        <x:v>草稿</x:v>
      </x:c>
      <x:c r="O14" s="18" t="str"/>
    </x:row>
    <x:row r="15">
      <x:c r="A15" s="13" t="str">
        <x:v>MEMO-010</x:v>
      </x:c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>
        <x:v>草稿</x:v>
      </x:c>
      <x:c r="O15" s="18" t="str"/>
    </x:row>
    <x:row r="16">
      <x:c r="A16" s="13" t="str">
        <x:v>MEMO-011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>
        <x:v>草稿</x:v>
      </x:c>
      <x:c r="O16" s="18" t="str"/>
    </x:row>
    <x:row r="17">
      <x:c r="A17" s="13" t="str">
        <x:v>MEMO-012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>
        <x:v>草稿</x:v>
      </x:c>
      <x:c r="O17" s="18" t="str"/>
    </x:row>
    <x:row r="18">
      <x:c r="A18" s="13" t="str">
        <x:v>MEMO-013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>
        <x:v>草稿</x:v>
      </x:c>
      <x:c r="O18" s="18" t="str"/>
    </x:row>
    <x:row r="19">
      <x:c r="A19" s="13" t="str">
        <x:v>MEMO-014</x:v>
      </x:c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>
        <x:v>草稿</x:v>
      </x:c>
      <x:c r="O19" s="18" t="str"/>
    </x:row>
    <x:row r="20">
      <x:c r="A20" s="13" t="str">
        <x:v>MEMO-015</x:v>
      </x:c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>
        <x:v>草稿</x:v>
      </x:c>
      <x:c r="O20" s="18" t="str"/>
    </x:row>
    <x:row r="21">
      <x:c r="A21" s="13" t="str">
        <x:v>MEMO-016</x:v>
      </x:c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  <x:c r="N21" s="18" t="str">
        <x:v>草稿</x:v>
      </x:c>
      <x:c r="O21" s="18" t="str"/>
    </x:row>
    <x:row r="22">
      <x:c r="A22" s="13" t="str">
        <x:v>MEMO-017</x:v>
      </x:c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>
        <x:v>草稿</x:v>
      </x:c>
      <x:c r="O22" s="18" t="str"/>
    </x:row>
    <x:row r="23">
      <x:c r="A23" s="13" t="str">
        <x:v>MEMO-018</x:v>
      </x:c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  <x:c r="N23" s="18" t="str">
        <x:v>草稿</x:v>
      </x:c>
      <x:c r="O23" s="18" t="str"/>
    </x:row>
    <x:row r="24">
      <x:c r="A24" s="13" t="str">
        <x:v>MEMO-019</x:v>
      </x:c>
      <x:c r="B24" s="18" t="str"/>
      <x:c r="C24" s="18" t="str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>
        <x:v>草稿</x:v>
      </x:c>
      <x:c r="O24" s="18" t="str"/>
    </x:row>
    <x:row r="25">
      <x:c r="A25" s="13" t="str">
        <x:v>MEMO-020</x:v>
      </x:c>
      <x:c r="B25" s="18" t="str"/>
      <x:c r="C25" s="18" t="str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>
        <x:v>草稿</x:v>
      </x:c>
      <x:c r="O25" s="18" t="str"/>
    </x:row>
    <x:row r="26">
      <x:c r="A26" s="13" t="str">
        <x:v>MEMO-021</x:v>
      </x:c>
      <x:c r="B26" s="18" t="str"/>
      <x:c r="C26" s="18" t="str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>
        <x:v>草稿</x:v>
      </x:c>
      <x:c r="O26" s="18" t="str"/>
    </x:row>
    <x:row r="27">
      <x:c r="A27" s="13" t="str">
        <x:v>MEMO-022</x:v>
      </x:c>
      <x:c r="B27" s="18" t="str"/>
      <x:c r="C27" s="18" t="str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  <x:c r="N27" s="18" t="str">
        <x:v>草稿</x:v>
      </x:c>
      <x:c r="O27" s="18" t="str"/>
    </x:row>
    <x:row r="28">
      <x:c r="A28" s="13" t="str">
        <x:v>MEMO-023</x:v>
      </x:c>
      <x:c r="B28" s="18" t="str"/>
      <x:c r="C28" s="18" t="str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>
        <x:v>草稿</x:v>
      </x:c>
      <x:c r="O28" s="18" t="str"/>
    </x:row>
    <x:row r="29">
      <x:c r="A29" s="13" t="str">
        <x:v>MEMO-024</x:v>
      </x:c>
      <x:c r="B29" s="18" t="str"/>
      <x:c r="C29" s="18" t="str"/>
      <x:c r="D29" s="18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>
        <x:v>草稿</x:v>
      </x:c>
      <x:c r="O29" s="18" t="str"/>
    </x:row>
    <x:row r="30">
      <x:c r="A30" s="13" t="str">
        <x:v>MEMO-025</x:v>
      </x:c>
      <x:c r="B30" s="18" t="str"/>
      <x:c r="C30" s="18" t="str"/>
      <x:c r="D30" s="18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>
        <x:v>草稿</x:v>
      </x:c>
      <x:c r="O30" s="18" t="str"/>
    </x:row>
    <x:row r="31">
      <x:c r="A31" s="13" t="str">
        <x:v>MEMO-026</x:v>
      </x:c>
      <x:c r="B31" s="18" t="str"/>
      <x:c r="C31" s="18" t="str"/>
      <x:c r="D31" s="18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>
        <x:v>草稿</x:v>
      </x:c>
      <x:c r="O31" s="18" t="str"/>
    </x:row>
    <x:row r="32">
      <x:c r="A32" s="13" t="str">
        <x:v>MEMO-027</x:v>
      </x:c>
      <x:c r="B32" s="18" t="str"/>
      <x:c r="C32" s="18" t="str"/>
      <x:c r="D32" s="18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>
        <x:v>草稿</x:v>
      </x:c>
      <x:c r="O32" s="18" t="str"/>
    </x:row>
    <x:row r="33">
      <x:c r="A33" s="13" t="str">
        <x:v>MEMO-028</x:v>
      </x:c>
      <x:c r="B33" s="18" t="str"/>
      <x:c r="C33" s="18" t="str"/>
      <x:c r="D33" s="18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>
        <x:v>草稿</x:v>
      </x:c>
      <x:c r="O33" s="18" t="str"/>
    </x:row>
    <x:row r="34">
      <x:c r="A34" s="13" t="str">
        <x:v>MEMO-029</x:v>
      </x:c>
      <x:c r="B34" s="18" t="str"/>
      <x:c r="C34" s="18" t="str"/>
      <x:c r="D34" s="18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>
        <x:v>草稿</x:v>
      </x:c>
      <x:c r="O34" s="18" t="str"/>
    </x:row>
    <x:row r="35">
      <x:c r="A35" s="13" t="str">
        <x:v>MEMO-030</x:v>
      </x:c>
      <x:c r="B35" s="18" t="str"/>
      <x:c r="C35" s="18" t="str"/>
      <x:c r="D35" s="18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>
        <x:v>草稿</x:v>
      </x:c>
      <x:c r="O35" s="18" t="str"/>
    </x:row>
  </x:sheetData>
  <x:mergeCells>
    <x:mergeCell ref="A1:O1"/>
    <x:mergeCell ref="A2:O2"/>
  </x:mergeCells>
  <x:dataValidations count="1">
    <x:dataValidation type="list" sqref="N6:N35">
      <x:formula1>"草稿,待复核,待批准,已批准,已归档"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df16be5acb449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6" hidden="0" customWidth="1"/>
    <x:col min="8" max="8" width="34" hidden="0" customWidth="1"/>
    <x:col min="9" max="9" width="24" hidden="0" customWidth="1"/>
    <x:col min="10" max="10" width="11" hidden="0" customWidth="1"/>
    <x:col min="11" max="11" width="30" hidden="0" customWidth="1"/>
  </x:cols>
  <x:sheetData>
    <x:row r="1" ht="30" customHeight="1">
      <x:c r="A1" s="1" t="str">
        <x:v>财务团队工作分配表</x:v>
      </x:c>
    </x:row>
    <x:row r="2" ht="25" customHeight="1">
      <x:c r="A2" s="3" t="str">
        <x:v>管理容量、主备岗、频率、截止和完成证据。</x:v>
      </x:c>
    </x:row>
    <x:row r="5" ht="36" customHeight="1">
      <x:c r="A5" s="9" t="str">
        <x:v>任务编号</x:v>
      </x:c>
      <x:c r="B5" s="9" t="str">
        <x:v>任务</x:v>
      </x:c>
      <x:c r="C5" s="9" t="str">
        <x:v>主岗</x:v>
      </x:c>
      <x:c r="D5" s="9" t="str">
        <x:v>备岗</x:v>
      </x:c>
      <x:c r="E5" s="9" t="str">
        <x:v>频率</x:v>
      </x:c>
      <x:c r="F5" s="9" t="str">
        <x:v>计划工时</x:v>
      </x:c>
      <x:c r="G5" s="9" t="str">
        <x:v>截止</x:v>
      </x:c>
      <x:c r="H5" s="9" t="str">
        <x:v>完成证据</x:v>
      </x:c>
      <x:c r="I5" s="9" t="str">
        <x:v>风险</x:v>
      </x:c>
      <x:c r="J5" s="9" t="str">
        <x:v>本期状态</x:v>
      </x:c>
      <x:c r="K5" s="9" t="str">
        <x:v>备注</x:v>
      </x:c>
    </x:row>
    <x:row r="6">
      <x:c r="A6" s="13" t="str">
        <x:v>WK-001</x:v>
      </x:c>
      <x:c r="B6" s="18" t="str"/>
      <x:c r="C6" s="18" t="str"/>
      <x:c r="D6" s="18" t="str"/>
      <x:c r="E6" s="18" t="str"/>
      <x:c r="F6" s="18" t="str"/>
      <x:c r="G6" s="17"/>
      <x:c r="H6" s="18" t="str"/>
      <x:c r="I6" s="18" t="str"/>
      <x:c r="J6" s="18" t="str">
        <x:v>未开始</x:v>
      </x:c>
      <x:c r="K6" s="18" t="str"/>
    </x:row>
    <x:row r="7">
      <x:c r="A7" s="13" t="str">
        <x:v>WK-002</x:v>
      </x:c>
      <x:c r="B7" s="18" t="str"/>
      <x:c r="C7" s="18" t="str"/>
      <x:c r="D7" s="18" t="str"/>
      <x:c r="E7" s="18" t="str"/>
      <x:c r="F7" s="18" t="str"/>
      <x:c r="G7" s="17"/>
      <x:c r="H7" s="18" t="str"/>
      <x:c r="I7" s="18" t="str"/>
      <x:c r="J7" s="18" t="str">
        <x:v>未开始</x:v>
      </x:c>
      <x:c r="K7" s="18" t="str"/>
    </x:row>
    <x:row r="8">
      <x:c r="A8" s="13" t="str">
        <x:v>WK-003</x:v>
      </x:c>
      <x:c r="B8" s="18" t="str"/>
      <x:c r="C8" s="18" t="str"/>
      <x:c r="D8" s="18" t="str"/>
      <x:c r="E8" s="18" t="str"/>
      <x:c r="F8" s="18" t="str"/>
      <x:c r="G8" s="17"/>
      <x:c r="H8" s="18" t="str"/>
      <x:c r="I8" s="18" t="str"/>
      <x:c r="J8" s="18" t="str">
        <x:v>未开始</x:v>
      </x:c>
      <x:c r="K8" s="18" t="str"/>
    </x:row>
    <x:row r="9">
      <x:c r="A9" s="13" t="str">
        <x:v>WK-004</x:v>
      </x:c>
      <x:c r="B9" s="18" t="str"/>
      <x:c r="C9" s="18" t="str"/>
      <x:c r="D9" s="18" t="str"/>
      <x:c r="E9" s="18" t="str"/>
      <x:c r="F9" s="18" t="str"/>
      <x:c r="G9" s="17"/>
      <x:c r="H9" s="18" t="str"/>
      <x:c r="I9" s="18" t="str"/>
      <x:c r="J9" s="18" t="str">
        <x:v>未开始</x:v>
      </x:c>
      <x:c r="K9" s="18" t="str"/>
    </x:row>
    <x:row r="10">
      <x:c r="A10" s="13" t="str">
        <x:v>WK-005</x:v>
      </x:c>
      <x:c r="B10" s="18" t="str"/>
      <x:c r="C10" s="18" t="str"/>
      <x:c r="D10" s="18" t="str"/>
      <x:c r="E10" s="18" t="str"/>
      <x:c r="F10" s="18" t="str"/>
      <x:c r="G10" s="17"/>
      <x:c r="H10" s="18" t="str"/>
      <x:c r="I10" s="18" t="str"/>
      <x:c r="J10" s="18" t="str">
        <x:v>未开始</x:v>
      </x:c>
      <x:c r="K10" s="18" t="str"/>
    </x:row>
    <x:row r="11">
      <x:c r="A11" s="13" t="str">
        <x:v>WK-006</x:v>
      </x:c>
      <x:c r="B11" s="18" t="str"/>
      <x:c r="C11" s="18" t="str"/>
      <x:c r="D11" s="18" t="str"/>
      <x:c r="E11" s="18" t="str"/>
      <x:c r="F11" s="18" t="str"/>
      <x:c r="G11" s="17"/>
      <x:c r="H11" s="18" t="str"/>
      <x:c r="I11" s="18" t="str"/>
      <x:c r="J11" s="18" t="str">
        <x:v>未开始</x:v>
      </x:c>
      <x:c r="K11" s="18" t="str"/>
    </x:row>
    <x:row r="12">
      <x:c r="A12" s="13" t="str">
        <x:v>WK-007</x:v>
      </x:c>
      <x:c r="B12" s="18" t="str"/>
      <x:c r="C12" s="18" t="str"/>
      <x:c r="D12" s="18" t="str"/>
      <x:c r="E12" s="18" t="str"/>
      <x:c r="F12" s="18" t="str"/>
      <x:c r="G12" s="17"/>
      <x:c r="H12" s="18" t="str"/>
      <x:c r="I12" s="18" t="str"/>
      <x:c r="J12" s="18" t="str">
        <x:v>未开始</x:v>
      </x:c>
      <x:c r="K12" s="18" t="str"/>
    </x:row>
    <x:row r="13">
      <x:c r="A13" s="13" t="str">
        <x:v>WK-008</x:v>
      </x:c>
      <x:c r="B13" s="18" t="str"/>
      <x:c r="C13" s="18" t="str"/>
      <x:c r="D13" s="18" t="str"/>
      <x:c r="E13" s="18" t="str"/>
      <x:c r="F13" s="18" t="str"/>
      <x:c r="G13" s="17"/>
      <x:c r="H13" s="18" t="str"/>
      <x:c r="I13" s="18" t="str"/>
      <x:c r="J13" s="18" t="str">
        <x:v>未开始</x:v>
      </x:c>
      <x:c r="K13" s="18" t="str"/>
    </x:row>
    <x:row r="14">
      <x:c r="A14" s="13" t="str">
        <x:v>WK-009</x:v>
      </x:c>
      <x:c r="B14" s="18" t="str"/>
      <x:c r="C14" s="18" t="str"/>
      <x:c r="D14" s="18" t="str"/>
      <x:c r="E14" s="18" t="str"/>
      <x:c r="F14" s="18" t="str"/>
      <x:c r="G14" s="17"/>
      <x:c r="H14" s="18" t="str"/>
      <x:c r="I14" s="18" t="str"/>
      <x:c r="J14" s="18" t="str">
        <x:v>未开始</x:v>
      </x:c>
      <x:c r="K14" s="18" t="str"/>
    </x:row>
    <x:row r="15">
      <x:c r="A15" s="13" t="str">
        <x:v>WK-010</x:v>
      </x:c>
      <x:c r="B15" s="18" t="str"/>
      <x:c r="C15" s="18" t="str"/>
      <x:c r="D15" s="18" t="str"/>
      <x:c r="E15" s="18" t="str"/>
      <x:c r="F15" s="18" t="str"/>
      <x:c r="G15" s="17"/>
      <x:c r="H15" s="18" t="str"/>
      <x:c r="I15" s="18" t="str"/>
      <x:c r="J15" s="18" t="str">
        <x:v>未开始</x:v>
      </x:c>
      <x:c r="K15" s="18" t="str"/>
    </x:row>
    <x:row r="16">
      <x:c r="A16" s="13" t="str">
        <x:v>WK-011</x:v>
      </x:c>
      <x:c r="B16" s="18" t="str"/>
      <x:c r="C16" s="18" t="str"/>
      <x:c r="D16" s="18" t="str"/>
      <x:c r="E16" s="18" t="str"/>
      <x:c r="F16" s="18" t="str"/>
      <x:c r="G16" s="17"/>
      <x:c r="H16" s="18" t="str"/>
      <x:c r="I16" s="18" t="str"/>
      <x:c r="J16" s="18" t="str">
        <x:v>未开始</x:v>
      </x:c>
      <x:c r="K16" s="18" t="str"/>
    </x:row>
    <x:row r="17">
      <x:c r="A17" s="13" t="str">
        <x:v>WK-012</x:v>
      </x:c>
      <x:c r="B17" s="18" t="str"/>
      <x:c r="C17" s="18" t="str"/>
      <x:c r="D17" s="18" t="str"/>
      <x:c r="E17" s="18" t="str"/>
      <x:c r="F17" s="18" t="str"/>
      <x:c r="G17" s="17"/>
      <x:c r="H17" s="18" t="str"/>
      <x:c r="I17" s="18" t="str"/>
      <x:c r="J17" s="18" t="str">
        <x:v>未开始</x:v>
      </x:c>
      <x:c r="K17" s="18" t="str"/>
    </x:row>
    <x:row r="18">
      <x:c r="A18" s="13" t="str">
        <x:v>WK-013</x:v>
      </x:c>
      <x:c r="B18" s="18" t="str"/>
      <x:c r="C18" s="18" t="str"/>
      <x:c r="D18" s="18" t="str"/>
      <x:c r="E18" s="18" t="str"/>
      <x:c r="F18" s="18" t="str"/>
      <x:c r="G18" s="17"/>
      <x:c r="H18" s="18" t="str"/>
      <x:c r="I18" s="18" t="str"/>
      <x:c r="J18" s="18" t="str">
        <x:v>未开始</x:v>
      </x:c>
      <x:c r="K18" s="18" t="str"/>
    </x:row>
    <x:row r="19">
      <x:c r="A19" s="13" t="str">
        <x:v>WK-014</x:v>
      </x:c>
      <x:c r="B19" s="18" t="str"/>
      <x:c r="C19" s="18" t="str"/>
      <x:c r="D19" s="18" t="str"/>
      <x:c r="E19" s="18" t="str"/>
      <x:c r="F19" s="18" t="str"/>
      <x:c r="G19" s="17"/>
      <x:c r="H19" s="18" t="str"/>
      <x:c r="I19" s="18" t="str"/>
      <x:c r="J19" s="18" t="str">
        <x:v>未开始</x:v>
      </x:c>
      <x:c r="K19" s="18" t="str"/>
    </x:row>
    <x:row r="20">
      <x:c r="A20" s="13" t="str">
        <x:v>WK-015</x:v>
      </x:c>
      <x:c r="B20" s="18" t="str"/>
      <x:c r="C20" s="18" t="str"/>
      <x:c r="D20" s="18" t="str"/>
      <x:c r="E20" s="18" t="str"/>
      <x:c r="F20" s="18" t="str"/>
      <x:c r="G20" s="17"/>
      <x:c r="H20" s="18" t="str"/>
      <x:c r="I20" s="18" t="str"/>
      <x:c r="J20" s="18" t="str">
        <x:v>未开始</x:v>
      </x:c>
      <x:c r="K20" s="18" t="str"/>
    </x:row>
    <x:row r="21">
      <x:c r="A21" s="13" t="str">
        <x:v>WK-016</x:v>
      </x:c>
      <x:c r="B21" s="18" t="str"/>
      <x:c r="C21" s="18" t="str"/>
      <x:c r="D21" s="18" t="str"/>
      <x:c r="E21" s="18" t="str"/>
      <x:c r="F21" s="18" t="str"/>
      <x:c r="G21" s="17"/>
      <x:c r="H21" s="18" t="str"/>
      <x:c r="I21" s="18" t="str"/>
      <x:c r="J21" s="18" t="str">
        <x:v>未开始</x:v>
      </x:c>
      <x:c r="K21" s="18" t="str"/>
    </x:row>
    <x:row r="22">
      <x:c r="A22" s="13" t="str">
        <x:v>WK-017</x:v>
      </x:c>
      <x:c r="B22" s="18" t="str"/>
      <x:c r="C22" s="18" t="str"/>
      <x:c r="D22" s="18" t="str"/>
      <x:c r="E22" s="18" t="str"/>
      <x:c r="F22" s="18" t="str"/>
      <x:c r="G22" s="17"/>
      <x:c r="H22" s="18" t="str"/>
      <x:c r="I22" s="18" t="str"/>
      <x:c r="J22" s="18" t="str">
        <x:v>未开始</x:v>
      </x:c>
      <x:c r="K22" s="18" t="str"/>
    </x:row>
    <x:row r="23">
      <x:c r="A23" s="13" t="str">
        <x:v>WK-018</x:v>
      </x:c>
      <x:c r="B23" s="18" t="str"/>
      <x:c r="C23" s="18" t="str"/>
      <x:c r="D23" s="18" t="str"/>
      <x:c r="E23" s="18" t="str"/>
      <x:c r="F23" s="18" t="str"/>
      <x:c r="G23" s="17"/>
      <x:c r="H23" s="18" t="str"/>
      <x:c r="I23" s="18" t="str"/>
      <x:c r="J23" s="18" t="str">
        <x:v>未开始</x:v>
      </x:c>
      <x:c r="K23" s="18" t="str"/>
    </x:row>
    <x:row r="24">
      <x:c r="A24" s="13" t="str">
        <x:v>WK-019</x:v>
      </x:c>
      <x:c r="B24" s="18" t="str"/>
      <x:c r="C24" s="18" t="str"/>
      <x:c r="D24" s="18" t="str"/>
      <x:c r="E24" s="18" t="str"/>
      <x:c r="F24" s="18" t="str"/>
      <x:c r="G24" s="17"/>
      <x:c r="H24" s="18" t="str"/>
      <x:c r="I24" s="18" t="str"/>
      <x:c r="J24" s="18" t="str">
        <x:v>未开始</x:v>
      </x:c>
      <x:c r="K24" s="18" t="str"/>
    </x:row>
    <x:row r="25">
      <x:c r="A25" s="13" t="str">
        <x:v>WK-020</x:v>
      </x:c>
      <x:c r="B25" s="18" t="str"/>
      <x:c r="C25" s="18" t="str"/>
      <x:c r="D25" s="18" t="str"/>
      <x:c r="E25" s="18" t="str"/>
      <x:c r="F25" s="18" t="str"/>
      <x:c r="G25" s="17"/>
      <x:c r="H25" s="18" t="str"/>
      <x:c r="I25" s="18" t="str"/>
      <x:c r="J25" s="18" t="str">
        <x:v>未开始</x:v>
      </x:c>
      <x:c r="K25" s="18" t="str"/>
    </x:row>
    <x:row r="26">
      <x:c r="A26" s="13" t="str">
        <x:v>WK-021</x:v>
      </x:c>
      <x:c r="B26" s="18" t="str"/>
      <x:c r="C26" s="18" t="str"/>
      <x:c r="D26" s="18" t="str"/>
      <x:c r="E26" s="18" t="str"/>
      <x:c r="F26" s="18" t="str"/>
      <x:c r="G26" s="17"/>
      <x:c r="H26" s="18" t="str"/>
      <x:c r="I26" s="18" t="str"/>
      <x:c r="J26" s="18" t="str">
        <x:v>未开始</x:v>
      </x:c>
      <x:c r="K26" s="18" t="str"/>
    </x:row>
    <x:row r="27">
      <x:c r="A27" s="13" t="str">
        <x:v>WK-022</x:v>
      </x:c>
      <x:c r="B27" s="18" t="str"/>
      <x:c r="C27" s="18" t="str"/>
      <x:c r="D27" s="18" t="str"/>
      <x:c r="E27" s="18" t="str"/>
      <x:c r="F27" s="18" t="str"/>
      <x:c r="G27" s="17"/>
      <x:c r="H27" s="18" t="str"/>
      <x:c r="I27" s="18" t="str"/>
      <x:c r="J27" s="18" t="str">
        <x:v>未开始</x:v>
      </x:c>
      <x:c r="K27" s="18" t="str"/>
    </x:row>
    <x:row r="28">
      <x:c r="A28" s="13" t="str">
        <x:v>WK-023</x:v>
      </x:c>
      <x:c r="B28" s="18" t="str"/>
      <x:c r="C28" s="18" t="str"/>
      <x:c r="D28" s="18" t="str"/>
      <x:c r="E28" s="18" t="str"/>
      <x:c r="F28" s="18" t="str"/>
      <x:c r="G28" s="17"/>
      <x:c r="H28" s="18" t="str"/>
      <x:c r="I28" s="18" t="str"/>
      <x:c r="J28" s="18" t="str">
        <x:v>未开始</x:v>
      </x:c>
      <x:c r="K28" s="18" t="str"/>
    </x:row>
    <x:row r="29">
      <x:c r="A29" s="13" t="str">
        <x:v>WK-024</x:v>
      </x:c>
      <x:c r="B29" s="18" t="str"/>
      <x:c r="C29" s="18" t="str"/>
      <x:c r="D29" s="18" t="str"/>
      <x:c r="E29" s="18" t="str"/>
      <x:c r="F29" s="18" t="str"/>
      <x:c r="G29" s="17"/>
      <x:c r="H29" s="18" t="str"/>
      <x:c r="I29" s="18" t="str"/>
      <x:c r="J29" s="18" t="str">
        <x:v>未开始</x:v>
      </x:c>
      <x:c r="K29" s="18" t="str"/>
    </x:row>
    <x:row r="30">
      <x:c r="A30" s="13" t="str">
        <x:v>WK-025</x:v>
      </x:c>
      <x:c r="B30" s="18" t="str"/>
      <x:c r="C30" s="18" t="str"/>
      <x:c r="D30" s="18" t="str"/>
      <x:c r="E30" s="18" t="str"/>
      <x:c r="F30" s="18" t="str"/>
      <x:c r="G30" s="17"/>
      <x:c r="H30" s="18" t="str"/>
      <x:c r="I30" s="18" t="str"/>
      <x:c r="J30" s="18" t="str">
        <x:v>未开始</x:v>
      </x:c>
      <x:c r="K30" s="18" t="str"/>
    </x:row>
    <x:row r="31">
      <x:c r="A31" s="13" t="str">
        <x:v>WK-026</x:v>
      </x:c>
      <x:c r="B31" s="18" t="str"/>
      <x:c r="C31" s="18" t="str"/>
      <x:c r="D31" s="18" t="str"/>
      <x:c r="E31" s="18" t="str"/>
      <x:c r="F31" s="18" t="str"/>
      <x:c r="G31" s="17"/>
      <x:c r="H31" s="18" t="str"/>
      <x:c r="I31" s="18" t="str"/>
      <x:c r="J31" s="18" t="str">
        <x:v>未开始</x:v>
      </x:c>
      <x:c r="K31" s="18" t="str"/>
    </x:row>
    <x:row r="32">
      <x:c r="A32" s="13" t="str">
        <x:v>WK-027</x:v>
      </x:c>
      <x:c r="B32" s="18" t="str"/>
      <x:c r="C32" s="18" t="str"/>
      <x:c r="D32" s="18" t="str"/>
      <x:c r="E32" s="18" t="str"/>
      <x:c r="F32" s="18" t="str"/>
      <x:c r="G32" s="17"/>
      <x:c r="H32" s="18" t="str"/>
      <x:c r="I32" s="18" t="str"/>
      <x:c r="J32" s="18" t="str">
        <x:v>未开始</x:v>
      </x:c>
      <x:c r="K32" s="18" t="str"/>
    </x:row>
    <x:row r="33">
      <x:c r="A33" s="13" t="str">
        <x:v>WK-028</x:v>
      </x:c>
      <x:c r="B33" s="18" t="str"/>
      <x:c r="C33" s="18" t="str"/>
      <x:c r="D33" s="18" t="str"/>
      <x:c r="E33" s="18" t="str"/>
      <x:c r="F33" s="18" t="str"/>
      <x:c r="G33" s="17"/>
      <x:c r="H33" s="18" t="str"/>
      <x:c r="I33" s="18" t="str"/>
      <x:c r="J33" s="18" t="str">
        <x:v>未开始</x:v>
      </x:c>
      <x:c r="K33" s="18" t="str"/>
    </x:row>
    <x:row r="34">
      <x:c r="A34" s="13" t="str">
        <x:v>WK-029</x:v>
      </x:c>
      <x:c r="B34" s="18" t="str"/>
      <x:c r="C34" s="18" t="str"/>
      <x:c r="D34" s="18" t="str"/>
      <x:c r="E34" s="18" t="str"/>
      <x:c r="F34" s="18" t="str"/>
      <x:c r="G34" s="17"/>
      <x:c r="H34" s="18" t="str"/>
      <x:c r="I34" s="18" t="str"/>
      <x:c r="J34" s="18" t="str">
        <x:v>未开始</x:v>
      </x:c>
      <x:c r="K34" s="18" t="str"/>
    </x:row>
    <x:row r="35">
      <x:c r="A35" s="13" t="str">
        <x:v>WK-030</x:v>
      </x:c>
      <x:c r="B35" s="18" t="str"/>
      <x:c r="C35" s="18" t="str"/>
      <x:c r="D35" s="18" t="str"/>
      <x:c r="E35" s="18" t="str"/>
      <x:c r="F35" s="18" t="str"/>
      <x:c r="G35" s="17"/>
      <x:c r="H35" s="18" t="str"/>
      <x:c r="I35" s="18" t="str"/>
      <x:c r="J35" s="18" t="str">
        <x:v>未开始</x:v>
      </x:c>
      <x:c r="K35" s="18" t="str"/>
    </x:row>
    <x:row r="36">
      <x:c r="A36" s="13" t="str">
        <x:v>WK-031</x:v>
      </x:c>
      <x:c r="B36" s="18" t="str"/>
      <x:c r="C36" s="18" t="str"/>
      <x:c r="D36" s="18" t="str"/>
      <x:c r="E36" s="18" t="str"/>
      <x:c r="F36" s="18" t="str"/>
      <x:c r="G36" s="17"/>
      <x:c r="H36" s="18" t="str"/>
      <x:c r="I36" s="18" t="str"/>
      <x:c r="J36" s="18" t="str">
        <x:v>未开始</x:v>
      </x:c>
      <x:c r="K36" s="18" t="str"/>
    </x:row>
    <x:row r="37">
      <x:c r="A37" s="13" t="str">
        <x:v>WK-032</x:v>
      </x:c>
      <x:c r="B37" s="18" t="str"/>
      <x:c r="C37" s="18" t="str"/>
      <x:c r="D37" s="18" t="str"/>
      <x:c r="E37" s="18" t="str"/>
      <x:c r="F37" s="18" t="str"/>
      <x:c r="G37" s="17"/>
      <x:c r="H37" s="18" t="str"/>
      <x:c r="I37" s="18" t="str"/>
      <x:c r="J37" s="18" t="str">
        <x:v>未开始</x:v>
      </x:c>
      <x:c r="K37" s="18" t="str"/>
    </x:row>
    <x:row r="38">
      <x:c r="A38" s="13" t="str">
        <x:v>WK-033</x:v>
      </x:c>
      <x:c r="B38" s="18" t="str"/>
      <x:c r="C38" s="18" t="str"/>
      <x:c r="D38" s="18" t="str"/>
      <x:c r="E38" s="18" t="str"/>
      <x:c r="F38" s="18" t="str"/>
      <x:c r="G38" s="17"/>
      <x:c r="H38" s="18" t="str"/>
      <x:c r="I38" s="18" t="str"/>
      <x:c r="J38" s="18" t="str">
        <x:v>未开始</x:v>
      </x:c>
      <x:c r="K38" s="18" t="str"/>
    </x:row>
    <x:row r="39">
      <x:c r="A39" s="13" t="str">
        <x:v>WK-034</x:v>
      </x:c>
      <x:c r="B39" s="18" t="str"/>
      <x:c r="C39" s="18" t="str"/>
      <x:c r="D39" s="18" t="str"/>
      <x:c r="E39" s="18" t="str"/>
      <x:c r="F39" s="18" t="str"/>
      <x:c r="G39" s="17"/>
      <x:c r="H39" s="18" t="str"/>
      <x:c r="I39" s="18" t="str"/>
      <x:c r="J39" s="18" t="str">
        <x:v>未开始</x:v>
      </x:c>
      <x:c r="K39" s="18" t="str"/>
    </x:row>
    <x:row r="40">
      <x:c r="A40" s="13" t="str">
        <x:v>WK-035</x:v>
      </x:c>
      <x:c r="B40" s="18" t="str"/>
      <x:c r="C40" s="18" t="str"/>
      <x:c r="D40" s="18" t="str"/>
      <x:c r="E40" s="18" t="str"/>
      <x:c r="F40" s="18" t="str"/>
      <x:c r="G40" s="17"/>
      <x:c r="H40" s="18" t="str"/>
      <x:c r="I40" s="18" t="str"/>
      <x:c r="J40" s="18" t="str">
        <x:v>未开始</x:v>
      </x:c>
      <x:c r="K40" s="18" t="str"/>
    </x:row>
    <x:row r="41">
      <x:c r="A41" s="13" t="str">
        <x:v>WK-036</x:v>
      </x:c>
      <x:c r="B41" s="18" t="str"/>
      <x:c r="C41" s="18" t="str"/>
      <x:c r="D41" s="18" t="str"/>
      <x:c r="E41" s="18" t="str"/>
      <x:c r="F41" s="18" t="str"/>
      <x:c r="G41" s="17"/>
      <x:c r="H41" s="18" t="str"/>
      <x:c r="I41" s="18" t="str"/>
      <x:c r="J41" s="18" t="str">
        <x:v>未开始</x:v>
      </x:c>
      <x:c r="K41" s="18" t="str"/>
    </x:row>
    <x:row r="42">
      <x:c r="A42" s="13" t="str">
        <x:v>WK-037</x:v>
      </x:c>
      <x:c r="B42" s="18" t="str"/>
      <x:c r="C42" s="18" t="str"/>
      <x:c r="D42" s="18" t="str"/>
      <x:c r="E42" s="18" t="str"/>
      <x:c r="F42" s="18" t="str"/>
      <x:c r="G42" s="17"/>
      <x:c r="H42" s="18" t="str"/>
      <x:c r="I42" s="18" t="str"/>
      <x:c r="J42" s="18" t="str">
        <x:v>未开始</x:v>
      </x:c>
      <x:c r="K42" s="18" t="str"/>
    </x:row>
    <x:row r="43">
      <x:c r="A43" s="13" t="str">
        <x:v>WK-038</x:v>
      </x:c>
      <x:c r="B43" s="18" t="str"/>
      <x:c r="C43" s="18" t="str"/>
      <x:c r="D43" s="18" t="str"/>
      <x:c r="E43" s="18" t="str"/>
      <x:c r="F43" s="18" t="str"/>
      <x:c r="G43" s="17"/>
      <x:c r="H43" s="18" t="str"/>
      <x:c r="I43" s="18" t="str"/>
      <x:c r="J43" s="18" t="str">
        <x:v>未开始</x:v>
      </x:c>
      <x:c r="K43" s="18" t="str"/>
    </x:row>
    <x:row r="44">
      <x:c r="A44" s="13" t="str">
        <x:v>WK-039</x:v>
      </x:c>
      <x:c r="B44" s="18" t="str"/>
      <x:c r="C44" s="18" t="str"/>
      <x:c r="D44" s="18" t="str"/>
      <x:c r="E44" s="18" t="str"/>
      <x:c r="F44" s="18" t="str"/>
      <x:c r="G44" s="17"/>
      <x:c r="H44" s="18" t="str"/>
      <x:c r="I44" s="18" t="str"/>
      <x:c r="J44" s="18" t="str">
        <x:v>未开始</x:v>
      </x:c>
      <x:c r="K44" s="18" t="str"/>
    </x:row>
    <x:row r="45">
      <x:c r="A45" s="13" t="str">
        <x:v>WK-040</x:v>
      </x:c>
      <x:c r="B45" s="18" t="str"/>
      <x:c r="C45" s="18" t="str"/>
      <x:c r="D45" s="18" t="str"/>
      <x:c r="E45" s="18" t="str"/>
      <x:c r="F45" s="18" t="str"/>
      <x:c r="G45" s="17"/>
      <x:c r="H45" s="18" t="str"/>
      <x:c r="I45" s="18" t="str"/>
      <x:c r="J45" s="18" t="str">
        <x:v>未开始</x:v>
      </x:c>
      <x:c r="K45" s="18" t="str"/>
    </x:row>
    <x:row r="46">
      <x:c r="A46" s="13" t="str">
        <x:v>WK-041</x:v>
      </x:c>
      <x:c r="B46" s="18" t="str"/>
      <x:c r="C46" s="18" t="str"/>
      <x:c r="D46" s="18" t="str"/>
      <x:c r="E46" s="18" t="str"/>
      <x:c r="F46" s="18" t="str"/>
      <x:c r="G46" s="17"/>
      <x:c r="H46" s="18" t="str"/>
      <x:c r="I46" s="18" t="str"/>
      <x:c r="J46" s="18" t="str">
        <x:v>未开始</x:v>
      </x:c>
      <x:c r="K46" s="18" t="str"/>
    </x:row>
    <x:row r="47">
      <x:c r="A47" s="13" t="str">
        <x:v>WK-042</x:v>
      </x:c>
      <x:c r="B47" s="18" t="str"/>
      <x:c r="C47" s="18" t="str"/>
      <x:c r="D47" s="18" t="str"/>
      <x:c r="E47" s="18" t="str"/>
      <x:c r="F47" s="18" t="str"/>
      <x:c r="G47" s="17"/>
      <x:c r="H47" s="18" t="str"/>
      <x:c r="I47" s="18" t="str"/>
      <x:c r="J47" s="18" t="str">
        <x:v>未开始</x:v>
      </x:c>
      <x:c r="K47" s="18" t="str"/>
    </x:row>
    <x:row r="48">
      <x:c r="A48" s="13" t="str">
        <x:v>WK-043</x:v>
      </x:c>
      <x:c r="B48" s="18" t="str"/>
      <x:c r="C48" s="18" t="str"/>
      <x:c r="D48" s="18" t="str"/>
      <x:c r="E48" s="18" t="str"/>
      <x:c r="F48" s="18" t="str"/>
      <x:c r="G48" s="17"/>
      <x:c r="H48" s="18" t="str"/>
      <x:c r="I48" s="18" t="str"/>
      <x:c r="J48" s="18" t="str">
        <x:v>未开始</x:v>
      </x:c>
      <x:c r="K48" s="18" t="str"/>
    </x:row>
    <x:row r="49">
      <x:c r="A49" s="13" t="str">
        <x:v>WK-044</x:v>
      </x:c>
      <x:c r="B49" s="18" t="str"/>
      <x:c r="C49" s="18" t="str"/>
      <x:c r="D49" s="18" t="str"/>
      <x:c r="E49" s="18" t="str"/>
      <x:c r="F49" s="18" t="str"/>
      <x:c r="G49" s="17"/>
      <x:c r="H49" s="18" t="str"/>
      <x:c r="I49" s="18" t="str"/>
      <x:c r="J49" s="18" t="str">
        <x:v>未开始</x:v>
      </x:c>
      <x:c r="K49" s="18" t="str"/>
    </x:row>
    <x:row r="50">
      <x:c r="A50" s="13" t="str">
        <x:v>WK-045</x:v>
      </x:c>
      <x:c r="B50" s="18" t="str"/>
      <x:c r="C50" s="18" t="str"/>
      <x:c r="D50" s="18" t="str"/>
      <x:c r="E50" s="18" t="str"/>
      <x:c r="F50" s="18" t="str"/>
      <x:c r="G50" s="17"/>
      <x:c r="H50" s="18" t="str"/>
      <x:c r="I50" s="18" t="str"/>
      <x:c r="J50" s="18" t="str">
        <x:v>未开始</x:v>
      </x:c>
      <x:c r="K50" s="18" t="str"/>
    </x:row>
    <x:row r="51">
      <x:c r="A51" s="13" t="str">
        <x:v>WK-046</x:v>
      </x:c>
      <x:c r="B51" s="18" t="str"/>
      <x:c r="C51" s="18" t="str"/>
      <x:c r="D51" s="18" t="str"/>
      <x:c r="E51" s="18" t="str"/>
      <x:c r="F51" s="18" t="str"/>
      <x:c r="G51" s="17"/>
      <x:c r="H51" s="18" t="str"/>
      <x:c r="I51" s="18" t="str"/>
      <x:c r="J51" s="18" t="str">
        <x:v>未开始</x:v>
      </x:c>
      <x:c r="K51" s="18" t="str"/>
    </x:row>
    <x:row r="52">
      <x:c r="A52" s="13" t="str">
        <x:v>WK-047</x:v>
      </x:c>
      <x:c r="B52" s="18" t="str"/>
      <x:c r="C52" s="18" t="str"/>
      <x:c r="D52" s="18" t="str"/>
      <x:c r="E52" s="18" t="str"/>
      <x:c r="F52" s="18" t="str"/>
      <x:c r="G52" s="17"/>
      <x:c r="H52" s="18" t="str"/>
      <x:c r="I52" s="18" t="str"/>
      <x:c r="J52" s="18" t="str">
        <x:v>未开始</x:v>
      </x:c>
      <x:c r="K52" s="18" t="str"/>
    </x:row>
    <x:row r="53">
      <x:c r="A53" s="13" t="str">
        <x:v>WK-048</x:v>
      </x:c>
      <x:c r="B53" s="18" t="str"/>
      <x:c r="C53" s="18" t="str"/>
      <x:c r="D53" s="18" t="str"/>
      <x:c r="E53" s="18" t="str"/>
      <x:c r="F53" s="18" t="str"/>
      <x:c r="G53" s="17"/>
      <x:c r="H53" s="18" t="str"/>
      <x:c r="I53" s="18" t="str"/>
      <x:c r="J53" s="18" t="str">
        <x:v>未开始</x:v>
      </x:c>
      <x:c r="K53" s="18" t="str"/>
    </x:row>
    <x:row r="54">
      <x:c r="A54" s="13" t="str">
        <x:v>WK-049</x:v>
      </x:c>
      <x:c r="B54" s="18" t="str"/>
      <x:c r="C54" s="18" t="str"/>
      <x:c r="D54" s="18" t="str"/>
      <x:c r="E54" s="18" t="str"/>
      <x:c r="F54" s="18" t="str"/>
      <x:c r="G54" s="17"/>
      <x:c r="H54" s="18" t="str"/>
      <x:c r="I54" s="18" t="str"/>
      <x:c r="J54" s="18" t="str">
        <x:v>未开始</x:v>
      </x:c>
      <x:c r="K54" s="18" t="str"/>
    </x:row>
    <x:row r="55">
      <x:c r="A55" s="13" t="str">
        <x:v>WK-050</x:v>
      </x:c>
      <x:c r="B55" s="18" t="str"/>
      <x:c r="C55" s="18" t="str"/>
      <x:c r="D55" s="18" t="str"/>
      <x:c r="E55" s="18" t="str"/>
      <x:c r="F55" s="18" t="str"/>
      <x:c r="G55" s="17"/>
      <x:c r="H55" s="18" t="str"/>
      <x:c r="I55" s="18" t="str"/>
      <x:c r="J55" s="18" t="str">
        <x:v>未开始</x:v>
      </x:c>
      <x:c r="K55" s="18" t="str"/>
    </x:row>
  </x:sheetData>
  <x:mergeCells>
    <x:mergeCell ref="A1:K1"/>
    <x:mergeCell ref="A2:K2"/>
  </x:mergeCells>
  <x:conditionalFormatting sqref="J6:J55">
    <x:cfRule type="containsText" dxfId="27" priority="1" operator="containsText" text="已完成"/>
    <x:cfRule type="containsText" dxfId="28" priority="2" operator="containsText" text="逾期"/>
    <x:cfRule type="containsText" dxfId="29" priority="3" operator="containsText" text="未开始"/>
  </x:conditionalFormatting>
  <x:dataValidations count="1">
    <x:dataValidation type="list" sqref="J6:J5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3ce9c919847e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38" hidden="0" customWidth="1"/>
    <x:col min="5" max="5" width="14" hidden="0" customWidth="1"/>
    <x:col min="6" max="6" width="14" hidden="0" customWidth="1"/>
    <x:col min="7" max="7" width="28" hidden="0" customWidth="1"/>
    <x:col min="8" max="8" width="13" hidden="0" customWidth="1"/>
    <x:col min="9" max="9" width="11" hidden="0" customWidth="1"/>
    <x:col min="10" max="10" width="38" hidden="0" customWidth="1"/>
  </x:cols>
  <x:sheetData>
    <x:row r="1" ht="30" customHeight="1">
      <x:c r="A1" s="1" t="str">
        <x:v>财务团队周会Action List</x:v>
      </x:c>
    </x:row>
    <x:row r="2" ht="25" customHeight="1">
      <x:c r="A2" s="3" t="str">
        <x:v>只记录需决策、逾期、风险和跨部门行动，不记录流水账。</x:v>
      </x:c>
    </x:row>
    <x:row r="5" ht="36" customHeight="1">
      <x:c r="A5" s="9" t="str">
        <x:v>行动编号</x:v>
      </x:c>
      <x:c r="B5" s="9" t="str">
        <x:v>会议日期</x:v>
      </x:c>
      <x:c r="C5" s="9" t="str">
        <x:v>事项</x:v>
      </x:c>
      <x:c r="D5" s="9" t="str">
        <x:v>决策/下一步</x:v>
      </x:c>
      <x:c r="E5" s="9" t="str">
        <x:v>Owner</x:v>
      </x:c>
      <x:c r="F5" s="9" t="str">
        <x:v>截止日</x:v>
      </x:c>
      <x:c r="G5" s="9" t="str">
        <x:v>风险</x:v>
      </x:c>
      <x:c r="H5" s="9" t="str">
        <x:v>是否升级</x:v>
      </x:c>
      <x:c r="I5" s="9" t="str">
        <x:v>状态</x:v>
      </x:c>
      <x:c r="J5" s="9" t="str">
        <x:v>完成证据</x:v>
      </x:c>
    </x:row>
    <x:row r="6">
      <x:c r="A6" s="13" t="str">
        <x:v>MTG-001</x:v>
      </x:c>
      <x:c r="B6" s="19"/>
      <x:c r="C6" s="18" t="str"/>
      <x:c r="D6" s="18" t="str"/>
      <x:c r="E6" s="18" t="str"/>
      <x:c r="F6" s="19"/>
      <x:c r="G6" s="18" t="str"/>
      <x:c r="H6" s="18" t="str">
        <x:v>否</x:v>
      </x:c>
      <x:c r="I6" s="18" t="str">
        <x:v>未开始</x:v>
      </x:c>
      <x:c r="J6" s="18" t="str"/>
    </x:row>
    <x:row r="7">
      <x:c r="A7" s="13" t="str">
        <x:v>MTG-002</x:v>
      </x:c>
      <x:c r="B7" s="19"/>
      <x:c r="C7" s="18" t="str"/>
      <x:c r="D7" s="18" t="str"/>
      <x:c r="E7" s="18" t="str"/>
      <x:c r="F7" s="19"/>
      <x:c r="G7" s="18" t="str"/>
      <x:c r="H7" s="18" t="str">
        <x:v>否</x:v>
      </x:c>
      <x:c r="I7" s="18" t="str">
        <x:v>未开始</x:v>
      </x:c>
      <x:c r="J7" s="18" t="str"/>
    </x:row>
    <x:row r="8">
      <x:c r="A8" s="13" t="str">
        <x:v>MTG-003</x:v>
      </x:c>
      <x:c r="B8" s="19"/>
      <x:c r="C8" s="18" t="str"/>
      <x:c r="D8" s="18" t="str"/>
      <x:c r="E8" s="18" t="str"/>
      <x:c r="F8" s="19"/>
      <x:c r="G8" s="18" t="str"/>
      <x:c r="H8" s="18" t="str">
        <x:v>否</x:v>
      </x:c>
      <x:c r="I8" s="18" t="str">
        <x:v>未开始</x:v>
      </x:c>
      <x:c r="J8" s="18" t="str"/>
    </x:row>
    <x:row r="9">
      <x:c r="A9" s="13" t="str">
        <x:v>MTG-004</x:v>
      </x:c>
      <x:c r="B9" s="19"/>
      <x:c r="C9" s="18" t="str"/>
      <x:c r="D9" s="18" t="str"/>
      <x:c r="E9" s="18" t="str"/>
      <x:c r="F9" s="19"/>
      <x:c r="G9" s="18" t="str"/>
      <x:c r="H9" s="18" t="str">
        <x:v>否</x:v>
      </x:c>
      <x:c r="I9" s="18" t="str">
        <x:v>未开始</x:v>
      </x:c>
      <x:c r="J9" s="18" t="str"/>
    </x:row>
    <x:row r="10">
      <x:c r="A10" s="13" t="str">
        <x:v>MTG-005</x:v>
      </x:c>
      <x:c r="B10" s="19"/>
      <x:c r="C10" s="18" t="str"/>
      <x:c r="D10" s="18" t="str"/>
      <x:c r="E10" s="18" t="str"/>
      <x:c r="F10" s="19"/>
      <x:c r="G10" s="18" t="str"/>
      <x:c r="H10" s="18" t="str">
        <x:v>否</x:v>
      </x:c>
      <x:c r="I10" s="18" t="str">
        <x:v>未开始</x:v>
      </x:c>
      <x:c r="J10" s="18" t="str"/>
    </x:row>
    <x:row r="11">
      <x:c r="A11" s="13" t="str">
        <x:v>MTG-006</x:v>
      </x:c>
      <x:c r="B11" s="19"/>
      <x:c r="C11" s="18" t="str"/>
      <x:c r="D11" s="18" t="str"/>
      <x:c r="E11" s="18" t="str"/>
      <x:c r="F11" s="19"/>
      <x:c r="G11" s="18" t="str"/>
      <x:c r="H11" s="18" t="str">
        <x:v>否</x:v>
      </x:c>
      <x:c r="I11" s="18" t="str">
        <x:v>未开始</x:v>
      </x:c>
      <x:c r="J11" s="18" t="str"/>
    </x:row>
    <x:row r="12">
      <x:c r="A12" s="13" t="str">
        <x:v>MTG-007</x:v>
      </x:c>
      <x:c r="B12" s="19"/>
      <x:c r="C12" s="18" t="str"/>
      <x:c r="D12" s="18" t="str"/>
      <x:c r="E12" s="18" t="str"/>
      <x:c r="F12" s="19"/>
      <x:c r="G12" s="18" t="str"/>
      <x:c r="H12" s="18" t="str">
        <x:v>否</x:v>
      </x:c>
      <x:c r="I12" s="18" t="str">
        <x:v>未开始</x:v>
      </x:c>
      <x:c r="J12" s="18" t="str"/>
    </x:row>
    <x:row r="13">
      <x:c r="A13" s="13" t="str">
        <x:v>MTG-008</x:v>
      </x:c>
      <x:c r="B13" s="19"/>
      <x:c r="C13" s="18" t="str"/>
      <x:c r="D13" s="18" t="str"/>
      <x:c r="E13" s="18" t="str"/>
      <x:c r="F13" s="19"/>
      <x:c r="G13" s="18" t="str"/>
      <x:c r="H13" s="18" t="str">
        <x:v>否</x:v>
      </x:c>
      <x:c r="I13" s="18" t="str">
        <x:v>未开始</x:v>
      </x:c>
      <x:c r="J13" s="18" t="str"/>
    </x:row>
    <x:row r="14">
      <x:c r="A14" s="13" t="str">
        <x:v>MTG-009</x:v>
      </x:c>
      <x:c r="B14" s="19"/>
      <x:c r="C14" s="18" t="str"/>
      <x:c r="D14" s="18" t="str"/>
      <x:c r="E14" s="18" t="str"/>
      <x:c r="F14" s="19"/>
      <x:c r="G14" s="18" t="str"/>
      <x:c r="H14" s="18" t="str">
        <x:v>否</x:v>
      </x:c>
      <x:c r="I14" s="18" t="str">
        <x:v>未开始</x:v>
      </x:c>
      <x:c r="J14" s="18" t="str"/>
    </x:row>
    <x:row r="15">
      <x:c r="A15" s="13" t="str">
        <x:v>MTG-010</x:v>
      </x:c>
      <x:c r="B15" s="19"/>
      <x:c r="C15" s="18" t="str"/>
      <x:c r="D15" s="18" t="str"/>
      <x:c r="E15" s="18" t="str"/>
      <x:c r="F15" s="19"/>
      <x:c r="G15" s="18" t="str"/>
      <x:c r="H15" s="18" t="str">
        <x:v>否</x:v>
      </x:c>
      <x:c r="I15" s="18" t="str">
        <x:v>未开始</x:v>
      </x:c>
      <x:c r="J15" s="18" t="str"/>
    </x:row>
    <x:row r="16">
      <x:c r="A16" s="13" t="str">
        <x:v>MTG-011</x:v>
      </x:c>
      <x:c r="B16" s="19"/>
      <x:c r="C16" s="18" t="str"/>
      <x:c r="D16" s="18" t="str"/>
      <x:c r="E16" s="18" t="str"/>
      <x:c r="F16" s="19"/>
      <x:c r="G16" s="18" t="str"/>
      <x:c r="H16" s="18" t="str">
        <x:v>否</x:v>
      </x:c>
      <x:c r="I16" s="18" t="str">
        <x:v>未开始</x:v>
      </x:c>
      <x:c r="J16" s="18" t="str"/>
    </x:row>
    <x:row r="17">
      <x:c r="A17" s="13" t="str">
        <x:v>MTG-012</x:v>
      </x:c>
      <x:c r="B17" s="19"/>
      <x:c r="C17" s="18" t="str"/>
      <x:c r="D17" s="18" t="str"/>
      <x:c r="E17" s="18" t="str"/>
      <x:c r="F17" s="19"/>
      <x:c r="G17" s="18" t="str"/>
      <x:c r="H17" s="18" t="str">
        <x:v>否</x:v>
      </x:c>
      <x:c r="I17" s="18" t="str">
        <x:v>未开始</x:v>
      </x:c>
      <x:c r="J17" s="18" t="str"/>
    </x:row>
    <x:row r="18">
      <x:c r="A18" s="13" t="str">
        <x:v>MTG-013</x:v>
      </x:c>
      <x:c r="B18" s="19"/>
      <x:c r="C18" s="18" t="str"/>
      <x:c r="D18" s="18" t="str"/>
      <x:c r="E18" s="18" t="str"/>
      <x:c r="F18" s="19"/>
      <x:c r="G18" s="18" t="str"/>
      <x:c r="H18" s="18" t="str">
        <x:v>否</x:v>
      </x:c>
      <x:c r="I18" s="18" t="str">
        <x:v>未开始</x:v>
      </x:c>
      <x:c r="J18" s="18" t="str"/>
    </x:row>
    <x:row r="19">
      <x:c r="A19" s="13" t="str">
        <x:v>MTG-014</x:v>
      </x:c>
      <x:c r="B19" s="19"/>
      <x:c r="C19" s="18" t="str"/>
      <x:c r="D19" s="18" t="str"/>
      <x:c r="E19" s="18" t="str"/>
      <x:c r="F19" s="19"/>
      <x:c r="G19" s="18" t="str"/>
      <x:c r="H19" s="18" t="str">
        <x:v>否</x:v>
      </x:c>
      <x:c r="I19" s="18" t="str">
        <x:v>未开始</x:v>
      </x:c>
      <x:c r="J19" s="18" t="str"/>
    </x:row>
    <x:row r="20">
      <x:c r="A20" s="13" t="str">
        <x:v>MTG-015</x:v>
      </x:c>
      <x:c r="B20" s="19"/>
      <x:c r="C20" s="18" t="str"/>
      <x:c r="D20" s="18" t="str"/>
      <x:c r="E20" s="18" t="str"/>
      <x:c r="F20" s="19"/>
      <x:c r="G20" s="18" t="str"/>
      <x:c r="H20" s="18" t="str">
        <x:v>否</x:v>
      </x:c>
      <x:c r="I20" s="18" t="str">
        <x:v>未开始</x:v>
      </x:c>
      <x:c r="J20" s="18" t="str"/>
    </x:row>
    <x:row r="21">
      <x:c r="A21" s="13" t="str">
        <x:v>MTG-016</x:v>
      </x:c>
      <x:c r="B21" s="19"/>
      <x:c r="C21" s="18" t="str"/>
      <x:c r="D21" s="18" t="str"/>
      <x:c r="E21" s="18" t="str"/>
      <x:c r="F21" s="19"/>
      <x:c r="G21" s="18" t="str"/>
      <x:c r="H21" s="18" t="str">
        <x:v>否</x:v>
      </x:c>
      <x:c r="I21" s="18" t="str">
        <x:v>未开始</x:v>
      </x:c>
      <x:c r="J21" s="18" t="str"/>
    </x:row>
    <x:row r="22">
      <x:c r="A22" s="13" t="str">
        <x:v>MTG-017</x:v>
      </x:c>
      <x:c r="B22" s="19"/>
      <x:c r="C22" s="18" t="str"/>
      <x:c r="D22" s="18" t="str"/>
      <x:c r="E22" s="18" t="str"/>
      <x:c r="F22" s="19"/>
      <x:c r="G22" s="18" t="str"/>
      <x:c r="H22" s="18" t="str">
        <x:v>否</x:v>
      </x:c>
      <x:c r="I22" s="18" t="str">
        <x:v>未开始</x:v>
      </x:c>
      <x:c r="J22" s="18" t="str"/>
    </x:row>
    <x:row r="23">
      <x:c r="A23" s="13" t="str">
        <x:v>MTG-018</x:v>
      </x:c>
      <x:c r="B23" s="19"/>
      <x:c r="C23" s="18" t="str"/>
      <x:c r="D23" s="18" t="str"/>
      <x:c r="E23" s="18" t="str"/>
      <x:c r="F23" s="19"/>
      <x:c r="G23" s="18" t="str"/>
      <x:c r="H23" s="18" t="str">
        <x:v>否</x:v>
      </x:c>
      <x:c r="I23" s="18" t="str">
        <x:v>未开始</x:v>
      </x:c>
      <x:c r="J23" s="18" t="str"/>
    </x:row>
    <x:row r="24">
      <x:c r="A24" s="13" t="str">
        <x:v>MTG-019</x:v>
      </x:c>
      <x:c r="B24" s="19"/>
      <x:c r="C24" s="18" t="str"/>
      <x:c r="D24" s="18" t="str"/>
      <x:c r="E24" s="18" t="str"/>
      <x:c r="F24" s="19"/>
      <x:c r="G24" s="18" t="str"/>
      <x:c r="H24" s="18" t="str">
        <x:v>否</x:v>
      </x:c>
      <x:c r="I24" s="18" t="str">
        <x:v>未开始</x:v>
      </x:c>
      <x:c r="J24" s="18" t="str"/>
    </x:row>
    <x:row r="25">
      <x:c r="A25" s="13" t="str">
        <x:v>MTG-020</x:v>
      </x:c>
      <x:c r="B25" s="19"/>
      <x:c r="C25" s="18" t="str"/>
      <x:c r="D25" s="18" t="str"/>
      <x:c r="E25" s="18" t="str"/>
      <x:c r="F25" s="19"/>
      <x:c r="G25" s="18" t="str"/>
      <x:c r="H25" s="18" t="str">
        <x:v>否</x:v>
      </x:c>
      <x:c r="I25" s="18" t="str">
        <x:v>未开始</x:v>
      </x:c>
      <x:c r="J25" s="18" t="str"/>
    </x:row>
    <x:row r="26">
      <x:c r="A26" s="13" t="str">
        <x:v>MTG-021</x:v>
      </x:c>
      <x:c r="B26" s="19"/>
      <x:c r="C26" s="18" t="str"/>
      <x:c r="D26" s="18" t="str"/>
      <x:c r="E26" s="18" t="str"/>
      <x:c r="F26" s="19"/>
      <x:c r="G26" s="18" t="str"/>
      <x:c r="H26" s="18" t="str">
        <x:v>否</x:v>
      </x:c>
      <x:c r="I26" s="18" t="str">
        <x:v>未开始</x:v>
      </x:c>
      <x:c r="J26" s="18" t="str"/>
    </x:row>
    <x:row r="27">
      <x:c r="A27" s="13" t="str">
        <x:v>MTG-022</x:v>
      </x:c>
      <x:c r="B27" s="19"/>
      <x:c r="C27" s="18" t="str"/>
      <x:c r="D27" s="18" t="str"/>
      <x:c r="E27" s="18" t="str"/>
      <x:c r="F27" s="19"/>
      <x:c r="G27" s="18" t="str"/>
      <x:c r="H27" s="18" t="str">
        <x:v>否</x:v>
      </x:c>
      <x:c r="I27" s="18" t="str">
        <x:v>未开始</x:v>
      </x:c>
      <x:c r="J27" s="18" t="str"/>
    </x:row>
    <x:row r="28">
      <x:c r="A28" s="13" t="str">
        <x:v>MTG-023</x:v>
      </x:c>
      <x:c r="B28" s="19"/>
      <x:c r="C28" s="18" t="str"/>
      <x:c r="D28" s="18" t="str"/>
      <x:c r="E28" s="18" t="str"/>
      <x:c r="F28" s="19"/>
      <x:c r="G28" s="18" t="str"/>
      <x:c r="H28" s="18" t="str">
        <x:v>否</x:v>
      </x:c>
      <x:c r="I28" s="18" t="str">
        <x:v>未开始</x:v>
      </x:c>
      <x:c r="J28" s="18" t="str"/>
    </x:row>
    <x:row r="29">
      <x:c r="A29" s="13" t="str">
        <x:v>MTG-024</x:v>
      </x:c>
      <x:c r="B29" s="19"/>
      <x:c r="C29" s="18" t="str"/>
      <x:c r="D29" s="18" t="str"/>
      <x:c r="E29" s="18" t="str"/>
      <x:c r="F29" s="19"/>
      <x:c r="G29" s="18" t="str"/>
      <x:c r="H29" s="18" t="str">
        <x:v>否</x:v>
      </x:c>
      <x:c r="I29" s="18" t="str">
        <x:v>未开始</x:v>
      </x:c>
      <x:c r="J29" s="18" t="str"/>
    </x:row>
    <x:row r="30">
      <x:c r="A30" s="13" t="str">
        <x:v>MTG-025</x:v>
      </x:c>
      <x:c r="B30" s="19"/>
      <x:c r="C30" s="18" t="str"/>
      <x:c r="D30" s="18" t="str"/>
      <x:c r="E30" s="18" t="str"/>
      <x:c r="F30" s="19"/>
      <x:c r="G30" s="18" t="str"/>
      <x:c r="H30" s="18" t="str">
        <x:v>否</x:v>
      </x:c>
      <x:c r="I30" s="18" t="str">
        <x:v>未开始</x:v>
      </x:c>
      <x:c r="J30" s="18" t="str"/>
    </x:row>
    <x:row r="31">
      <x:c r="A31" s="13" t="str">
        <x:v>MTG-026</x:v>
      </x:c>
      <x:c r="B31" s="19"/>
      <x:c r="C31" s="18" t="str"/>
      <x:c r="D31" s="18" t="str"/>
      <x:c r="E31" s="18" t="str"/>
      <x:c r="F31" s="19"/>
      <x:c r="G31" s="18" t="str"/>
      <x:c r="H31" s="18" t="str">
        <x:v>否</x:v>
      </x:c>
      <x:c r="I31" s="18" t="str">
        <x:v>未开始</x:v>
      </x:c>
      <x:c r="J31" s="18" t="str"/>
    </x:row>
    <x:row r="32">
      <x:c r="A32" s="13" t="str">
        <x:v>MTG-027</x:v>
      </x:c>
      <x:c r="B32" s="19"/>
      <x:c r="C32" s="18" t="str"/>
      <x:c r="D32" s="18" t="str"/>
      <x:c r="E32" s="18" t="str"/>
      <x:c r="F32" s="19"/>
      <x:c r="G32" s="18" t="str"/>
      <x:c r="H32" s="18" t="str">
        <x:v>否</x:v>
      </x:c>
      <x:c r="I32" s="18" t="str">
        <x:v>未开始</x:v>
      </x:c>
      <x:c r="J32" s="18" t="str"/>
    </x:row>
    <x:row r="33">
      <x:c r="A33" s="13" t="str">
        <x:v>MTG-028</x:v>
      </x:c>
      <x:c r="B33" s="19"/>
      <x:c r="C33" s="18" t="str"/>
      <x:c r="D33" s="18" t="str"/>
      <x:c r="E33" s="18" t="str"/>
      <x:c r="F33" s="19"/>
      <x:c r="G33" s="18" t="str"/>
      <x:c r="H33" s="18" t="str">
        <x:v>否</x:v>
      </x:c>
      <x:c r="I33" s="18" t="str">
        <x:v>未开始</x:v>
      </x:c>
      <x:c r="J33" s="18" t="str"/>
    </x:row>
    <x:row r="34">
      <x:c r="A34" s="13" t="str">
        <x:v>MTG-029</x:v>
      </x:c>
      <x:c r="B34" s="19"/>
      <x:c r="C34" s="18" t="str"/>
      <x:c r="D34" s="18" t="str"/>
      <x:c r="E34" s="18" t="str"/>
      <x:c r="F34" s="19"/>
      <x:c r="G34" s="18" t="str"/>
      <x:c r="H34" s="18" t="str">
        <x:v>否</x:v>
      </x:c>
      <x:c r="I34" s="18" t="str">
        <x:v>未开始</x:v>
      </x:c>
      <x:c r="J34" s="18" t="str"/>
    </x:row>
    <x:row r="35">
      <x:c r="A35" s="13" t="str">
        <x:v>MTG-030</x:v>
      </x:c>
      <x:c r="B35" s="19"/>
      <x:c r="C35" s="18" t="str"/>
      <x:c r="D35" s="18" t="str"/>
      <x:c r="E35" s="18" t="str"/>
      <x:c r="F35" s="19"/>
      <x:c r="G35" s="18" t="str"/>
      <x:c r="H35" s="18" t="str">
        <x:v>否</x:v>
      </x:c>
      <x:c r="I35" s="18" t="str">
        <x:v>未开始</x:v>
      </x:c>
      <x:c r="J35" s="18" t="str"/>
    </x:row>
    <x:row r="36">
      <x:c r="A36" s="13" t="str">
        <x:v>MTG-031</x:v>
      </x:c>
      <x:c r="B36" s="19"/>
      <x:c r="C36" s="18" t="str"/>
      <x:c r="D36" s="18" t="str"/>
      <x:c r="E36" s="18" t="str"/>
      <x:c r="F36" s="19"/>
      <x:c r="G36" s="18" t="str"/>
      <x:c r="H36" s="18" t="str">
        <x:v>否</x:v>
      </x:c>
      <x:c r="I36" s="18" t="str">
        <x:v>未开始</x:v>
      </x:c>
      <x:c r="J36" s="18" t="str"/>
    </x:row>
    <x:row r="37">
      <x:c r="A37" s="13" t="str">
        <x:v>MTG-032</x:v>
      </x:c>
      <x:c r="B37" s="19"/>
      <x:c r="C37" s="18" t="str"/>
      <x:c r="D37" s="18" t="str"/>
      <x:c r="E37" s="18" t="str"/>
      <x:c r="F37" s="19"/>
      <x:c r="G37" s="18" t="str"/>
      <x:c r="H37" s="18" t="str">
        <x:v>否</x:v>
      </x:c>
      <x:c r="I37" s="18" t="str">
        <x:v>未开始</x:v>
      </x:c>
      <x:c r="J37" s="18" t="str"/>
    </x:row>
    <x:row r="38">
      <x:c r="A38" s="13" t="str">
        <x:v>MTG-033</x:v>
      </x:c>
      <x:c r="B38" s="19"/>
      <x:c r="C38" s="18" t="str"/>
      <x:c r="D38" s="18" t="str"/>
      <x:c r="E38" s="18" t="str"/>
      <x:c r="F38" s="19"/>
      <x:c r="G38" s="18" t="str"/>
      <x:c r="H38" s="18" t="str">
        <x:v>否</x:v>
      </x:c>
      <x:c r="I38" s="18" t="str">
        <x:v>未开始</x:v>
      </x:c>
      <x:c r="J38" s="18" t="str"/>
    </x:row>
    <x:row r="39">
      <x:c r="A39" s="13" t="str">
        <x:v>MTG-034</x:v>
      </x:c>
      <x:c r="B39" s="19"/>
      <x:c r="C39" s="18" t="str"/>
      <x:c r="D39" s="18" t="str"/>
      <x:c r="E39" s="18" t="str"/>
      <x:c r="F39" s="19"/>
      <x:c r="G39" s="18" t="str"/>
      <x:c r="H39" s="18" t="str">
        <x:v>否</x:v>
      </x:c>
      <x:c r="I39" s="18" t="str">
        <x:v>未开始</x:v>
      </x:c>
      <x:c r="J39" s="18" t="str"/>
    </x:row>
    <x:row r="40">
      <x:c r="A40" s="13" t="str">
        <x:v>MTG-035</x:v>
      </x:c>
      <x:c r="B40" s="19"/>
      <x:c r="C40" s="18" t="str"/>
      <x:c r="D40" s="18" t="str"/>
      <x:c r="E40" s="18" t="str"/>
      <x:c r="F40" s="19"/>
      <x:c r="G40" s="18" t="str"/>
      <x:c r="H40" s="18" t="str">
        <x:v>否</x:v>
      </x:c>
      <x:c r="I40" s="18" t="str">
        <x:v>未开始</x:v>
      </x:c>
      <x:c r="J40" s="18" t="str"/>
    </x:row>
    <x:row r="41">
      <x:c r="A41" s="13" t="str">
        <x:v>MTG-036</x:v>
      </x:c>
      <x:c r="B41" s="19"/>
      <x:c r="C41" s="18" t="str"/>
      <x:c r="D41" s="18" t="str"/>
      <x:c r="E41" s="18" t="str"/>
      <x:c r="F41" s="19"/>
      <x:c r="G41" s="18" t="str"/>
      <x:c r="H41" s="18" t="str">
        <x:v>否</x:v>
      </x:c>
      <x:c r="I41" s="18" t="str">
        <x:v>未开始</x:v>
      </x:c>
      <x:c r="J41" s="18" t="str"/>
    </x:row>
    <x:row r="42">
      <x:c r="A42" s="13" t="str">
        <x:v>MTG-037</x:v>
      </x:c>
      <x:c r="B42" s="19"/>
      <x:c r="C42" s="18" t="str"/>
      <x:c r="D42" s="18" t="str"/>
      <x:c r="E42" s="18" t="str"/>
      <x:c r="F42" s="19"/>
      <x:c r="G42" s="18" t="str"/>
      <x:c r="H42" s="18" t="str">
        <x:v>否</x:v>
      </x:c>
      <x:c r="I42" s="18" t="str">
        <x:v>未开始</x:v>
      </x:c>
      <x:c r="J42" s="18" t="str"/>
    </x:row>
    <x:row r="43">
      <x:c r="A43" s="13" t="str">
        <x:v>MTG-038</x:v>
      </x:c>
      <x:c r="B43" s="19"/>
      <x:c r="C43" s="18" t="str"/>
      <x:c r="D43" s="18" t="str"/>
      <x:c r="E43" s="18" t="str"/>
      <x:c r="F43" s="19"/>
      <x:c r="G43" s="18" t="str"/>
      <x:c r="H43" s="18" t="str">
        <x:v>否</x:v>
      </x:c>
      <x:c r="I43" s="18" t="str">
        <x:v>未开始</x:v>
      </x:c>
      <x:c r="J43" s="18" t="str"/>
    </x:row>
    <x:row r="44">
      <x:c r="A44" s="13" t="str">
        <x:v>MTG-039</x:v>
      </x:c>
      <x:c r="B44" s="19"/>
      <x:c r="C44" s="18" t="str"/>
      <x:c r="D44" s="18" t="str"/>
      <x:c r="E44" s="18" t="str"/>
      <x:c r="F44" s="19"/>
      <x:c r="G44" s="18" t="str"/>
      <x:c r="H44" s="18" t="str">
        <x:v>否</x:v>
      </x:c>
      <x:c r="I44" s="18" t="str">
        <x:v>未开始</x:v>
      </x:c>
      <x:c r="J44" s="18" t="str"/>
    </x:row>
    <x:row r="45">
      <x:c r="A45" s="13" t="str">
        <x:v>MTG-040</x:v>
      </x:c>
      <x:c r="B45" s="19"/>
      <x:c r="C45" s="18" t="str"/>
      <x:c r="D45" s="18" t="str"/>
      <x:c r="E45" s="18" t="str"/>
      <x:c r="F45" s="19"/>
      <x:c r="G45" s="18" t="str"/>
      <x:c r="H45" s="18" t="str">
        <x:v>否</x:v>
      </x:c>
      <x:c r="I45" s="18" t="str">
        <x:v>未开始</x:v>
      </x:c>
      <x:c r="J45" s="18" t="str"/>
    </x:row>
    <x:row r="46">
      <x:c r="A46" s="13" t="str">
        <x:v>MTG-041</x:v>
      </x:c>
      <x:c r="B46" s="19"/>
      <x:c r="C46" s="18" t="str"/>
      <x:c r="D46" s="18" t="str"/>
      <x:c r="E46" s="18" t="str"/>
      <x:c r="F46" s="19"/>
      <x:c r="G46" s="18" t="str"/>
      <x:c r="H46" s="18" t="str">
        <x:v>否</x:v>
      </x:c>
      <x:c r="I46" s="18" t="str">
        <x:v>未开始</x:v>
      </x:c>
      <x:c r="J46" s="18" t="str"/>
    </x:row>
    <x:row r="47">
      <x:c r="A47" s="13" t="str">
        <x:v>MTG-042</x:v>
      </x:c>
      <x:c r="B47" s="19"/>
      <x:c r="C47" s="18" t="str"/>
      <x:c r="D47" s="18" t="str"/>
      <x:c r="E47" s="18" t="str"/>
      <x:c r="F47" s="19"/>
      <x:c r="G47" s="18" t="str"/>
      <x:c r="H47" s="18" t="str">
        <x:v>否</x:v>
      </x:c>
      <x:c r="I47" s="18" t="str">
        <x:v>未开始</x:v>
      </x:c>
      <x:c r="J47" s="18" t="str"/>
    </x:row>
    <x:row r="48">
      <x:c r="A48" s="13" t="str">
        <x:v>MTG-043</x:v>
      </x:c>
      <x:c r="B48" s="19"/>
      <x:c r="C48" s="18" t="str"/>
      <x:c r="D48" s="18" t="str"/>
      <x:c r="E48" s="18" t="str"/>
      <x:c r="F48" s="19"/>
      <x:c r="G48" s="18" t="str"/>
      <x:c r="H48" s="18" t="str">
        <x:v>否</x:v>
      </x:c>
      <x:c r="I48" s="18" t="str">
        <x:v>未开始</x:v>
      </x:c>
      <x:c r="J48" s="18" t="str"/>
    </x:row>
    <x:row r="49">
      <x:c r="A49" s="13" t="str">
        <x:v>MTG-044</x:v>
      </x:c>
      <x:c r="B49" s="19"/>
      <x:c r="C49" s="18" t="str"/>
      <x:c r="D49" s="18" t="str"/>
      <x:c r="E49" s="18" t="str"/>
      <x:c r="F49" s="19"/>
      <x:c r="G49" s="18" t="str"/>
      <x:c r="H49" s="18" t="str">
        <x:v>否</x:v>
      </x:c>
      <x:c r="I49" s="18" t="str">
        <x:v>未开始</x:v>
      </x:c>
      <x:c r="J49" s="18" t="str"/>
    </x:row>
    <x:row r="50">
      <x:c r="A50" s="13" t="str">
        <x:v>MTG-045</x:v>
      </x:c>
      <x:c r="B50" s="19"/>
      <x:c r="C50" s="18" t="str"/>
      <x:c r="D50" s="18" t="str"/>
      <x:c r="E50" s="18" t="str"/>
      <x:c r="F50" s="19"/>
      <x:c r="G50" s="18" t="str"/>
      <x:c r="H50" s="18" t="str">
        <x:v>否</x:v>
      </x:c>
      <x:c r="I50" s="18" t="str">
        <x:v>未开始</x:v>
      </x:c>
      <x:c r="J50" s="18" t="str"/>
    </x:row>
    <x:row r="51">
      <x:c r="A51" s="13" t="str">
        <x:v>MTG-046</x:v>
      </x:c>
      <x:c r="B51" s="19"/>
      <x:c r="C51" s="18" t="str"/>
      <x:c r="D51" s="18" t="str"/>
      <x:c r="E51" s="18" t="str"/>
      <x:c r="F51" s="19"/>
      <x:c r="G51" s="18" t="str"/>
      <x:c r="H51" s="18" t="str">
        <x:v>否</x:v>
      </x:c>
      <x:c r="I51" s="18" t="str">
        <x:v>未开始</x:v>
      </x:c>
      <x:c r="J51" s="18" t="str"/>
    </x:row>
    <x:row r="52">
      <x:c r="A52" s="13" t="str">
        <x:v>MTG-047</x:v>
      </x:c>
      <x:c r="B52" s="19"/>
      <x:c r="C52" s="18" t="str"/>
      <x:c r="D52" s="18" t="str"/>
      <x:c r="E52" s="18" t="str"/>
      <x:c r="F52" s="19"/>
      <x:c r="G52" s="18" t="str"/>
      <x:c r="H52" s="18" t="str">
        <x:v>否</x:v>
      </x:c>
      <x:c r="I52" s="18" t="str">
        <x:v>未开始</x:v>
      </x:c>
      <x:c r="J52" s="18" t="str"/>
    </x:row>
    <x:row r="53">
      <x:c r="A53" s="13" t="str">
        <x:v>MTG-048</x:v>
      </x:c>
      <x:c r="B53" s="19"/>
      <x:c r="C53" s="18" t="str"/>
      <x:c r="D53" s="18" t="str"/>
      <x:c r="E53" s="18" t="str"/>
      <x:c r="F53" s="19"/>
      <x:c r="G53" s="18" t="str"/>
      <x:c r="H53" s="18" t="str">
        <x:v>否</x:v>
      </x:c>
      <x:c r="I53" s="18" t="str">
        <x:v>未开始</x:v>
      </x:c>
      <x:c r="J53" s="18" t="str"/>
    </x:row>
    <x:row r="54">
      <x:c r="A54" s="13" t="str">
        <x:v>MTG-049</x:v>
      </x:c>
      <x:c r="B54" s="19"/>
      <x:c r="C54" s="18" t="str"/>
      <x:c r="D54" s="18" t="str"/>
      <x:c r="E54" s="18" t="str"/>
      <x:c r="F54" s="19"/>
      <x:c r="G54" s="18" t="str"/>
      <x:c r="H54" s="18" t="str">
        <x:v>否</x:v>
      </x:c>
      <x:c r="I54" s="18" t="str">
        <x:v>未开始</x:v>
      </x:c>
      <x:c r="J54" s="18" t="str"/>
    </x:row>
    <x:row r="55">
      <x:c r="A55" s="13" t="str">
        <x:v>MTG-050</x:v>
      </x:c>
      <x:c r="B55" s="19"/>
      <x:c r="C55" s="18" t="str"/>
      <x:c r="D55" s="18" t="str"/>
      <x:c r="E55" s="18" t="str"/>
      <x:c r="F55" s="19"/>
      <x:c r="G55" s="18" t="str"/>
      <x:c r="H55" s="18" t="str">
        <x:v>否</x:v>
      </x:c>
      <x:c r="I55" s="18" t="str">
        <x:v>未开始</x:v>
      </x:c>
      <x:c r="J55" s="18" t="str"/>
    </x:row>
  </x:sheetData>
  <x:mergeCells>
    <x:mergeCell ref="A1:J1"/>
    <x:mergeCell ref="A2:J2"/>
  </x:mergeCells>
  <x:conditionalFormatting sqref="I6:I55">
    <x:cfRule type="containsText" dxfId="30" priority="1" operator="containsText" text="已完成"/>
    <x:cfRule type="containsText" dxfId="31" priority="2" operator="containsText" text="逾期"/>
    <x:cfRule type="containsText" dxfId="32" priority="3" operator="containsText" text="未开始"/>
  </x:conditionalFormatting>
  <x:dataValidations count="1">
    <x:dataValidation type="list" sqref="I6:I5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a00ce842e437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45" hidden="0" customWidth="1"/>
    <x:col min="3" max="3" width="34" hidden="0" customWidth="1"/>
    <x:col min="4" max="4" width="16" hidden="0" customWidth="1"/>
    <x:col min="5" max="5" width="16" hidden="0" customWidth="1"/>
    <x:col min="6" max="6" width="11" hidden="0" customWidth="1"/>
  </x:cols>
  <x:sheetData>
    <x:row r="1" ht="30" customHeight="1">
      <x:c r="A1" s="1" t="str">
        <x:v>年度财务工作日历</x:v>
      </x:c>
    </x:row>
    <x:row r="2" ht="25" customHeight="1">
      <x:c r="A2" s="3" t="str">
        <x:v>按高频、低频和重大专项安排主管精力。</x:v>
      </x:c>
    </x:row>
    <x:row r="5" ht="36" customHeight="1">
      <x:c r="A5" s="9" t="str">
        <x:v>周期</x:v>
      </x:c>
      <x:c r="B5" s="9" t="str">
        <x:v>重点事项</x:v>
      </x:c>
      <x:c r="C5" s="9" t="str">
        <x:v>输出</x:v>
      </x:c>
      <x:c r="D5" s="9" t="str">
        <x:v>责任人</x:v>
      </x:c>
      <x:c r="E5" s="9" t="str">
        <x:v>计划日期</x:v>
      </x:c>
      <x:c r="F5" s="9" t="str">
        <x:v>状态</x:v>
      </x:c>
    </x:row>
    <x:row r="6">
      <x:c r="A6" s="13" t="str">
        <x:v>每日</x:v>
      </x:c>
      <x:c r="B6" s="13" t="str">
        <x:v>资金余额、重大付款、紧急Issue</x:v>
      </x:c>
      <x:c r="C6" s="13" t="str">
        <x:v>主管决策/升级</x:v>
      </x:c>
      <x:c r="D6" s="13" t="str">
        <x:v>财务主管</x:v>
      </x:c>
      <x:c r="E6" s="16"/>
      <x:c r="F6" s="13" t="str">
        <x:v>未开始</x:v>
      </x:c>
    </x:row>
    <x:row r="7">
      <x:c r="A7" s="13" t="str">
        <x:v>每周</x:v>
      </x:c>
      <x:c r="B7" s="13" t="str">
        <x:v>回款、挂账、付款计划、Action</x:v>
      </x:c>
      <x:c r="C7" s="13" t="str">
        <x:v>周会清单</x:v>
      </x:c>
      <x:c r="D7" s="13" t="str">
        <x:v>财务主管</x:v>
      </x:c>
      <x:c r="E7" s="16"/>
      <x:c r="F7" s="13" t="str">
        <x:v>未开始</x:v>
      </x:c>
    </x:row>
    <x:row r="8">
      <x:c r="A8" s="13" t="str">
        <x:v>月末</x:v>
      </x:c>
      <x:c r="B8" s="13" t="str">
        <x:v>Close、成本、税务、报表</x:v>
      </x:c>
      <x:c r="C8" s="13" t="str">
        <x:v>月结包</x:v>
      </x:c>
      <x:c r="D8" s="13" t="str">
        <x:v>财务主管</x:v>
      </x:c>
      <x:c r="E8" s="16"/>
      <x:c r="F8" s="13" t="str">
        <x:v>未开始</x:v>
      </x:c>
    </x:row>
    <x:row r="9">
      <x:c r="A9" s="13" t="str">
        <x:v>季度</x:v>
      </x:c>
      <x:c r="B9" s="13" t="str">
        <x:v>盘点、所得税预缴、权限复核</x:v>
      </x:c>
      <x:c r="C9" s="13" t="str">
        <x:v>季度复核包</x:v>
      </x:c>
      <x:c r="D9" s="13" t="str">
        <x:v>财务主管</x:v>
      </x:c>
      <x:c r="E9" s="16"/>
      <x:c r="F9" s="13" t="str">
        <x:v>未开始</x:v>
      </x:c>
    </x:row>
    <x:row r="10">
      <x:c r="A10" s="13" t="str">
        <x:v>半年度</x:v>
      </x:c>
      <x:c r="B10" s="13" t="str">
        <x:v>减值、重大合同、备岗演练</x:v>
      </x:c>
      <x:c r="C10" s="13" t="str">
        <x:v>专项Memo</x:v>
      </x:c>
      <x:c r="D10" s="13" t="str">
        <x:v>财务主管</x:v>
      </x:c>
      <x:c r="E10" s="16"/>
      <x:c r="F10" s="13" t="str">
        <x:v>未开始</x:v>
      </x:c>
    </x:row>
    <x:row r="11">
      <x:c r="A11" s="13" t="str">
        <x:v>年度</x:v>
      </x:c>
      <x:c r="B11" s="13" t="str">
        <x:v>预算、审计、汇算清缴、盘点</x:v>
      </x:c>
      <x:c r="C11" s="13" t="str">
        <x:v>年度项目计划</x:v>
      </x:c>
      <x:c r="D11" s="13" t="str">
        <x:v>财务主管</x:v>
      </x:c>
      <x:c r="E11" s="16"/>
      <x:c r="F11" s="13" t="str">
        <x:v>未开始</x:v>
      </x:c>
    </x:row>
  </x:sheetData>
  <x:mergeCells>
    <x:mergeCell ref="A1:F1"/>
    <x:mergeCell ref="A2:F2"/>
  </x:mergeCells>
  <x:conditionalFormatting sqref="F6:F11">
    <x:cfRule type="containsText" dxfId="33" priority="1" operator="containsText" text="已完成"/>
    <x:cfRule type="containsText" dxfId="34" priority="2" operator="containsText" text="逾期"/>
    <x:cfRule type="containsText" dxfId="35" priority="3" operator="containsText" text="未开始"/>
  </x:conditionalFormatting>
  <x:dataValidations count="1">
    <x:dataValidation type="list" sqref="F6:F11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9d166be37462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40" hidden="0" customWidth="1"/>
    <x:col min="4" max="4" width="34" hidden="0" customWidth="1"/>
    <x:col min="5" max="5" width="34" hidden="0" customWidth="1"/>
    <x:col min="6" max="6" width="26" hidden="0" customWidth="1"/>
    <x:col min="7" max="7" width="11" hidden="0" customWidth="1"/>
  </x:cols>
  <x:sheetData>
    <x:row r="1" ht="30" customHeight="1">
      <x:c r="A1" s="1" t="str">
        <x:v>岗位完成标准 Definition of Done</x:v>
      </x:c>
    </x:row>
    <x:row r="2" ht="25" customHeight="1">
      <x:c r="A2" s="3" t="str">
        <x:v>“已做”需要结果、对账、异常和证据共同成立。</x:v>
      </x:c>
    </x:row>
    <x:row r="5" ht="36" customHeight="1">
      <x:c r="A5" s="9" t="str">
        <x:v>岗位</x:v>
      </x:c>
      <x:c r="B5" s="9" t="str">
        <x:v>任务</x:v>
      </x:c>
      <x:c r="C5" s="9" t="str">
        <x:v>完成标准</x:v>
      </x:c>
      <x:c r="D5" s="9" t="str">
        <x:v>必须证据</x:v>
      </x:c>
      <x:c r="E5" s="9" t="str">
        <x:v>异常需升级</x:v>
      </x:c>
      <x:c r="F5" s="9" t="str">
        <x:v>主管抽查</x:v>
      </x:c>
      <x:c r="G5" s="9" t="str">
        <x:v>状态</x:v>
      </x:c>
    </x:row>
    <x:row r="6">
      <x:c r="A6" s="13" t="str">
        <x:v>AP</x:v>
      </x:c>
      <x:c r="B6" s="13" t="str">
        <x:v>应付月结</x:v>
      </x:c>
      <x:c r="C6" s="13" t="str">
        <x:v>发票、暂估、AP/GL、异常和付款状态均清晰</x:v>
      </x:c>
      <x:c r="D6" s="13" t="str">
        <x:v>核对表、暂估账龄、重复检查</x:v>
      </x:c>
      <x:c r="E6" s="13" t="str">
        <x:v>重大借方/异常账户/重复付款</x:v>
      </x:c>
      <x:c r="F6" s="13" t="str">
        <x:v>抽高风险供应商</x:v>
      </x:c>
      <x:c r="G6" s="13" t="str">
        <x:v>未开始</x:v>
      </x:c>
    </x:row>
    <x:row r="7">
      <x:c r="A7" s="13" t="str">
        <x:v>AR</x:v>
      </x:c>
      <x:c r="B7" s="13" t="str">
        <x:v>应收月结</x:v>
      </x:c>
      <x:c r="C7" s="13" t="str">
        <x:v>开票、收入、收款、核销和账龄闭环</x:v>
      </x:c>
      <x:c r="D7" s="13" t="str">
        <x:v>AR/GL、未认领、账龄</x:v>
      </x:c>
      <x:c r="E7" s="13" t="str">
        <x:v>重大逾期/提前收入/异常退款</x:v>
      </x:c>
      <x:c r="F7" s="13" t="str">
        <x:v>抽期末交易</x:v>
      </x:c>
      <x:c r="G7" s="13" t="str">
        <x:v>未开始</x:v>
      </x:c>
    </x:row>
    <x:row r="8">
      <x:c r="A8" s="13" t="str">
        <x:v>成本</x:v>
      </x:c>
      <x:c r="B8" s="13" t="str">
        <x:v>成本月结</x:v>
      </x:c>
      <x:c r="C8" s="13" t="str">
        <x:v>工单、在制、分配、差异和GL一致</x:v>
      </x:c>
      <x:c r="D8" s="13" t="str">
        <x:v>运行日志、差异桥、毛利分析</x:v>
      </x:c>
      <x:c r="E8" s="13" t="str">
        <x:v>负库存/BOM/毛利突变</x:v>
      </x:c>
      <x:c r="F8" s="13" t="str">
        <x:v>抽关键产品</x:v>
      </x:c>
      <x:c r="G8" s="13" t="str">
        <x:v>未开始</x:v>
      </x:c>
    </x:row>
    <x:row r="9">
      <x:c r="A9" s="13" t="str">
        <x:v>税务</x:v>
      </x:c>
      <x:c r="B9" s="13" t="str">
        <x:v>税务申报</x:v>
      </x:c>
      <x:c r="C9" s="13" t="str">
        <x:v>账票税、申报、缴款和归档闭环</x:v>
      </x:c>
      <x:c r="D9" s="13" t="str">
        <x:v>桥接表、回执、完税</x:v>
      </x:c>
      <x:c r="E9" s="13" t="str">
        <x:v>销项遗漏/异常税率/逾期</x:v>
      </x:c>
      <x:c r="F9" s="13" t="str">
        <x:v>复核差异和回执</x:v>
      </x:c>
      <x:c r="G9" s="13" t="str">
        <x:v>未开始</x:v>
      </x:c>
    </x:row>
    <x:row r="10">
      <x:c r="A10" s="13" t="str">
        <x:v>总账</x:v>
      </x:c>
      <x:c r="B10" s="13" t="str">
        <x:v>报表月结</x:v>
      </x:c>
      <x:c r="C10" s="13" t="str">
        <x:v>模块对账、调整、重分类、勾稽、锁账</x:v>
      </x:c>
      <x:c r="D10" s="13" t="str">
        <x:v>月结包、调整表、报表</x:v>
      </x:c>
      <x:c r="E10" s="13" t="str">
        <x:v>重大未决/无法量化</x:v>
      </x:c>
      <x:c r="F10" s="13" t="str">
        <x:v>复核重大和异常</x:v>
      </x:c>
      <x:c r="G10" s="13" t="str">
        <x:v>未开始</x:v>
      </x:c>
    </x:row>
  </x:sheetData>
  <x:mergeCells>
    <x:mergeCell ref="A1:G1"/>
    <x:mergeCell ref="A2:G2"/>
  </x:mergeCells>
  <x:conditionalFormatting sqref="G6:G10">
    <x:cfRule type="containsText" dxfId="36" priority="1" operator="containsText" text="已完成"/>
    <x:cfRule type="containsText" dxfId="37" priority="2" operator="containsText" text="逾期"/>
    <x:cfRule type="containsText" dxfId="38" priority="3" operator="containsText" text="未开始"/>
  </x:conditionalFormatting>
  <x:dataValidations count="1">
    <x:dataValidation type="list" sqref="G6:G10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83e92b20744842"/>
  </x:tableParts>
</x:worksheet>
</file>